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a Operação" sheetId="1" r:id="rId5"/>
    <sheet state="visible" name="Indicadores e Metas" sheetId="2" r:id="rId6"/>
    <sheet state="hidden" name="KPIs e Projeções Meta Contabili" sheetId="3" r:id="rId7"/>
    <sheet state="hidden" name="KPIs e Projeções Meta Tax" sheetId="4" r:id="rId8"/>
  </sheets>
  <definedNames>
    <definedName name="estrategia_venda">#REF!</definedName>
    <definedName name="respons_propostas">#REF!</definedName>
    <definedName name="estrategia_diags">#REF!</definedName>
    <definedName name="respons_diags">#REF!</definedName>
    <definedName name="status_agendamento">#REF!</definedName>
    <definedName name="propostas">#REF!</definedName>
    <definedName name="produto_propostas">#REF!</definedName>
    <definedName name="Data_agendamento">#REF!</definedName>
    <definedName name="Diag_Mês">#REF!</definedName>
    <definedName name="prop_dw">#REF!</definedName>
    <definedName name="vendas">#REF!</definedName>
    <definedName name="proposta_Mês">#REF!</definedName>
    <definedName name="data_diag">#REF!</definedName>
    <definedName name="vendedor_propostas">#REF!</definedName>
    <definedName name="responsavel_vendido">#REF!</definedName>
    <definedName name="diags">#REF!</definedName>
    <definedName name="valor_propostas">#REF!</definedName>
    <definedName name="vendedor_vendido">#REF!</definedName>
    <definedName name="estrategia_propostas">#REF!</definedName>
    <definedName name="data_propostas">#REF!</definedName>
    <definedName name="venda_dw">#REF!</definedName>
    <definedName name="estrategia_agendamentos">#REF!</definedName>
    <definedName name="respons_agendamentos">#REF!</definedName>
    <definedName name="data_proposta">#REF!</definedName>
    <definedName name="mes_ganho">#REF!</definedName>
    <definedName name="valor_vendido">#REF!</definedName>
    <definedName name="Agendamento_Mês">#REF!</definedName>
    <definedName name="data_ganho">#REF!</definedName>
    <definedName name="data_diags">#REF!</definedName>
    <definedName name="data_agendamentos">#REF!</definedName>
    <definedName name="mês_ganho">#REF!</definedName>
    <definedName name="vendedor_diags">#REF!</definedName>
    <definedName name="agendamentos">#REF!</definedName>
  </definedNames>
  <calcPr/>
</workbook>
</file>

<file path=xl/sharedStrings.xml><?xml version="1.0" encoding="utf-8"?>
<sst xmlns="http://schemas.openxmlformats.org/spreadsheetml/2006/main" count="806" uniqueCount="145">
  <si>
    <t>DADOS DA OPERAÇÃO</t>
  </si>
  <si>
    <t>ESTRATÉGIAS DA OPERAÇÃO</t>
  </si>
  <si>
    <t>Meta semestre</t>
  </si>
  <si>
    <t>Estratégia</t>
  </si>
  <si>
    <t>Participação na meta</t>
  </si>
  <si>
    <t>Meta semestral por estratégia</t>
  </si>
  <si>
    <t>Meta média mensal por estratégia</t>
  </si>
  <si>
    <t>Qtdd venda semestral</t>
  </si>
  <si>
    <t>Qntdd de venda mensal</t>
  </si>
  <si>
    <t>Alcance atual</t>
  </si>
  <si>
    <t>x</t>
  </si>
  <si>
    <t>Ativa</t>
  </si>
  <si>
    <t>Ticket médio</t>
  </si>
  <si>
    <t>Passiva</t>
  </si>
  <si>
    <t>Quantidade de vendas</t>
  </si>
  <si>
    <t>Recuperação</t>
  </si>
  <si>
    <t>Expansão</t>
  </si>
  <si>
    <t>Total da operação</t>
  </si>
  <si>
    <t>INVESTIMENTOS NA OPERAÇÃO</t>
  </si>
  <si>
    <t>O que?</t>
  </si>
  <si>
    <t>Quando?</t>
  </si>
  <si>
    <t>Porque?</t>
  </si>
  <si>
    <t>MÊS 1 – JANEIRO</t>
  </si>
  <si>
    <t>ESTRATÉGIAS – JANEIRO</t>
  </si>
  <si>
    <t>Meta Janeiro</t>
  </si>
  <si>
    <t>Meta Janeiro por estratégia</t>
  </si>
  <si>
    <t>Qtdd venda mensal</t>
  </si>
  <si>
    <t>Total do mês</t>
  </si>
  <si>
    <t>MÊS 2 – FEVEREIRO</t>
  </si>
  <si>
    <t>ESTRATÉGIAS – FEVEREIRO</t>
  </si>
  <si>
    <t>Meta Fevereiro</t>
  </si>
  <si>
    <t>Meta Fevereiro por estratégia</t>
  </si>
  <si>
    <t>MÊS 3 – MARÇO</t>
  </si>
  <si>
    <t>ESTRATÉGIAS – MARÇO</t>
  </si>
  <si>
    <t>Meta Março</t>
  </si>
  <si>
    <t>Meta Março por estratégia</t>
  </si>
  <si>
    <t>MÊS 4 – ABRIL</t>
  </si>
  <si>
    <t>ESTRATÉGIAS – ABRIL</t>
  </si>
  <si>
    <t>Meta Abril</t>
  </si>
  <si>
    <t>Meta Abril por estratégia</t>
  </si>
  <si>
    <t>MÊS 5 – MAIO</t>
  </si>
  <si>
    <t>ESTRATÉGIAS – MAIO</t>
  </si>
  <si>
    <t>Meta Maio</t>
  </si>
  <si>
    <t>Meta Maio por estratégia</t>
  </si>
  <si>
    <t>MÊS 6 – JUNHO</t>
  </si>
  <si>
    <t>ESTRATÉGIAS – JUNHO</t>
  </si>
  <si>
    <t>Meta Junho</t>
  </si>
  <si>
    <t>Meta Junho por estratégia</t>
  </si>
  <si>
    <t>MÊS 7 – JULHO</t>
  </si>
  <si>
    <t>ESTRATÉGIAS – JULHO</t>
  </si>
  <si>
    <t>Meta Julho</t>
  </si>
  <si>
    <t>Meta Julho por estratégia</t>
  </si>
  <si>
    <t>MÊS 8 – AGOSTO</t>
  </si>
  <si>
    <t>ESTRATÉGIAS – AGOSTO</t>
  </si>
  <si>
    <t>Meta Agosto</t>
  </si>
  <si>
    <t>Meta Agosto por estratégia</t>
  </si>
  <si>
    <t>MÊS 9 – SETEMBRO</t>
  </si>
  <si>
    <t>ESTRATÉGIAS – SETEMBRO</t>
  </si>
  <si>
    <t>Meta Setembro</t>
  </si>
  <si>
    <t>Meta Setembro por estratégia</t>
  </si>
  <si>
    <t>MÊS 10 – OUTUBRO</t>
  </si>
  <si>
    <t>ESTRATÉGIAS – OUTUBRO</t>
  </si>
  <si>
    <t>Meta Outubro</t>
  </si>
  <si>
    <t>Meta Outubro por estratégia</t>
  </si>
  <si>
    <t>MÊS 11 – NOVEMBRO</t>
  </si>
  <si>
    <t>ESTRATÉGIAS – NOVEMBRO</t>
  </si>
  <si>
    <t>Meta Novembro</t>
  </si>
  <si>
    <t>Meta Novembro por estratégia</t>
  </si>
  <si>
    <t>MÊS 12 – DEZEMBRO</t>
  </si>
  <si>
    <t>ESTRATÉGIAS – DEZEMBRO</t>
  </si>
  <si>
    <t>Meta Dezembro</t>
  </si>
  <si>
    <t>Meta Dezembro por estratégia</t>
  </si>
  <si>
    <t>Obs: Preencha apenas os campos em amarelos, demais campos automatizados</t>
  </si>
  <si>
    <t>Obs: Preenchimento de alcance deve ser preenchindo nas colunas de Atingidodas semanas.</t>
  </si>
  <si>
    <t>EXECUÇÃO GERAL</t>
  </si>
  <si>
    <t>JAN</t>
  </si>
  <si>
    <t>SEMANA 1</t>
  </si>
  <si>
    <t>SEMANA 2</t>
  </si>
  <si>
    <t>SEMANA 3</t>
  </si>
  <si>
    <t>SEMANA 04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</si>
  <si>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</si>
  <si>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</si>
  <si>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</si>
  <si>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</si>
  <si>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</si>
  <si>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</si>
  <si>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</si>
  <si>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</si>
  <si>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</si>
  <si>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</si>
  <si>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</si>
  <si>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Atingido</t>
  </si>
  <si>
    <t>Meta</t>
  </si>
  <si>
    <t>Farol</t>
  </si>
  <si>
    <t>TOTAL</t>
  </si>
  <si>
    <t>Total de cadências abertas</t>
  </si>
  <si>
    <t>% Conversão em Lead Conectado</t>
  </si>
  <si>
    <t>-</t>
  </si>
  <si>
    <t>Total de leads conectados</t>
  </si>
  <si>
    <t>% Conversão em Reunião agendada</t>
  </si>
  <si>
    <t>Total de reuniões agendadas</t>
  </si>
  <si>
    <t>% de reunião realizada</t>
  </si>
  <si>
    <t>Total de reuniões realizadas</t>
  </si>
  <si>
    <t>% de propostas apresentadas</t>
  </si>
  <si>
    <t>Total de propostas apresentadas</t>
  </si>
  <si>
    <t>% de fechamento</t>
  </si>
  <si>
    <t>Total de propostas fechadas</t>
  </si>
  <si>
    <t>Total de faturamento</t>
  </si>
  <si>
    <t>OUTBOUND</t>
  </si>
  <si>
    <t>INBOUND</t>
  </si>
  <si>
    <t>Total de leads captados</t>
  </si>
  <si>
    <t>RECUPERAÇÃO</t>
  </si>
  <si>
    <t>EXPANSÃO</t>
  </si>
  <si>
    <t>BDR</t>
  </si>
  <si>
    <t>KPIs</t>
  </si>
  <si>
    <t>Previsão</t>
  </si>
  <si>
    <t>Closer</t>
  </si>
  <si>
    <t>KPIS</t>
  </si>
  <si>
    <t>Cadências abertas (contatos)</t>
  </si>
  <si>
    <t>Leads conectados</t>
  </si>
  <si>
    <t>Reunião agendada</t>
  </si>
  <si>
    <t>Reunião realizada</t>
  </si>
  <si>
    <t>% Conversão em Proposta</t>
  </si>
  <si>
    <t>Propostas enviadas</t>
  </si>
  <si>
    <t>% Conversão em Vendas</t>
  </si>
  <si>
    <t>Volume de Vendas</t>
  </si>
  <si>
    <t>Total de Venda (R$)</t>
  </si>
  <si>
    <t>ticketmédio</t>
  </si>
  <si>
    <t>Crescimento Meta</t>
  </si>
  <si>
    <t>Indicadores - Projeção</t>
  </si>
  <si>
    <t>Janeiro</t>
  </si>
  <si>
    <t>Fevereiro</t>
  </si>
  <si>
    <t>Março</t>
  </si>
  <si>
    <t>Abril</t>
  </si>
  <si>
    <t>Maio</t>
  </si>
  <si>
    <t>Junho</t>
  </si>
  <si>
    <t>1° Semestre</t>
  </si>
  <si>
    <t>Julho</t>
  </si>
  <si>
    <t>Agosto</t>
  </si>
  <si>
    <t>Setembro</t>
  </si>
  <si>
    <t>Outubro</t>
  </si>
  <si>
    <t>Novembro</t>
  </si>
  <si>
    <t>Dezembro</t>
  </si>
  <si>
    <t>2° Semestre</t>
  </si>
  <si>
    <t>Volume de Vendas (contrato)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</si>
</sst>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"/>
    <numFmt numFmtId="166" formatCode="d/m"/>
    <numFmt numFmtId="167" formatCode="mmm\ d"/>
  </numFmts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FFFFFF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1.0"/>
      <color rgb="FFFFFFFF"/>
      <name val="Calibri"/>
    </font>
    <font>
      <sz val="10.0"/>
      <color rgb="FF000000"/>
      <name val="Arial"/>
    </font>
    <font>
      <sz val="11.0"/>
      <color theme="1"/>
      <name val="Arial"/>
    </font>
    <font>
      <b/>
      <sz val="7.0"/>
      <color theme="1"/>
      <name val="Poppins"/>
    </font>
    <font>
      <b/>
      <sz val="11.0"/>
      <color rgb="FFFFFFFF"/>
      <name val="Poppins"/>
    </font>
    <font>
      <b/>
      <sz val="11.0"/>
      <color theme="1"/>
      <name val="Poppins"/>
    </font>
    <font>
      <b/>
      <sz val="11.0"/>
      <color rgb="FF173D6D"/>
      <name val="Poppins"/>
    </font>
    <font>
      <sz val="11.0"/>
      <color rgb="FFFFFFFF"/>
      <name val="Poppins"/>
    </font>
    <font>
      <sz val="11.0"/>
      <color theme="1"/>
      <name val="Poppins"/>
    </font>
    <font>
      <sz val="11.0"/>
      <color rgb="FF000000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173D6D"/>
        <bgColor rgb="FF173D6D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7E8DED"/>
        <bgColor rgb="FF7E8DED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25">
    <border/>
    <border>
      <left style="thin">
        <color rgb="FF173D6D"/>
      </left>
      <right style="thin">
        <color rgb="FF173D6D"/>
      </right>
      <top style="thin">
        <color rgb="FF173D6D"/>
      </top>
      <bottom style="thin">
        <color rgb="FF173D6D"/>
      </bottom>
    </border>
    <border>
      <left style="thin">
        <color rgb="FF173D6D"/>
      </left>
      <top style="thin">
        <color rgb="FF173D6D"/>
      </top>
      <bottom style="thin">
        <color rgb="FF173D6D"/>
      </bottom>
    </border>
    <border>
      <right style="thin">
        <color rgb="FF173D6D"/>
      </right>
      <top style="thin">
        <color rgb="FF173D6D"/>
      </top>
      <bottom style="thin">
        <color rgb="FF173D6D"/>
      </bottom>
    </border>
    <border>
      <top style="thin">
        <color rgb="FF173D6D"/>
      </top>
      <bottom style="thin">
        <color rgb="FF173D6D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thin">
        <color rgb="FF0B5394"/>
      </left>
      <right/>
      <top style="thin">
        <color rgb="FF0B5394"/>
      </top>
      <bottom style="thin">
        <color rgb="FF0B5394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ill="1" applyFont="1" applyNumberFormat="1">
      <alignment horizontal="center" readingOrder="0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4" numFmtId="10" xfId="0" applyAlignment="1" applyBorder="1" applyFill="1" applyFont="1" applyNumberFormat="1">
      <alignment horizontal="center" readingOrder="0" shrinkToFit="0" vertical="center" wrapText="0"/>
    </xf>
    <xf borderId="1" fillId="4" fontId="4" numFmtId="164" xfId="0" applyAlignment="1" applyBorder="1" applyFill="1" applyFont="1" applyNumberFormat="1">
      <alignment horizontal="center" shrinkToFit="0" vertical="center" wrapText="0"/>
    </xf>
    <xf borderId="1" fillId="4" fontId="1" numFmtId="164" xfId="0" applyAlignment="1" applyBorder="1" applyFill="1" applyFont="1" applyNumberFormat="1">
      <alignment horizontal="center" shrinkToFit="0" vertical="center" wrapText="0"/>
    </xf>
    <xf borderId="1" fillId="4" fontId="1" numFmtId="4" xfId="0" applyAlignment="1" applyBorder="1" applyFill="1" applyFont="1" applyNumberFormat="1">
      <alignment horizontal="center" shrinkToFit="0" vertical="center" wrapText="0"/>
    </xf>
    <xf borderId="1" fillId="0" fontId="1" numFmtId="4" xfId="0" applyAlignment="1" applyBorder="1" applyFont="1" applyNumberForma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2" fontId="4" numFmtId="10" xfId="0" applyAlignment="1" applyBorder="1" applyFill="1" applyFont="1" applyNumberFormat="1">
      <alignment horizontal="center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1" fillId="7" fontId="1" numFmtId="10" xfId="0" applyAlignment="1" applyBorder="1" applyFill="1" applyFont="1" applyNumberFormat="1">
      <alignment horizontal="center" shrinkToFit="0" vertical="center" wrapText="0"/>
    </xf>
    <xf borderId="1" fillId="7" fontId="1" numFmtId="164" xfId="0" applyAlignment="1" applyBorder="1" applyFill="1" applyFont="1" applyNumberFormat="1">
      <alignment horizontal="center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1" fillId="2" fontId="1" numFmtId="164" xfId="0" applyAlignment="1" applyBorder="1" applyFill="1" applyFont="1" applyNumberFormat="1">
      <alignment horizontal="center" shrinkToFit="0" vertical="center" wrapText="0"/>
    </xf>
    <xf borderId="1" fillId="2" fontId="1" numFmtId="4" xfId="0" applyAlignment="1" applyBorder="1" applyFill="1" applyFont="1" applyNumberFormat="1">
      <alignment horizontal="center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1" fillId="2" fontId="1" numFmtId="9" xfId="0" applyAlignment="1" applyBorder="1" applyFill="1" applyFont="1" applyNumberFormat="1">
      <alignment horizontal="center" shrinkToFit="0" vertical="center" wrapText="0"/>
    </xf>
    <xf borderId="2" fillId="6" fontId="4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ill="1" applyFont="1" applyNumberFormat="1">
      <alignment horizontal="center" shrinkToFit="0" vertical="center" wrapText="0"/>
    </xf>
    <xf borderId="1" fillId="5" fontId="4" numFmtId="10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5" fillId="8" fontId="8" numFmtId="0" xfId="0" applyAlignment="1" applyBorder="1" applyFill="1" applyFont="1">
      <alignment horizontal="left" shrinkToFit="0" vertical="bottom" wrapText="0"/>
    </xf>
    <xf borderId="5" fillId="5" fontId="8" numFmtId="0" xfId="0" applyAlignment="1" applyBorder="1" applyFill="1" applyFont="1">
      <alignment horizontal="left" shrinkToFit="0" vertical="center" wrapText="0"/>
    </xf>
    <xf borderId="5" fillId="5" fontId="9" numFmtId="0" xfId="0" applyAlignment="1" applyBorder="1" applyFill="1" applyFont="1">
      <alignment horizontal="left" shrinkToFit="0" vertical="bottom" wrapText="1"/>
    </xf>
    <xf borderId="5" fillId="8" fontId="8" numFmtId="4" xfId="0" applyAlignment="1" applyBorder="1" applyFill="1" applyFont="1" applyNumberFormat="1">
      <alignment horizontal="left" shrinkToFit="0" vertical="bottom" wrapText="0"/>
    </xf>
    <xf borderId="5" fillId="8" fontId="8" numFmtId="165" xfId="0" applyAlignment="1" applyBorder="1" applyFill="1" applyFont="1" applyNumberFormat="1">
      <alignment horizontal="left" shrinkToFit="0" vertical="bottom" wrapText="0"/>
    </xf>
    <xf borderId="5" fillId="8" fontId="8" numFmtId="166" xfId="0" applyAlignment="1" applyBorder="1" applyFill="1" applyFont="1" applyNumberFormat="1">
      <alignment horizontal="left" shrinkToFit="0" vertical="bottom" wrapText="0"/>
    </xf>
    <xf borderId="5" fillId="5" fontId="9" numFmtId="0" xfId="0" applyAlignment="1" applyBorder="1" applyFill="1" applyFont="1">
      <alignment horizontal="left" readingOrder="0" shrinkToFit="0" vertical="bottom" wrapText="1"/>
    </xf>
    <xf borderId="5" fillId="8" fontId="8" numFmtId="0" xfId="0" applyAlignment="1" applyBorder="1" applyFill="1" applyFont="1">
      <alignment horizontal="left" shrinkToFit="0" vertical="center" wrapText="0"/>
    </xf>
    <xf borderId="6" fillId="3" fontId="8" numFmtId="0" xfId="0" applyAlignment="1" applyBorder="1" applyFill="1" applyFont="1">
      <alignment horizontal="left" shrinkToFit="0" vertical="center" wrapText="0"/>
    </xf>
    <xf borderId="5" fillId="3" fontId="8" numFmtId="0" xfId="0" applyAlignment="1" applyBorder="1" applyFill="1" applyFont="1">
      <alignment horizontal="left" shrinkToFit="0" vertical="bottom" wrapText="0"/>
    </xf>
    <xf borderId="7" fillId="3" fontId="10" numFmtId="167" xfId="0" applyAlignment="1" applyBorder="1" applyFill="1" applyFont="1" applyNumberFormat="1">
      <alignment horizontal="left" shrinkToFit="0" vertical="bottom" wrapText="0"/>
    </xf>
    <xf borderId="8" fillId="0" fontId="3" numFmtId="0" xfId="0" applyBorder="1" applyFont="1"/>
    <xf borderId="7" fillId="3" fontId="10" numFmtId="0" xfId="0" applyAlignment="1" applyBorder="1" applyFill="1" applyFont="1">
      <alignment horizontal="left" shrinkToFit="0" vertical="bottom" wrapText="0"/>
    </xf>
    <xf borderId="9" fillId="0" fontId="3" numFmtId="0" xfId="0" applyBorder="1" applyFont="1"/>
    <xf borderId="7" fillId="9" fontId="11" numFmtId="165" xfId="0" applyAlignment="1" applyBorder="1" applyFill="1" applyFont="1" applyNumberFormat="1">
      <alignment horizontal="left" shrinkToFit="0" vertical="bottom" wrapText="0"/>
    </xf>
    <xf borderId="7" fillId="9" fontId="11" numFmtId="166" xfId="0" applyAlignment="1" applyBorder="1" applyFill="1" applyFont="1" applyNumberFormat="1">
      <alignment horizontal="left" shrinkToFit="0" vertical="bottom" wrapText="0"/>
    </xf>
    <xf borderId="10" fillId="3" fontId="8" numFmtId="4" xfId="0" applyAlignment="1" applyBorder="1" applyFill="1" applyFont="1" applyNumberFormat="1">
      <alignment horizontal="left" shrinkToFit="0" vertical="bottom" wrapText="0"/>
    </xf>
    <xf borderId="11" fillId="10" fontId="12" numFmtId="4" xfId="0" applyAlignment="1" applyBorder="1" applyFill="1" applyFont="1" applyNumberFormat="1">
      <alignment horizontal="left" shrinkToFit="0" vertical="bottom" wrapText="0"/>
    </xf>
    <xf borderId="12" fillId="11" fontId="10" numFmtId="4" xfId="0" applyAlignment="1" applyBorder="1" applyFill="1" applyFont="1" applyNumberFormat="1">
      <alignment horizontal="left" shrinkToFit="0" vertical="bottom" wrapText="0"/>
    </xf>
    <xf borderId="13" fillId="3" fontId="10" numFmtId="4" xfId="0" applyAlignment="1" applyBorder="1" applyFill="1" applyFont="1" applyNumberFormat="1">
      <alignment horizontal="left" shrinkToFit="0" vertical="bottom" wrapText="0"/>
    </xf>
    <xf borderId="11" fillId="10" fontId="12" numFmtId="166" xfId="0" applyAlignment="1" applyBorder="1" applyFill="1" applyFont="1" applyNumberFormat="1">
      <alignment horizontal="left" shrinkToFit="0" vertical="bottom" wrapText="0"/>
    </xf>
    <xf borderId="12" fillId="11" fontId="10" numFmtId="166" xfId="0" applyAlignment="1" applyBorder="1" applyFill="1" applyFont="1" applyNumberFormat="1">
      <alignment horizontal="left" shrinkToFit="0" vertical="bottom" wrapText="0"/>
    </xf>
    <xf borderId="11" fillId="12" fontId="12" numFmtId="166" xfId="0" applyAlignment="1" applyBorder="1" applyFill="1" applyFont="1" applyNumberFormat="1">
      <alignment horizontal="left" shrinkToFit="0" vertical="bottom" wrapText="0"/>
    </xf>
    <xf borderId="12" fillId="12" fontId="10" numFmtId="166" xfId="0" applyAlignment="1" applyBorder="1" applyFill="1" applyFont="1" applyNumberFormat="1">
      <alignment horizontal="left" shrinkToFit="0" vertical="bottom" wrapText="0"/>
    </xf>
    <xf borderId="14" fillId="3" fontId="10" numFmtId="0" xfId="0" applyAlignment="1" applyBorder="1" applyFill="1" applyFont="1">
      <alignment horizontal="left" shrinkToFit="0" textRotation="90" vertical="center" wrapText="1"/>
    </xf>
    <xf borderId="15" fillId="3" fontId="13" numFmtId="10" xfId="0" applyAlignment="1" applyBorder="1" applyFill="1" applyFont="1" applyNumberFormat="1">
      <alignment horizontal="left" shrinkToFit="0" vertical="bottom" wrapText="0"/>
    </xf>
    <xf borderId="15" fillId="4" fontId="14" numFmtId="4" xfId="0" applyAlignment="1" applyBorder="1" applyFill="1" applyFont="1" applyNumberFormat="1">
      <alignment horizontal="left" shrinkToFit="0" vertical="bottom" wrapText="0"/>
    </xf>
    <xf borderId="15" fillId="4" fontId="14" numFmtId="1" xfId="0" applyAlignment="1" applyBorder="1" applyFill="1" applyFont="1" applyNumberFormat="1">
      <alignment horizontal="left" shrinkToFit="0" vertical="bottom" wrapText="0"/>
    </xf>
    <xf borderId="16" fillId="0" fontId="3" numFmtId="0" xfId="0" applyBorder="1" applyFont="1"/>
    <xf borderId="15" fillId="3" fontId="13" numFmtId="4" xfId="0" applyAlignment="1" applyBorder="1" applyFill="1" applyFont="1" applyNumberFormat="1">
      <alignment horizontal="left" shrinkToFit="0" vertical="bottom" wrapText="0"/>
    </xf>
    <xf borderId="15" fillId="4" fontId="14" numFmtId="10" xfId="0" applyAlignment="1" applyBorder="1" applyFill="1" applyFont="1" applyNumberFormat="1">
      <alignment horizontal="left" shrinkToFit="0" vertical="bottom" wrapText="0"/>
    </xf>
    <xf borderId="15" fillId="12" fontId="14" numFmtId="10" xfId="0" applyAlignment="1" applyBorder="1" applyFill="1" applyFont="1" applyNumberFormat="1">
      <alignment horizontal="left" shrinkToFit="0" vertical="bottom" wrapText="0"/>
    </xf>
    <xf borderId="15" fillId="3" fontId="13" numFmtId="1" xfId="0" applyAlignment="1" applyBorder="1" applyFill="1" applyFont="1" applyNumberFormat="1">
      <alignment horizontal="left" shrinkToFit="0" vertical="bottom" wrapText="0"/>
    </xf>
    <xf borderId="15" fillId="4" fontId="14" numFmtId="3" xfId="0" applyAlignment="1" applyBorder="1" applyFill="1" applyFont="1" applyNumberFormat="1">
      <alignment horizontal="left" shrinkToFit="0" vertical="bottom" wrapText="0"/>
    </xf>
    <xf borderId="15" fillId="12" fontId="14" numFmtId="3" xfId="0" applyAlignment="1" applyBorder="1" applyFill="1" applyFont="1" applyNumberFormat="1">
      <alignment horizontal="left" shrinkToFit="0" vertical="bottom" wrapText="0"/>
    </xf>
    <xf borderId="5" fillId="3" fontId="13" numFmtId="1" xfId="0" applyAlignment="1" applyBorder="1" applyFill="1" applyFont="1" applyNumberFormat="1">
      <alignment horizontal="left" shrinkToFit="0" vertical="bottom" wrapText="0"/>
    </xf>
    <xf borderId="5" fillId="8" fontId="8" numFmtId="164" xfId="0" applyAlignment="1" applyBorder="1" applyFill="1" applyFont="1" applyNumberFormat="1">
      <alignment horizontal="left" shrinkToFit="0" vertical="bottom" wrapText="0"/>
    </xf>
    <xf borderId="5" fillId="3" fontId="13" numFmtId="164" xfId="0" applyAlignment="1" applyBorder="1" applyFill="1" applyFont="1" applyNumberFormat="1">
      <alignment horizontal="left" shrinkToFit="0" vertical="bottom" wrapText="0"/>
    </xf>
    <xf borderId="15" fillId="4" fontId="14" numFmtId="164" xfId="0" applyAlignment="1" applyBorder="1" applyFill="1" applyFont="1" applyNumberFormat="1">
      <alignment horizontal="left" shrinkToFit="0" vertical="bottom" wrapText="0"/>
    </xf>
    <xf borderId="15" fillId="12" fontId="14" numFmtId="164" xfId="0" applyAlignment="1" applyBorder="1" applyFill="1" applyFont="1" applyNumberFormat="1">
      <alignment horizontal="left" shrinkToFit="0" vertical="bottom" wrapText="0"/>
    </xf>
    <xf borderId="17" fillId="0" fontId="3" numFmtId="0" xfId="0" applyBorder="1" applyFont="1"/>
    <xf borderId="15" fillId="0" fontId="8" numFmtId="164" xfId="0" applyAlignment="1" applyBorder="1" applyFont="1" applyNumberFormat="1">
      <alignment horizontal="left" shrinkToFit="0" vertical="bottom" wrapText="0"/>
    </xf>
    <xf borderId="14" fillId="2" fontId="10" numFmtId="0" xfId="0" applyAlignment="1" applyBorder="1" applyFill="1" applyFont="1">
      <alignment horizontal="left" shrinkToFit="0" textRotation="90" vertical="center" wrapText="1"/>
    </xf>
    <xf borderId="15" fillId="2" fontId="13" numFmtId="10" xfId="0" applyAlignment="1" applyBorder="1" applyFill="1" applyFont="1" applyNumberFormat="1">
      <alignment horizontal="left" shrinkToFit="0" vertical="bottom" wrapText="0"/>
    </xf>
    <xf borderId="15" fillId="0" fontId="14" numFmtId="1" xfId="0" applyAlignment="1" applyBorder="1" applyFont="1" applyNumberFormat="1">
      <alignment horizontal="left" shrinkToFit="0" vertical="bottom" wrapText="0"/>
    </xf>
    <xf borderId="15" fillId="0" fontId="14" numFmtId="3" xfId="0" applyAlignment="1" applyBorder="1" applyFont="1" applyNumberFormat="1">
      <alignment horizontal="left" shrinkToFit="0" vertical="bottom" wrapText="0"/>
    </xf>
    <xf borderId="15" fillId="0" fontId="14" numFmtId="10" xfId="0" applyAlignment="1" applyBorder="1" applyFont="1" applyNumberFormat="1">
      <alignment horizontal="left" shrinkToFit="0" vertical="bottom" wrapText="0"/>
    </xf>
    <xf borderId="15" fillId="0" fontId="8" numFmtId="4" xfId="0" applyAlignment="1" applyBorder="1" applyFont="1" applyNumberFormat="1">
      <alignment horizontal="left" shrinkToFit="0" vertical="bottom" wrapText="0"/>
    </xf>
    <xf borderId="15" fillId="0" fontId="8" numFmtId="10" xfId="0" applyAlignment="1" applyBorder="1" applyFont="1" applyNumberFormat="1">
      <alignment horizontal="left" shrinkToFit="0" vertical="bottom" wrapText="0"/>
    </xf>
    <xf borderId="15" fillId="0" fontId="8" numFmtId="1" xfId="0" applyAlignment="1" applyBorder="1" applyFont="1" applyNumberFormat="1">
      <alignment horizontal="left" shrinkToFit="0" vertical="bottom" wrapText="0"/>
    </xf>
    <xf borderId="15" fillId="12" fontId="8" numFmtId="1" xfId="0" applyAlignment="1" applyBorder="1" applyFill="1" applyFont="1" applyNumberFormat="1">
      <alignment horizontal="left" shrinkToFit="0" vertical="bottom" wrapText="0"/>
    </xf>
    <xf borderId="15" fillId="12" fontId="14" numFmtId="1" xfId="0" applyAlignment="1" applyBorder="1" applyFill="1" applyFont="1" applyNumberFormat="1">
      <alignment horizontal="left" shrinkToFit="0" vertical="bottom" wrapText="0"/>
    </xf>
    <xf borderId="5" fillId="8" fontId="8" numFmtId="10" xfId="0" applyAlignment="1" applyBorder="1" applyFill="1" applyFont="1" applyNumberFormat="1">
      <alignment horizontal="left" shrinkToFit="0" vertical="bottom" wrapText="0"/>
    </xf>
    <xf borderId="15" fillId="5" fontId="8" numFmtId="10" xfId="0" applyAlignment="1" applyBorder="1" applyFill="1" applyFont="1" applyNumberFormat="1">
      <alignment horizontal="left" shrinkToFit="0" vertical="bottom" wrapText="0"/>
    </xf>
    <xf borderId="15" fillId="4" fontId="14" numFmtId="10" xfId="0" applyAlignment="1" applyBorder="1" applyFill="1" applyFont="1" applyNumberFormat="1">
      <alignment horizontal="left" readingOrder="0" shrinkToFit="0" vertical="bottom" wrapText="0"/>
    </xf>
    <xf borderId="15" fillId="4" fontId="8" numFmtId="10" xfId="0" applyAlignment="1" applyBorder="1" applyFill="1" applyFont="1" applyNumberFormat="1">
      <alignment horizontal="left" shrinkToFit="0" vertical="bottom" wrapText="0"/>
    </xf>
    <xf borderId="15" fillId="0" fontId="14" numFmtId="4" xfId="0" applyAlignment="1" applyBorder="1" applyFont="1" applyNumberFormat="1">
      <alignment horizontal="left" shrinkToFit="0" vertical="bottom" wrapText="0"/>
    </xf>
    <xf borderId="15" fillId="4" fontId="8" numFmtId="1" xfId="0" applyAlignment="1" applyBorder="1" applyFill="1" applyFont="1" applyNumberFormat="1">
      <alignment horizontal="left" shrinkToFit="0" vertical="bottom" wrapText="0"/>
    </xf>
    <xf borderId="15" fillId="12" fontId="8" numFmtId="10" xfId="0" applyAlignment="1" applyBorder="1" applyFill="1" applyFont="1" applyNumberFormat="1">
      <alignment horizontal="left" shrinkToFit="0" vertical="bottom" wrapText="0"/>
    </xf>
    <xf borderId="5" fillId="8" fontId="8" numFmtId="1" xfId="0" applyAlignment="1" applyBorder="1" applyFill="1" applyFont="1" applyNumberFormat="1">
      <alignment horizontal="left" shrinkToFit="0" vertical="bottom" wrapText="0"/>
    </xf>
    <xf borderId="15" fillId="2" fontId="13" numFmtId="1" xfId="0" applyAlignment="1" applyBorder="1" applyFill="1" applyFont="1" applyNumberFormat="1">
      <alignment horizontal="left" shrinkToFit="0" vertical="bottom" wrapText="0"/>
    </xf>
    <xf borderId="15" fillId="4" fontId="14" numFmtId="9" xfId="0" applyAlignment="1" applyBorder="1" applyFill="1" applyFont="1" applyNumberFormat="1">
      <alignment horizontal="left" readingOrder="0" shrinkToFit="0" vertical="bottom" wrapText="0"/>
    </xf>
    <xf borderId="5" fillId="2" fontId="13" numFmtId="1" xfId="0" applyAlignment="1" applyBorder="1" applyFill="1" applyFont="1" applyNumberFormat="1">
      <alignment horizontal="left" shrinkToFit="0" vertical="bottom" wrapText="0"/>
    </xf>
    <xf borderId="5" fillId="2" fontId="13" numFmtId="10" xfId="0" applyAlignment="1" applyBorder="1" applyFill="1" applyFont="1" applyNumberFormat="1">
      <alignment horizontal="left" shrinkToFit="0" vertical="bottom" wrapText="0"/>
    </xf>
    <xf borderId="15" fillId="0" fontId="14" numFmtId="0" xfId="0" applyAlignment="1" applyBorder="1" applyFont="1">
      <alignment horizontal="left" shrinkToFit="0" vertical="bottom" wrapText="0"/>
    </xf>
    <xf borderId="15" fillId="0" fontId="8" numFmtId="0" xfId="0" applyAlignment="1" applyBorder="1" applyFont="1">
      <alignment horizontal="left" shrinkToFit="0" vertical="bottom" wrapText="0"/>
    </xf>
    <xf borderId="5" fillId="2" fontId="13" numFmtId="164" xfId="0" applyAlignment="1" applyBorder="1" applyFill="1" applyFont="1" applyNumberFormat="1">
      <alignment horizontal="left" shrinkToFit="0" vertical="bottom" wrapText="0"/>
    </xf>
    <xf borderId="15" fillId="0" fontId="14" numFmtId="164" xfId="0" applyAlignment="1" applyBorder="1" applyFont="1" applyNumberFormat="1">
      <alignment horizontal="left" shrinkToFit="0" vertical="bottom" wrapText="0"/>
    </xf>
    <xf borderId="15" fillId="12" fontId="8" numFmtId="164" xfId="0" applyAlignment="1" applyBorder="1" applyFill="1" applyFont="1" applyNumberFormat="1">
      <alignment horizontal="left" shrinkToFit="0" vertical="bottom" wrapText="0"/>
    </xf>
    <xf borderId="18" fillId="0" fontId="3" numFmtId="0" xfId="0" applyBorder="1" applyFont="1"/>
    <xf borderId="15" fillId="4" fontId="8" numFmtId="164" xfId="0" applyAlignment="1" applyBorder="1" applyFill="1" applyFont="1" applyNumberFormat="1">
      <alignment horizontal="left" shrinkToFit="0" vertical="bottom" wrapText="0"/>
    </xf>
    <xf borderId="15" fillId="8" fontId="8" numFmtId="4" xfId="0" applyAlignment="1" applyBorder="1" applyFill="1" applyFont="1" applyNumberFormat="1">
      <alignment horizontal="left" shrinkToFit="0" vertical="bottom" wrapText="0"/>
    </xf>
    <xf borderId="15" fillId="8" fontId="8" numFmtId="0" xfId="0" applyAlignment="1" applyBorder="1" applyFill="1" applyFont="1">
      <alignment horizontal="left" shrinkToFit="0" vertical="bottom" wrapText="0"/>
    </xf>
    <xf borderId="19" fillId="2" fontId="10" numFmtId="0" xfId="0" applyAlignment="1" applyBorder="1" applyFill="1" applyFont="1">
      <alignment horizontal="left" shrinkToFit="0" textRotation="90" vertical="center" wrapText="0"/>
    </xf>
    <xf borderId="15" fillId="0" fontId="8" numFmtId="1" xfId="0" applyAlignment="1" applyBorder="1" applyFont="1" applyNumberFormat="1">
      <alignment horizontal="left" readingOrder="0" shrinkToFit="0" vertical="bottom" wrapText="0"/>
    </xf>
    <xf borderId="20" fillId="0" fontId="3" numFmtId="0" xfId="0" applyBorder="1" applyFont="1"/>
    <xf borderId="15" fillId="2" fontId="13" numFmtId="4" xfId="0" applyAlignment="1" applyBorder="1" applyFill="1" applyFont="1" applyNumberFormat="1">
      <alignment horizontal="left" shrinkToFit="0" vertical="bottom" wrapText="0"/>
    </xf>
    <xf borderId="15" fillId="5" fontId="8" numFmtId="10" xfId="0" applyAlignment="1" applyBorder="1" applyFill="1" applyFont="1" applyNumberFormat="1">
      <alignment horizontal="left" readingOrder="0" shrinkToFit="0" vertical="bottom" wrapText="0"/>
    </xf>
    <xf borderId="21" fillId="0" fontId="3" numFmtId="0" xfId="0" applyBorder="1" applyFont="1"/>
    <xf borderId="11" fillId="8" fontId="8" numFmtId="4" xfId="0" applyAlignment="1" applyBorder="1" applyFill="1" applyFont="1" applyNumberFormat="1">
      <alignment horizontal="left" shrinkToFit="0" vertical="bottom" wrapText="0"/>
    </xf>
    <xf borderId="15" fillId="8" fontId="8" numFmtId="3" xfId="0" applyAlignment="1" applyBorder="1" applyFill="1" applyFont="1" applyNumberFormat="1">
      <alignment horizontal="left" shrinkToFit="0" vertical="bottom" wrapText="0"/>
    </xf>
    <xf borderId="22" fillId="8" fontId="8" numFmtId="4" xfId="0" applyAlignment="1" applyBorder="1" applyFill="1" applyFont="1" applyNumberFormat="1">
      <alignment horizontal="left" shrinkToFit="0" vertical="bottom" wrapText="0"/>
    </xf>
    <xf borderId="11" fillId="8" fontId="8" numFmtId="0" xfId="0" applyAlignment="1" applyBorder="1" applyFill="1" applyFont="1">
      <alignment horizontal="left" shrinkToFit="0" vertical="bottom" wrapText="0"/>
    </xf>
    <xf borderId="19" fillId="2" fontId="10" numFmtId="1" xfId="0" applyAlignment="1" applyBorder="1" applyFill="1" applyFont="1" applyNumberFormat="1">
      <alignment horizontal="left" shrinkToFit="0" textRotation="90" vertical="center" wrapText="0"/>
    </xf>
    <xf borderId="15" fillId="4" fontId="8" numFmtId="4" xfId="0" applyAlignment="1" applyBorder="1" applyFill="1" applyFont="1" applyNumberFormat="1">
      <alignment horizontal="left" shrinkToFit="0" vertical="bottom" wrapText="0"/>
    </xf>
    <xf borderId="15" fillId="12" fontId="14" numFmtId="4" xfId="0" applyAlignment="1" applyBorder="1" applyFill="1" applyFont="1" applyNumberFormat="1">
      <alignment horizontal="left" shrinkToFit="0" vertical="bottom" wrapText="0"/>
    </xf>
    <xf borderId="15" fillId="12" fontId="8" numFmtId="4" xfId="0" applyAlignment="1" applyBorder="1" applyFill="1" applyFont="1" applyNumberFormat="1">
      <alignment horizontal="left" shrinkToFit="0" vertical="bottom" wrapText="0"/>
    </xf>
    <xf borderId="15" fillId="0" fontId="8" numFmtId="165" xfId="0" applyAlignment="1" applyBorder="1" applyFont="1" applyNumberFormat="1">
      <alignment horizontal="left" shrinkToFit="0" vertical="bottom" wrapText="0"/>
    </xf>
    <xf borderId="15" fillId="0" fontId="8" numFmtId="166" xfId="0" applyAlignment="1" applyBorder="1" applyFont="1" applyNumberFormat="1">
      <alignment horizontal="left" shrinkToFit="0" vertical="bottom" wrapText="0"/>
    </xf>
    <xf borderId="15" fillId="4" fontId="8" numFmtId="165" xfId="0" applyAlignment="1" applyBorder="1" applyFill="1" applyFont="1" applyNumberFormat="1">
      <alignment horizontal="left" shrinkToFit="0" vertical="bottom" wrapText="0"/>
    </xf>
    <xf borderId="15" fillId="4" fontId="8" numFmtId="166" xfId="0" applyAlignment="1" applyBorder="1" applyFill="1" applyFont="1" applyNumberFormat="1">
      <alignment horizontal="left" shrinkToFit="0" vertical="bottom" wrapText="0"/>
    </xf>
    <xf borderId="5" fillId="8" fontId="8" numFmtId="0" xfId="0" applyAlignment="1" applyBorder="1" applyFill="1" applyFont="1">
      <alignment horizontal="center" shrinkToFit="0" vertical="bottom" wrapText="0"/>
    </xf>
    <xf borderId="5" fillId="4" fontId="8" numFmtId="0" xfId="0" applyAlignment="1" applyBorder="1" applyFill="1" applyFont="1">
      <alignment horizontal="center" shrinkToFit="0" vertical="bottom" wrapText="0"/>
    </xf>
    <xf borderId="7" fillId="2" fontId="10" numFmtId="0" xfId="0" applyAlignment="1" applyBorder="1" applyFill="1" applyFont="1">
      <alignment horizontal="center" shrinkToFit="0" vertical="bottom" wrapText="0"/>
    </xf>
    <xf borderId="15" fillId="0" fontId="8" numFmtId="3" xfId="0" applyAlignment="1" applyBorder="1" applyFont="1" applyNumberFormat="1">
      <alignment horizontal="center" shrinkToFit="0" vertical="bottom" wrapText="0"/>
    </xf>
    <xf borderId="14" fillId="2" fontId="10" numFmtId="0" xfId="0" applyAlignment="1" applyBorder="1" applyFill="1" applyFont="1">
      <alignment horizontal="center" shrinkToFit="0" vertical="center" wrapText="0"/>
    </xf>
    <xf borderId="15" fillId="9" fontId="10" numFmtId="165" xfId="0" applyAlignment="1" applyBorder="1" applyFill="1" applyFont="1" applyNumberFormat="1">
      <alignment horizontal="center" shrinkToFit="0" vertical="bottom" wrapText="0"/>
    </xf>
    <xf borderId="15" fillId="10" fontId="12" numFmtId="0" xfId="0" applyAlignment="1" applyBorder="1" applyFill="1" applyFont="1">
      <alignment horizontal="center" shrinkToFit="0" vertical="bottom" wrapText="0"/>
    </xf>
    <xf borderId="15" fillId="11" fontId="10" numFmtId="0" xfId="0" applyAlignment="1" applyBorder="1" applyFill="1" applyFont="1">
      <alignment horizontal="center" shrinkToFit="0" vertical="bottom" wrapText="0"/>
    </xf>
    <xf borderId="6" fillId="10" fontId="12" numFmtId="0" xfId="0" applyAlignment="1" applyBorder="1" applyFill="1" applyFont="1">
      <alignment horizontal="center" shrinkToFit="0" vertical="bottom" wrapText="0"/>
    </xf>
    <xf borderId="6" fillId="11" fontId="10" numFmtId="0" xfId="0" applyAlignment="1" applyBorder="1" applyFill="1" applyFont="1">
      <alignment horizontal="center" shrinkToFit="0" vertical="bottom" wrapText="0"/>
    </xf>
    <xf borderId="15" fillId="2" fontId="13" numFmtId="0" xfId="0" applyAlignment="1" applyBorder="1" applyFill="1" applyFont="1">
      <alignment horizontal="center" shrinkToFit="0" vertical="bottom" wrapText="0"/>
    </xf>
    <xf borderId="23" fillId="12" fontId="8" numFmtId="164" xfId="0" applyAlignment="1" applyBorder="1" applyFill="1" applyFont="1" applyNumberFormat="1">
      <alignment horizontal="center" shrinkToFit="0" vertical="bottom" wrapText="0"/>
    </xf>
    <xf borderId="23" fillId="4" fontId="8" numFmtId="164" xfId="0" applyAlignment="1" applyBorder="1" applyFill="1" applyFont="1" applyNumberFormat="1">
      <alignment horizontal="center" shrinkToFit="0" vertical="bottom" wrapText="0"/>
    </xf>
    <xf borderId="23" fillId="12" fontId="8" numFmtId="4" xfId="0" applyAlignment="1" applyBorder="1" applyFill="1" applyFont="1" applyNumberFormat="1">
      <alignment horizontal="center" shrinkToFit="0" vertical="bottom" wrapText="0"/>
    </xf>
    <xf borderId="5" fillId="12" fontId="14" numFmtId="10" xfId="0" applyAlignment="1" applyBorder="1" applyFill="1" applyFont="1" applyNumberFormat="1">
      <alignment horizontal="center" shrinkToFit="0" vertical="bottom" wrapText="0"/>
    </xf>
    <xf borderId="5" fillId="12" fontId="8" numFmtId="164" xfId="0" applyAlignment="1" applyBorder="1" applyFill="1" applyFont="1" applyNumberFormat="1">
      <alignment horizontal="center" shrinkToFit="0" vertical="bottom" wrapText="0"/>
    </xf>
    <xf borderId="15" fillId="4" fontId="14" numFmtId="10" xfId="0" applyAlignment="1" applyBorder="1" applyFill="1" applyFont="1" applyNumberFormat="1">
      <alignment horizontal="center" shrinkToFit="0" vertical="bottom" wrapText="0"/>
    </xf>
    <xf borderId="15" fillId="12" fontId="14" numFmtId="10" xfId="0" applyAlignment="1" applyBorder="1" applyFill="1" applyFont="1" applyNumberFormat="1">
      <alignment horizontal="center" shrinkToFit="0" vertical="bottom" wrapText="0"/>
    </xf>
    <xf borderId="5" fillId="8" fontId="8" numFmtId="1" xfId="0" applyAlignment="1" applyBorder="1" applyFill="1" applyFont="1" applyNumberFormat="1">
      <alignment horizontal="center" shrinkToFit="0" vertical="bottom" wrapText="0"/>
    </xf>
    <xf borderId="15" fillId="12" fontId="8" numFmtId="0" xfId="0" applyAlignment="1" applyBorder="1" applyFill="1" applyFont="1">
      <alignment horizontal="center" shrinkToFit="0" vertical="bottom" wrapText="0"/>
    </xf>
    <xf borderId="15" fillId="4" fontId="8" numFmtId="0" xfId="0" applyAlignment="1" applyBorder="1" applyFill="1" applyFont="1">
      <alignment horizontal="center" shrinkToFit="0" vertical="bottom" wrapText="0"/>
    </xf>
    <xf borderId="5" fillId="12" fontId="8" numFmtId="0" xfId="0" applyAlignment="1" applyBorder="1" applyFill="1" applyFont="1">
      <alignment horizontal="center" shrinkToFit="0" vertical="bottom" wrapText="0"/>
    </xf>
    <xf borderId="5" fillId="8" fontId="8" numFmtId="10" xfId="0" applyAlignment="1" applyBorder="1" applyFill="1" applyFont="1" applyNumberFormat="1">
      <alignment horizontal="center" shrinkToFit="0" vertical="bottom" wrapText="0"/>
    </xf>
    <xf borderId="15" fillId="2" fontId="13" numFmtId="1" xfId="0" applyAlignment="1" applyBorder="1" applyFill="1" applyFont="1" applyNumberFormat="1">
      <alignment horizontal="center" shrinkToFit="0" vertical="bottom" wrapText="0"/>
    </xf>
    <xf borderId="15" fillId="12" fontId="8" numFmtId="1" xfId="0" applyAlignment="1" applyBorder="1" applyFill="1" applyFont="1" applyNumberFormat="1">
      <alignment horizontal="center" shrinkToFit="0" vertical="bottom" wrapText="0"/>
    </xf>
    <xf borderId="5" fillId="12" fontId="8" numFmtId="1" xfId="0" applyAlignment="1" applyBorder="1" applyFill="1" applyFont="1" applyNumberFormat="1">
      <alignment horizontal="center" shrinkToFit="0" vertical="bottom" wrapText="0"/>
    </xf>
    <xf borderId="5" fillId="8" fontId="8" numFmtId="9" xfId="0" applyAlignment="1" applyBorder="1" applyFill="1" applyFont="1" applyNumberFormat="1">
      <alignment horizontal="center" shrinkToFit="0" vertical="bottom" wrapText="0"/>
    </xf>
    <xf borderId="15" fillId="5" fontId="14" numFmtId="10" xfId="0" applyAlignment="1" applyBorder="1" applyFill="1" applyFont="1" applyNumberFormat="1">
      <alignment horizontal="center" shrinkToFit="0" vertical="bottom" wrapText="0"/>
    </xf>
    <xf borderId="5" fillId="8" fontId="8" numFmtId="164" xfId="0" applyAlignment="1" applyBorder="1" applyFill="1" applyFont="1" applyNumberFormat="1">
      <alignment horizontal="center" shrinkToFit="0" vertical="bottom" wrapText="0"/>
    </xf>
    <xf borderId="15" fillId="2" fontId="13" numFmtId="164" xfId="0" applyAlignment="1" applyBorder="1" applyFill="1" applyFont="1" applyNumberFormat="1">
      <alignment horizontal="center" shrinkToFit="0" vertical="bottom" wrapText="0"/>
    </xf>
    <xf borderId="15" fillId="8" fontId="8" numFmtId="0" xfId="0" applyAlignment="1" applyBorder="1" applyFill="1" applyFont="1">
      <alignment horizontal="center" shrinkToFit="0" vertical="bottom" wrapText="0"/>
    </xf>
    <xf borderId="15" fillId="12" fontId="8" numFmtId="164" xfId="0" applyAlignment="1" applyBorder="1" applyFill="1" applyFont="1" applyNumberFormat="1">
      <alignment horizontal="center" shrinkToFit="0" vertical="bottom" wrapText="0"/>
    </xf>
    <xf borderId="15" fillId="4" fontId="8" numFmtId="164" xfId="0" applyAlignment="1" applyBorder="1" applyFill="1" applyFont="1" applyNumberFormat="1">
      <alignment horizontal="center" shrinkToFit="0" vertical="bottom" wrapText="0"/>
    </xf>
    <xf borderId="6" fillId="2" fontId="13" numFmtId="164" xfId="0" applyAlignment="1" applyBorder="1" applyFill="1" applyFont="1" applyNumberFormat="1">
      <alignment horizontal="center" shrinkToFit="0" vertical="bottom" wrapText="0"/>
    </xf>
    <xf borderId="15" fillId="0" fontId="8" numFmtId="164" xfId="0" applyAlignment="1" applyBorder="1" applyFont="1" applyNumberFormat="1">
      <alignment horizontal="center" shrinkToFit="0" vertical="bottom" wrapText="0"/>
    </xf>
    <xf borderId="15" fillId="2" fontId="8" numFmtId="164" xfId="0" applyAlignment="1" applyBorder="1" applyFill="1" applyFont="1" applyNumberFormat="1">
      <alignment horizontal="center" shrinkToFit="0" vertical="bottom" wrapText="0"/>
    </xf>
    <xf borderId="11" fillId="2" fontId="8" numFmtId="0" xfId="0" applyAlignment="1" applyBorder="1" applyFill="1" applyFont="1">
      <alignment horizontal="center" shrinkToFit="0" vertical="bottom" wrapText="0"/>
    </xf>
    <xf borderId="13" fillId="2" fontId="8" numFmtId="0" xfId="0" applyAlignment="1" applyBorder="1" applyFill="1" applyFont="1">
      <alignment horizontal="center" shrinkToFit="0" vertical="bottom" wrapText="0"/>
    </xf>
    <xf borderId="24" fillId="2" fontId="8" numFmtId="0" xfId="0" applyAlignment="1" applyBorder="1" applyFill="1" applyFont="1">
      <alignment horizontal="center" shrinkToFit="0" vertical="bottom" wrapText="0"/>
    </xf>
    <xf borderId="5" fillId="8" fontId="11" numFmtId="9" xfId="0" applyAlignment="1" applyBorder="1" applyFill="1" applyFont="1" applyNumberFormat="1">
      <alignment horizontal="center" shrinkToFit="0" vertical="center" wrapText="0"/>
    </xf>
    <xf borderId="5" fillId="8" fontId="11" numFmtId="0" xfId="0" applyAlignment="1" applyBorder="1" applyFill="1" applyFont="1">
      <alignment horizontal="center" shrinkToFit="0" vertical="center" wrapText="0"/>
    </xf>
    <xf borderId="5" fillId="8" fontId="11" numFmtId="0" xfId="0" applyAlignment="1" applyBorder="1" applyFill="1" applyFont="1">
      <alignment horizontal="center" shrinkToFit="0" vertical="bottom" wrapText="0"/>
    </xf>
    <xf borderId="5" fillId="8" fontId="11" numFmtId="165" xfId="0" applyAlignment="1" applyBorder="1" applyFill="1" applyFont="1" applyNumberFormat="1">
      <alignment horizontal="center" shrinkToFit="0" vertical="bottom" wrapText="0"/>
    </xf>
    <xf borderId="5" fillId="8" fontId="11" numFmtId="166" xfId="0" applyAlignment="1" applyBorder="1" applyFill="1" applyFont="1" applyNumberFormat="1">
      <alignment horizontal="center" shrinkToFit="0" vertical="bottom" wrapText="0"/>
    </xf>
    <xf borderId="5" fillId="8" fontId="14" numFmtId="0" xfId="0" applyAlignment="1" applyBorder="1" applyFill="1" applyFont="1">
      <alignment horizontal="center" shrinkToFit="0" vertical="bottom" wrapText="0"/>
    </xf>
    <xf borderId="15" fillId="13" fontId="10" numFmtId="165" xfId="0" applyAlignment="1" applyBorder="1" applyFill="1" applyFont="1" applyNumberFormat="1">
      <alignment horizontal="center" shrinkToFit="0" vertical="bottom" wrapText="0"/>
    </xf>
    <xf borderId="15" fillId="2" fontId="10" numFmtId="165" xfId="0" applyAlignment="1" applyBorder="1" applyFill="1" applyFont="1" applyNumberFormat="1">
      <alignment horizontal="center" shrinkToFit="0" vertical="bottom" wrapText="0"/>
    </xf>
    <xf borderId="12" fillId="2" fontId="10" numFmtId="165" xfId="0" applyAlignment="1" applyBorder="1" applyFill="1" applyFont="1" applyNumberFormat="1">
      <alignment horizontal="center" shrinkToFit="0" vertical="bottom" wrapText="0"/>
    </xf>
    <xf borderId="15" fillId="2" fontId="10" numFmtId="166" xfId="0" applyAlignment="1" applyBorder="1" applyFill="1" applyFont="1" applyNumberFormat="1">
      <alignment horizontal="center" shrinkToFit="0" vertical="bottom" wrapText="0"/>
    </xf>
    <xf borderId="15" fillId="0" fontId="14" numFmtId="0" xfId="0" applyAlignment="1" applyBorder="1" applyFont="1">
      <alignment horizontal="center" shrinkToFit="0" vertical="bottom" wrapText="0"/>
    </xf>
    <xf borderId="11" fillId="4" fontId="14" numFmtId="0" xfId="0" applyAlignment="1" applyBorder="1" applyFill="1" applyFont="1">
      <alignment horizontal="center" shrinkToFit="0" vertical="bottom" wrapText="0"/>
    </xf>
    <xf borderId="12" fillId="4" fontId="14" numFmtId="0" xfId="0" applyAlignment="1" applyBorder="1" applyFill="1" applyFont="1">
      <alignment horizontal="center"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horizontal="center" shrinkToFit="0" vertical="bottom" wrapText="0"/>
    </xf>
    <xf borderId="11" fillId="12" fontId="14" numFmtId="0" xfId="0" applyAlignment="1" applyBorder="1" applyFill="1" applyFont="1">
      <alignment horizontal="center" shrinkToFit="0" vertical="bottom" wrapText="0"/>
    </xf>
    <xf borderId="12" fillId="12" fontId="14" numFmtId="0" xfId="0" applyAlignment="1" applyBorder="1" applyFill="1" applyFont="1">
      <alignment horizontal="center" shrinkToFit="0" vertical="bottom" wrapText="0"/>
    </xf>
    <xf borderId="15" fillId="14" fontId="11" numFmtId="0" xfId="0" applyAlignment="1" applyBorder="1" applyFill="1" applyFont="1">
      <alignment horizontal="center" shrinkToFit="0" vertical="bottom" wrapText="0"/>
    </xf>
    <xf borderId="15" fillId="15" fontId="11" numFmtId="0" xfId="0" applyAlignment="1" applyBorder="1" applyFill="1" applyFont="1">
      <alignment horizontal="center" shrinkToFit="0" vertical="bottom" wrapText="0"/>
    </xf>
    <xf borderId="15" fillId="12" fontId="14" numFmtId="3" xfId="0" applyAlignment="1" applyBorder="1" applyFill="1" applyFont="1" applyNumberFormat="1">
      <alignment horizontal="center" shrinkToFit="0" vertical="bottom" wrapText="0"/>
    </xf>
    <xf borderId="15" fillId="4" fontId="14" numFmtId="0" xfId="0" applyAlignment="1" applyBorder="1" applyFill="1" applyFont="1">
      <alignment horizontal="center" shrinkToFit="0" vertical="bottom" wrapText="0"/>
    </xf>
    <xf borderId="15" fillId="12" fontId="14" numFmtId="0" xfId="0" applyAlignment="1" applyBorder="1" applyFill="1" applyFont="1">
      <alignment horizontal="center" shrinkToFit="0" vertical="bottom" wrapText="0"/>
    </xf>
    <xf borderId="12" fillId="4" fontId="14" numFmtId="1" xfId="0" applyAlignment="1" applyBorder="1" applyFill="1" applyFont="1" applyNumberFormat="1">
      <alignment horizontal="center" shrinkToFit="0" vertical="bottom" wrapText="0"/>
    </xf>
    <xf borderId="15" fillId="12" fontId="14" numFmtId="1" xfId="0" applyAlignment="1" applyBorder="1" applyFill="1" applyFont="1" applyNumberFormat="1">
      <alignment horizontal="center" shrinkToFit="0" vertical="bottom" wrapText="0"/>
    </xf>
    <xf borderId="12" fillId="12" fontId="14" numFmtId="3" xfId="0" applyAlignment="1" applyBorder="1" applyFill="1" applyFont="1" applyNumberFormat="1">
      <alignment horizontal="center" shrinkToFit="0" vertical="bottom" wrapText="0"/>
    </xf>
    <xf borderId="15" fillId="0" fontId="15" numFmtId="0" xfId="0" applyAlignment="1" applyBorder="1" applyFont="1">
      <alignment horizontal="center" shrinkToFit="0" vertical="bottom" wrapText="0"/>
    </xf>
    <xf borderId="15" fillId="12" fontId="15" numFmtId="3" xfId="0" applyAlignment="1" applyBorder="1" applyFill="1" applyFont="1" applyNumberFormat="1">
      <alignment horizontal="center" shrinkToFit="0" vertical="bottom" wrapText="0"/>
    </xf>
    <xf borderId="15" fillId="0" fontId="15" numFmtId="10" xfId="0" applyAlignment="1" applyBorder="1" applyFont="1" applyNumberFormat="1">
      <alignment horizontal="center" shrinkToFit="0" vertical="bottom" wrapText="0"/>
    </xf>
    <xf borderId="15" fillId="12" fontId="15" numFmtId="10" xfId="0" applyAlignment="1" applyBorder="1" applyFill="1" applyFont="1" applyNumberFormat="1">
      <alignment horizontal="center" shrinkToFit="0" vertical="bottom" wrapText="0"/>
    </xf>
    <xf borderId="15" fillId="4" fontId="15" numFmtId="0" xfId="0" applyAlignment="1" applyBorder="1" applyFill="1" applyFont="1">
      <alignment horizontal="center" shrinkToFit="0" vertical="bottom" wrapText="0"/>
    </xf>
    <xf borderId="15" fillId="12" fontId="15" numFmtId="0" xfId="0" applyAlignment="1" applyBorder="1" applyFill="1" applyFont="1">
      <alignment horizontal="center" shrinkToFit="0" vertical="bottom" wrapText="0"/>
    </xf>
    <xf borderId="15" fillId="12" fontId="15" numFmtId="1" xfId="0" applyAlignment="1" applyBorder="1" applyFill="1" applyFont="1" applyNumberFormat="1">
      <alignment horizontal="center" shrinkToFit="0" vertical="bottom" wrapText="0"/>
    </xf>
    <xf borderId="5" fillId="8" fontId="14" numFmtId="1" xfId="0" applyAlignment="1" applyBorder="1" applyFill="1" applyFont="1" applyNumberFormat="1">
      <alignment horizontal="center" shrinkToFit="0" vertical="bottom" wrapText="0"/>
    </xf>
    <xf borderId="5" fillId="8" fontId="14" numFmtId="164" xfId="0" applyAlignment="1" applyBorder="1" applyFill="1" applyFont="1" applyNumberFormat="1">
      <alignment horizontal="center" shrinkToFit="0" vertical="bottom" wrapText="0"/>
    </xf>
    <xf borderId="15" fillId="12" fontId="14" numFmtId="164" xfId="0" applyAlignment="1" applyBorder="1" applyFill="1" applyFont="1" applyNumberFormat="1">
      <alignment horizontal="center" shrinkToFit="0" vertical="bottom" wrapText="0"/>
    </xf>
    <xf borderId="15" fillId="4" fontId="15" numFmtId="164" xfId="0" applyAlignment="1" applyBorder="1" applyFill="1" applyFont="1" applyNumberFormat="1">
      <alignment horizontal="center" shrinkToFit="0" vertical="bottom" wrapText="0"/>
    </xf>
    <xf borderId="15" fillId="12" fontId="15" numFmtId="164" xfId="0" applyAlignment="1" applyBorder="1" applyFill="1" applyFont="1" applyNumberFormat="1">
      <alignment horizontal="center" shrinkToFit="0" vertical="bottom" wrapText="0"/>
    </xf>
    <xf borderId="15" fillId="4" fontId="14" numFmtId="3" xfId="0" applyAlignment="1" applyBorder="1" applyFill="1" applyFont="1" applyNumberFormat="1">
      <alignment horizontal="center" shrinkToFit="0" vertical="bottom" wrapText="0"/>
    </xf>
    <xf borderId="11" fillId="4" fontId="14" numFmtId="164" xfId="0" applyAlignment="1" applyBorder="1" applyFill="1" applyFont="1" applyNumberFormat="1">
      <alignment horizontal="center" shrinkToFit="0" vertical="bottom" wrapText="0"/>
    </xf>
    <xf borderId="12" fillId="4" fontId="14" numFmtId="164" xfId="0" applyAlignment="1" applyBorder="1" applyFill="1" applyFont="1" applyNumberFormat="1">
      <alignment horizontal="center" shrinkToFit="0" vertical="bottom" wrapText="0"/>
    </xf>
    <xf borderId="15" fillId="0" fontId="15" numFmtId="3" xfId="0" applyAlignment="1" applyBorder="1" applyFont="1" applyNumberFormat="1">
      <alignment horizontal="center" shrinkToFit="0" vertical="bottom" wrapText="0"/>
    </xf>
    <xf borderId="23" fillId="4" fontId="14" numFmtId="1" xfId="0" applyAlignment="1" applyBorder="1" applyFill="1" applyFont="1" applyNumberFormat="1">
      <alignment horizontal="center" shrinkToFit="0" vertical="bottom" wrapText="0"/>
    </xf>
    <xf borderId="15" fillId="0" fontId="14" numFmtId="164" xfId="0" applyAlignment="1" applyBorder="1" applyFont="1" applyNumberFormat="1">
      <alignment horizontal="center" shrinkToFit="0" vertical="bottom" wrapText="0"/>
    </xf>
    <xf borderId="15" fillId="4" fontId="14" numFmtId="164" xfId="0" applyAlignment="1" applyBorder="1" applyFill="1" applyFont="1" applyNumberFormat="1">
      <alignment horizontal="center" shrinkToFit="0" vertical="bottom" wrapText="0"/>
    </xf>
    <xf borderId="15" fillId="0" fontId="15" numFmtId="164" xfId="0" applyAlignment="1" applyBorder="1" applyFont="1" applyNumberFormat="1">
      <alignment horizontal="center" shrinkToFit="0" vertical="bottom" wrapText="0"/>
    </xf>
    <xf borderId="15" fillId="2" fontId="14" numFmtId="164" xfId="0" applyAlignment="1" applyBorder="1" applyFill="1" applyFont="1" applyNumberFormat="1">
      <alignment horizontal="center" shrinkToFit="0" vertical="bottom" wrapText="0"/>
    </xf>
    <xf borderId="15" fillId="2" fontId="14" numFmtId="0" xfId="0" applyAlignment="1" applyBorder="1" applyFill="1" applyFont="1">
      <alignment horizontal="center" shrinkToFit="0" vertical="bottom" wrapText="0"/>
    </xf>
    <xf borderId="7" fillId="2" fontId="14" numFmtId="0" xfId="0" applyAlignment="1" applyBorder="1" applyFill="1" applyFont="1">
      <alignment horizontal="center" shrinkToFit="0" vertical="bottom" wrapText="0"/>
    </xf>
    <xf borderId="5" fillId="8" fontId="8" numFmtId="0" xfId="0" applyAlignment="1" applyBorder="1" applyFill="1" applyFont="1">
      <alignment shrinkToFit="0" vertical="bottom" wrapText="0"/>
    </xf>
    <xf borderId="5" fillId="4" fontId="8" numFmtId="0" xfId="0" applyAlignment="1" applyBorder="1" applyFill="1" applyFont="1">
      <alignment shrinkToFit="0" vertical="bottom" wrapText="0"/>
    </xf>
    <xf borderId="15" fillId="0" fontId="8" numFmtId="3" xfId="0" applyAlignment="1" applyBorder="1" applyFont="1" applyNumberFormat="1">
      <alignment shrinkToFit="0" vertical="bottom" wrapText="0"/>
    </xf>
    <xf borderId="23" fillId="12" fontId="8" numFmtId="164" xfId="0" applyAlignment="1" applyBorder="1" applyFill="1" applyFont="1" applyNumberFormat="1">
      <alignment shrinkToFit="0" vertical="bottom" wrapText="0"/>
    </xf>
    <xf borderId="23" fillId="4" fontId="8" numFmtId="164" xfId="0" applyAlignment="1" applyBorder="1" applyFill="1" applyFont="1" applyNumberFormat="1">
      <alignment shrinkToFit="0" vertical="bottom" wrapText="0"/>
    </xf>
    <xf borderId="23" fillId="12" fontId="8" numFmtId="4" xfId="0" applyAlignment="1" applyBorder="1" applyFill="1" applyFont="1" applyNumberFormat="1">
      <alignment shrinkToFit="0" vertical="bottom" wrapText="0"/>
    </xf>
    <xf borderId="5" fillId="12" fontId="8" numFmtId="164" xfId="0" applyAlignment="1" applyBorder="1" applyFill="1" applyFont="1" applyNumberFormat="1">
      <alignment shrinkToFit="0" vertical="bottom" wrapText="0"/>
    </xf>
    <xf borderId="5" fillId="8" fontId="8" numFmtId="1" xfId="0" applyAlignment="1" applyBorder="1" applyFill="1" applyFont="1" applyNumberFormat="1">
      <alignment shrinkToFit="0" vertical="bottom" wrapText="0"/>
    </xf>
    <xf borderId="15" fillId="12" fontId="8" numFmtId="0" xfId="0" applyAlignment="1" applyBorder="1" applyFill="1" applyFont="1">
      <alignment shrinkToFit="0" vertical="bottom" wrapText="0"/>
    </xf>
    <xf borderId="15" fillId="4" fontId="8" numFmtId="0" xfId="0" applyAlignment="1" applyBorder="1" applyFill="1" applyFont="1">
      <alignment shrinkToFit="0" vertical="bottom" wrapText="0"/>
    </xf>
    <xf borderId="5" fillId="12" fontId="8" numFmtId="0" xfId="0" applyAlignment="1" applyBorder="1" applyFill="1" applyFont="1">
      <alignment shrinkToFit="0" vertical="bottom" wrapText="0"/>
    </xf>
    <xf borderId="5" fillId="8" fontId="8" numFmtId="10" xfId="0" applyAlignment="1" applyBorder="1" applyFill="1" applyFont="1" applyNumberFormat="1">
      <alignment shrinkToFit="0" vertical="bottom" wrapText="0"/>
    </xf>
    <xf borderId="15" fillId="12" fontId="8" numFmtId="1" xfId="0" applyAlignment="1" applyBorder="1" applyFill="1" applyFont="1" applyNumberFormat="1">
      <alignment shrinkToFit="0" vertical="bottom" wrapText="0"/>
    </xf>
    <xf borderId="5" fillId="12" fontId="8" numFmtId="1" xfId="0" applyAlignment="1" applyBorder="1" applyFill="1" applyFont="1" applyNumberFormat="1">
      <alignment shrinkToFit="0" vertical="bottom" wrapText="0"/>
    </xf>
    <xf borderId="5" fillId="8" fontId="8" numFmtId="9" xfId="0" applyAlignment="1" applyBorder="1" applyFill="1" applyFont="1" applyNumberFormat="1">
      <alignment shrinkToFit="0" vertical="bottom" wrapText="0"/>
    </xf>
    <xf borderId="5" fillId="8" fontId="8" numFmtId="164" xfId="0" applyAlignment="1" applyBorder="1" applyFill="1" applyFont="1" applyNumberFormat="1">
      <alignment shrinkToFit="0" vertical="bottom" wrapText="0"/>
    </xf>
    <xf borderId="15" fillId="8" fontId="8" numFmtId="0" xfId="0" applyAlignment="1" applyBorder="1" applyFill="1" applyFont="1">
      <alignment shrinkToFit="0" vertical="bottom" wrapText="0"/>
    </xf>
    <xf borderId="15" fillId="12" fontId="8" numFmtId="164" xfId="0" applyAlignment="1" applyBorder="1" applyFill="1" applyFont="1" applyNumberFormat="1">
      <alignment shrinkToFit="0" vertical="bottom" wrapText="0"/>
    </xf>
    <xf borderId="15" fillId="4" fontId="8" numFmtId="164" xfId="0" applyAlignment="1" applyBorder="1" applyFill="1" applyFont="1" applyNumberFormat="1">
      <alignment shrinkToFit="0" vertical="bottom" wrapText="0"/>
    </xf>
    <xf borderId="15" fillId="0" fontId="8" numFmtId="164" xfId="0" applyAlignment="1" applyBorder="1" applyFont="1" applyNumberFormat="1">
      <alignment shrinkToFit="0" vertical="bottom" wrapText="0"/>
    </xf>
    <xf borderId="15" fillId="2" fontId="8" numFmtId="164" xfId="0" applyAlignment="1" applyBorder="1" applyFill="1" applyFont="1" applyNumberFormat="1">
      <alignment shrinkToFit="0" vertical="bottom" wrapText="0"/>
    </xf>
    <xf borderId="11" fillId="2" fontId="8" numFmtId="0" xfId="0" applyAlignment="1" applyBorder="1" applyFill="1" applyFont="1">
      <alignment shrinkToFit="0" vertical="bottom" wrapText="0"/>
    </xf>
    <xf borderId="13" fillId="2" fontId="8" numFmtId="0" xfId="0" applyAlignment="1" applyBorder="1" applyFill="1" applyFont="1">
      <alignment shrinkToFit="0" vertical="bottom" wrapText="0"/>
    </xf>
    <xf borderId="24" fillId="2" fontId="8" numFmtId="0" xfId="0" applyAlignment="1" applyBorder="1" applyFill="1" applyFont="1">
      <alignment shrinkToFit="0" vertical="bottom" wrapText="0"/>
    </xf>
    <xf borderId="5" fillId="8" fontId="14" numFmtId="0" xfId="0" applyAlignment="1" applyBorder="1" applyFill="1" applyFont="1">
      <alignment shrinkToFit="0" vertical="bottom" wrapText="0"/>
    </xf>
    <xf borderId="15" fillId="12" fontId="14" numFmtId="3" xfId="0" applyAlignment="1" applyBorder="1" applyFill="1" applyFont="1" applyNumberFormat="1">
      <alignment horizontal="right" shrinkToFit="0" vertical="bottom" wrapText="0"/>
    </xf>
    <xf borderId="15" fillId="0" fontId="14" numFmtId="0" xfId="0" applyAlignment="1" applyBorder="1" applyFont="1">
      <alignment shrinkToFit="0" vertical="bottom" wrapText="0"/>
    </xf>
    <xf borderId="15" fillId="12" fontId="14" numFmtId="164" xfId="0" applyAlignment="1" applyBorder="1" applyFill="1" applyFont="1" applyNumberFormat="1">
      <alignment horizontal="right" shrinkToFit="0" vertical="bottom" wrapText="0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173D6D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>
        <b/>
        <color rgb="FFFFFFFF"/>
      </font>
      <fill>
        <patternFill patternType="solid">
          <fgColor rgb="FF666666"/>
          <bgColor rgb="FF666666"/>
        </patternFill>
      </fill>
      <border/>
    </dxf>
    <dxf>
      <font>
        <b/>
        <color rgb="FF173D6D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95250</xdr:rowOff>
    </xdr:from>
    <xdr:ext cx="174307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36.63"/>
    <col customWidth="1" min="3" max="3" width="16.88"/>
    <col customWidth="1" min="4" max="4" width="6.13"/>
    <col customWidth="1" min="5" max="5" width="20.88"/>
    <col customWidth="1" min="6" max="6" width="17.88"/>
    <col customWidth="1" min="7" max="7" width="22.88"/>
    <col customWidth="1" min="8" max="8" width="26.5"/>
    <col customWidth="1" min="9" max="10" width="22.88"/>
  </cols>
  <sheetData>
    <row r="1" ht="6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 t="s">
        <v>0</v>
      </c>
      <c r="C2" s="3"/>
      <c r="D2" s="1"/>
      <c r="E2" s="2" t="s">
        <v>1</v>
      </c>
      <c r="F2" s="4"/>
      <c r="G2" s="4"/>
      <c r="H2" s="4"/>
      <c r="I2" s="4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6.5" customHeight="1">
      <c r="A3" s="1"/>
      <c r="B3" s="5" t="s">
        <v>2</v>
      </c>
      <c r="C3" s="6">
        <v>25000.0</v>
      </c>
      <c r="D3" s="1"/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6.5" customHeight="1">
      <c r="A4" s="1"/>
      <c r="B4" s="5" t="s">
        <v>9</v>
      </c>
      <c r="C4" s="9" t="s">
        <v>10</v>
      </c>
      <c r="D4" s="1"/>
      <c r="E4" s="10" t="s">
        <v>11</v>
      </c>
      <c r="F4" s="11">
        <v>1.0</v>
      </c>
      <c r="G4" s="12">
        <f>C3*F4</f>
        <v>25000</v>
      </c>
      <c r="H4" s="13">
        <f t="shared" ref="H4:H7" si="1">G4/6</f>
        <v>4166.666667</v>
      </c>
      <c r="I4" s="5">
        <f t="shared" ref="I4:I7" si="2">G4/$C$5</f>
        <v>10</v>
      </c>
      <c r="J4" s="14">
        <f t="shared" ref="J4:J7" si="3">I4/6</f>
        <v>1.666666667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5" t="s">
        <v>12</v>
      </c>
      <c r="C5" s="6">
        <v>2500.0</v>
      </c>
      <c r="D5" s="1"/>
      <c r="E5" s="10" t="s">
        <v>13</v>
      </c>
      <c r="F5" s="11">
        <v>0.0</v>
      </c>
      <c r="G5" s="12">
        <f>C3*F5</f>
        <v>0</v>
      </c>
      <c r="H5" s="13">
        <f t="shared" si="1"/>
        <v>0</v>
      </c>
      <c r="I5" s="5">
        <f t="shared" si="2"/>
        <v>0</v>
      </c>
      <c r="J5" s="14">
        <f t="shared" si="3"/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6.5" customHeight="1">
      <c r="A6" s="1"/>
      <c r="B6" s="5" t="s">
        <v>14</v>
      </c>
      <c r="C6" s="15">
        <f>C3/C5</f>
        <v>10</v>
      </c>
      <c r="D6" s="1"/>
      <c r="E6" s="10" t="s">
        <v>15</v>
      </c>
      <c r="F6" s="11">
        <v>0.0</v>
      </c>
      <c r="G6" s="12">
        <f>C3*F6</f>
        <v>0</v>
      </c>
      <c r="H6" s="13">
        <f t="shared" si="1"/>
        <v>0</v>
      </c>
      <c r="I6" s="5">
        <f t="shared" si="2"/>
        <v>0</v>
      </c>
      <c r="J6" s="14">
        <f t="shared" si="3"/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6.5" customHeight="1">
      <c r="A7" s="1"/>
      <c r="B7" s="16"/>
      <c r="C7" s="17"/>
      <c r="D7" s="1"/>
      <c r="E7" s="10" t="s">
        <v>16</v>
      </c>
      <c r="F7" s="11">
        <v>0.0</v>
      </c>
      <c r="G7" s="12">
        <f>C3*F7</f>
        <v>0</v>
      </c>
      <c r="H7" s="13">
        <f t="shared" si="1"/>
        <v>0</v>
      </c>
      <c r="I7" s="5">
        <f t="shared" si="2"/>
        <v>0</v>
      </c>
      <c r="J7" s="14">
        <f t="shared" si="3"/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6.5" customHeight="1">
      <c r="A8" s="1"/>
      <c r="B8" s="16"/>
      <c r="C8" s="17"/>
      <c r="D8" s="1"/>
      <c r="E8" s="18" t="s">
        <v>17</v>
      </c>
      <c r="F8" s="19">
        <f t="shared" ref="F8:I8" si="4">SUM(F4:F7)</f>
        <v>1</v>
      </c>
      <c r="G8" s="20">
        <f t="shared" si="4"/>
        <v>25000</v>
      </c>
      <c r="H8" s="20">
        <f t="shared" si="4"/>
        <v>4166.666667</v>
      </c>
      <c r="I8" s="21">
        <f t="shared" si="4"/>
        <v>10</v>
      </c>
      <c r="J8" s="21" t="s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6.5" customHeight="1">
      <c r="A9" s="1"/>
      <c r="B9" s="1"/>
      <c r="C9" s="22"/>
      <c r="D9" s="1"/>
      <c r="E9" s="16"/>
      <c r="F9" s="17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6.5" customHeight="1">
      <c r="A10" s="1"/>
      <c r="B10" s="1"/>
      <c r="C10" s="23"/>
      <c r="D10" s="1"/>
      <c r="E10" s="24" t="s">
        <v>18</v>
      </c>
      <c r="F10" s="4"/>
      <c r="G10" s="4"/>
      <c r="H10" s="4"/>
      <c r="I10" s="4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5" customHeight="1">
      <c r="A11" s="1"/>
      <c r="B11" s="1"/>
      <c r="C11" s="25"/>
      <c r="D11" s="1"/>
      <c r="E11" s="7" t="s">
        <v>19</v>
      </c>
      <c r="F11" s="7" t="s">
        <v>20</v>
      </c>
      <c r="G11" s="26" t="s">
        <v>21</v>
      </c>
      <c r="H11" s="4"/>
      <c r="I11" s="4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5" customHeight="1">
      <c r="A12" s="1"/>
      <c r="B12" s="1"/>
      <c r="C12" s="22"/>
      <c r="D12" s="1"/>
      <c r="E12" s="27"/>
      <c r="F12" s="28"/>
      <c r="G12" s="29"/>
      <c r="H12" s="4"/>
      <c r="I12" s="4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5" customHeight="1">
      <c r="A13" s="1"/>
      <c r="B13" s="1"/>
      <c r="C13" s="23"/>
      <c r="D13" s="1"/>
      <c r="E13" s="30"/>
      <c r="F13" s="30"/>
      <c r="G13" s="29"/>
      <c r="H13" s="4"/>
      <c r="I13" s="4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5" customHeight="1">
      <c r="A14" s="1"/>
      <c r="B14" s="1"/>
      <c r="C14" s="23"/>
      <c r="D14" s="1"/>
      <c r="E14" s="30"/>
      <c r="F14" s="30"/>
      <c r="G14" s="29"/>
      <c r="H14" s="4"/>
      <c r="I14" s="4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6.5" customHeight="1">
      <c r="A15" s="1"/>
      <c r="B15" s="1"/>
      <c r="C15" s="1"/>
      <c r="D15" s="1"/>
      <c r="E15" s="30"/>
      <c r="F15" s="30"/>
      <c r="G15" s="29"/>
      <c r="H15" s="4"/>
      <c r="I15" s="4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31"/>
      <c r="C17" s="4"/>
      <c r="D17" s="4"/>
      <c r="E17" s="4"/>
      <c r="F17" s="4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6"/>
      <c r="C18" s="31"/>
      <c r="D18" s="4"/>
      <c r="E18" s="4"/>
      <c r="F18" s="4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6"/>
      <c r="C19" s="31"/>
      <c r="D19" s="4"/>
      <c r="E19" s="4"/>
      <c r="F19" s="4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6"/>
      <c r="C20" s="31"/>
      <c r="D20" s="4"/>
      <c r="E20" s="4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6"/>
      <c r="C21" s="31"/>
      <c r="D21" s="4"/>
      <c r="E21" s="4"/>
      <c r="F21" s="4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hidden="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hidden="1" customHeight="1">
      <c r="A24" s="1"/>
      <c r="B24" s="2" t="s">
        <v>22</v>
      </c>
      <c r="C24" s="3"/>
      <c r="D24" s="1"/>
      <c r="E24" s="2" t="s">
        <v>23</v>
      </c>
      <c r="F24" s="4"/>
      <c r="G24" s="4"/>
      <c r="H24" s="4"/>
      <c r="I24" s="4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hidden="1" customHeight="1">
      <c r="A25" s="1"/>
      <c r="B25" s="5" t="s">
        <v>24</v>
      </c>
      <c r="C25" s="3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hidden="1" customHeight="1">
      <c r="A26" s="1"/>
      <c r="B26" s="1"/>
      <c r="C26" s="1"/>
      <c r="D26" s="1"/>
      <c r="E26" s="7" t="s">
        <v>3</v>
      </c>
      <c r="F26" s="7" t="s">
        <v>4</v>
      </c>
      <c r="G26" s="7" t="s">
        <v>25</v>
      </c>
      <c r="H26" s="7" t="s">
        <v>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hidden="1" customHeight="1">
      <c r="A27" s="1"/>
      <c r="B27" s="1"/>
      <c r="C27" s="1"/>
      <c r="D27" s="1"/>
      <c r="E27" s="10" t="s">
        <v>11</v>
      </c>
      <c r="F27" s="33">
        <v>0.0</v>
      </c>
      <c r="G27" s="12">
        <f>C25*F27</f>
        <v>0</v>
      </c>
      <c r="H27" s="5">
        <f t="shared" ref="H27:H30" si="5">G27/$C$5</f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hidden="1" customHeight="1">
      <c r="A28" s="1"/>
      <c r="B28" s="1"/>
      <c r="C28" s="1"/>
      <c r="D28" s="1"/>
      <c r="E28" s="10" t="s">
        <v>13</v>
      </c>
      <c r="F28" s="33">
        <v>0.0</v>
      </c>
      <c r="G28" s="12">
        <f>C25*F28</f>
        <v>0</v>
      </c>
      <c r="H28" s="5">
        <f t="shared" si="5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hidden="1" customHeight="1">
      <c r="A29" s="1"/>
      <c r="B29" s="1"/>
      <c r="C29" s="1"/>
      <c r="D29" s="1"/>
      <c r="E29" s="10" t="s">
        <v>15</v>
      </c>
      <c r="F29" s="33">
        <v>0.0</v>
      </c>
      <c r="G29" s="12">
        <f>C25*F29</f>
        <v>0</v>
      </c>
      <c r="H29" s="5">
        <f t="shared" si="5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hidden="1" customHeight="1">
      <c r="A30" s="1"/>
      <c r="B30" s="1"/>
      <c r="C30" s="1"/>
      <c r="D30" s="1"/>
      <c r="E30" s="10" t="s">
        <v>16</v>
      </c>
      <c r="F30" s="33">
        <v>0.0</v>
      </c>
      <c r="G30" s="12">
        <f>C25*F30</f>
        <v>0</v>
      </c>
      <c r="H30" s="5">
        <f t="shared" si="5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hidden="1" customHeight="1">
      <c r="A31" s="1"/>
      <c r="B31" s="1"/>
      <c r="C31" s="1"/>
      <c r="D31" s="1"/>
      <c r="E31" s="18" t="s">
        <v>27</v>
      </c>
      <c r="F31" s="19">
        <f t="shared" ref="F31:H31" si="6">SUM(F27:F30)</f>
        <v>0</v>
      </c>
      <c r="G31" s="20">
        <f t="shared" si="6"/>
        <v>0</v>
      </c>
      <c r="H31" s="21">
        <f t="shared" si="6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hidden="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hidden="1" customHeight="1">
      <c r="A33" s="1"/>
      <c r="B33" s="2" t="s">
        <v>28</v>
      </c>
      <c r="C33" s="3"/>
      <c r="D33" s="1"/>
      <c r="E33" s="2" t="s">
        <v>29</v>
      </c>
      <c r="F33" s="4"/>
      <c r="G33" s="4"/>
      <c r="H33" s="4"/>
      <c r="I33" s="4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hidden="1" customHeight="1">
      <c r="A34" s="1"/>
      <c r="B34" s="5" t="s">
        <v>30</v>
      </c>
      <c r="C34" s="3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hidden="1" customHeight="1">
      <c r="A35" s="1"/>
      <c r="B35" s="1"/>
      <c r="C35" s="1"/>
      <c r="D35" s="1"/>
      <c r="E35" s="7" t="s">
        <v>3</v>
      </c>
      <c r="F35" s="7" t="s">
        <v>4</v>
      </c>
      <c r="G35" s="7" t="s">
        <v>31</v>
      </c>
      <c r="H35" s="7" t="s">
        <v>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hidden="1" customHeight="1">
      <c r="A36" s="1"/>
      <c r="B36" s="1"/>
      <c r="C36" s="1"/>
      <c r="D36" s="1"/>
      <c r="E36" s="10" t="s">
        <v>11</v>
      </c>
      <c r="F36" s="33">
        <v>0.0</v>
      </c>
      <c r="G36" s="12">
        <f>C34*F36</f>
        <v>0</v>
      </c>
      <c r="H36" s="5">
        <f t="shared" ref="H36:H39" si="7">G36/$C$5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hidden="1" customHeight="1">
      <c r="A37" s="1"/>
      <c r="B37" s="1"/>
      <c r="C37" s="1"/>
      <c r="D37" s="1"/>
      <c r="E37" s="10" t="s">
        <v>13</v>
      </c>
      <c r="F37" s="33">
        <v>0.0</v>
      </c>
      <c r="G37" s="12">
        <f>C34*F37</f>
        <v>0</v>
      </c>
      <c r="H37" s="5">
        <f t="shared" si="7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hidden="1" customHeight="1">
      <c r="A38" s="1"/>
      <c r="B38" s="1"/>
      <c r="C38" s="1"/>
      <c r="D38" s="1"/>
      <c r="E38" s="10" t="s">
        <v>15</v>
      </c>
      <c r="F38" s="33">
        <v>0.0</v>
      </c>
      <c r="G38" s="12">
        <f>C34*F38</f>
        <v>0</v>
      </c>
      <c r="H38" s="5">
        <f t="shared" si="7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hidden="1" customHeight="1">
      <c r="A39" s="1"/>
      <c r="B39" s="1"/>
      <c r="C39" s="1"/>
      <c r="D39" s="1"/>
      <c r="E39" s="10" t="s">
        <v>16</v>
      </c>
      <c r="F39" s="33">
        <v>0.0</v>
      </c>
      <c r="G39" s="12">
        <f>C34*F39</f>
        <v>0</v>
      </c>
      <c r="H39" s="5">
        <f t="shared" si="7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hidden="1" customHeight="1">
      <c r="A40" s="1"/>
      <c r="B40" s="1"/>
      <c r="C40" s="1"/>
      <c r="D40" s="1"/>
      <c r="E40" s="18" t="s">
        <v>27</v>
      </c>
      <c r="F40" s="19">
        <f t="shared" ref="F40:H40" si="8">SUM(F36:F39)</f>
        <v>0</v>
      </c>
      <c r="G40" s="20">
        <f t="shared" si="8"/>
        <v>0</v>
      </c>
      <c r="H40" s="21">
        <f t="shared" si="8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hidden="1" customHeight="1">
      <c r="A42" s="1"/>
      <c r="B42" s="2" t="s">
        <v>32</v>
      </c>
      <c r="C42" s="3"/>
      <c r="D42" s="1"/>
      <c r="E42" s="2" t="s">
        <v>33</v>
      </c>
      <c r="F42" s="4"/>
      <c r="G42" s="4"/>
      <c r="H42" s="4"/>
      <c r="I42" s="4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hidden="1" customHeight="1">
      <c r="A43" s="1"/>
      <c r="B43" s="5" t="s">
        <v>34</v>
      </c>
      <c r="C43" s="3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hidden="1" customHeight="1">
      <c r="A44" s="1"/>
      <c r="B44" s="1"/>
      <c r="C44" s="1"/>
      <c r="D44" s="1"/>
      <c r="E44" s="7" t="s">
        <v>3</v>
      </c>
      <c r="F44" s="7" t="s">
        <v>4</v>
      </c>
      <c r="G44" s="7" t="s">
        <v>35</v>
      </c>
      <c r="H44" s="7" t="s">
        <v>26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hidden="1" customHeight="1">
      <c r="A45" s="1"/>
      <c r="B45" s="1"/>
      <c r="C45" s="1"/>
      <c r="D45" s="1"/>
      <c r="E45" s="10" t="s">
        <v>11</v>
      </c>
      <c r="F45" s="33">
        <v>0.0</v>
      </c>
      <c r="G45" s="12">
        <f>C43*F45</f>
        <v>0</v>
      </c>
      <c r="H45" s="5">
        <f t="shared" ref="H45:H48" si="9">G45/$C$5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hidden="1" customHeight="1">
      <c r="A46" s="1"/>
      <c r="B46" s="1"/>
      <c r="C46" s="1"/>
      <c r="D46" s="1"/>
      <c r="E46" s="10" t="s">
        <v>13</v>
      </c>
      <c r="F46" s="33">
        <v>0.0</v>
      </c>
      <c r="G46" s="12">
        <f>C43*F46</f>
        <v>0</v>
      </c>
      <c r="H46" s="5">
        <f t="shared" si="9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hidden="1" customHeight="1">
      <c r="A47" s="1"/>
      <c r="B47" s="1"/>
      <c r="C47" s="1"/>
      <c r="D47" s="1"/>
      <c r="E47" s="10" t="s">
        <v>15</v>
      </c>
      <c r="F47" s="33">
        <v>0.0</v>
      </c>
      <c r="G47" s="12">
        <f>C43*F47</f>
        <v>0</v>
      </c>
      <c r="H47" s="5">
        <f t="shared" si="9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hidden="1" customHeight="1">
      <c r="A48" s="1"/>
      <c r="B48" s="1"/>
      <c r="C48" s="1"/>
      <c r="D48" s="1"/>
      <c r="E48" s="10" t="s">
        <v>16</v>
      </c>
      <c r="F48" s="33">
        <v>0.0</v>
      </c>
      <c r="G48" s="12">
        <f>C43*F48</f>
        <v>0</v>
      </c>
      <c r="H48" s="5">
        <f t="shared" si="9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hidden="1" customHeight="1">
      <c r="A49" s="1"/>
      <c r="B49" s="1"/>
      <c r="C49" s="1"/>
      <c r="D49" s="1"/>
      <c r="E49" s="18" t="s">
        <v>27</v>
      </c>
      <c r="F49" s="19">
        <f t="shared" ref="F49:H49" si="10">SUM(F45:F48)</f>
        <v>0</v>
      </c>
      <c r="G49" s="20">
        <f t="shared" si="10"/>
        <v>0</v>
      </c>
      <c r="H49" s="21">
        <f t="shared" si="10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hidden="1" customHeight="1">
      <c r="A51" s="1"/>
      <c r="B51" s="2" t="s">
        <v>36</v>
      </c>
      <c r="C51" s="3"/>
      <c r="D51" s="1"/>
      <c r="E51" s="2" t="s">
        <v>37</v>
      </c>
      <c r="F51" s="4"/>
      <c r="G51" s="4"/>
      <c r="H51" s="4"/>
      <c r="I51" s="4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hidden="1" customHeight="1">
      <c r="A52" s="1"/>
      <c r="B52" s="5" t="s">
        <v>38</v>
      </c>
      <c r="C52" s="3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hidden="1" customHeight="1">
      <c r="A53" s="1"/>
      <c r="B53" s="1"/>
      <c r="C53" s="1"/>
      <c r="D53" s="1"/>
      <c r="E53" s="7" t="s">
        <v>3</v>
      </c>
      <c r="F53" s="7" t="s">
        <v>4</v>
      </c>
      <c r="G53" s="7" t="s">
        <v>39</v>
      </c>
      <c r="H53" s="7" t="s">
        <v>26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hidden="1" customHeight="1">
      <c r="A54" s="1"/>
      <c r="B54" s="1"/>
      <c r="C54" s="1"/>
      <c r="D54" s="1"/>
      <c r="E54" s="10" t="s">
        <v>11</v>
      </c>
      <c r="F54" s="33">
        <v>0.0</v>
      </c>
      <c r="G54" s="12">
        <f>C52*F54</f>
        <v>0</v>
      </c>
      <c r="H54" s="5">
        <f t="shared" ref="H54:H57" si="11">G54/$C$5</f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hidden="1" customHeight="1">
      <c r="A55" s="1"/>
      <c r="B55" s="1"/>
      <c r="C55" s="1"/>
      <c r="D55" s="1"/>
      <c r="E55" s="10" t="s">
        <v>13</v>
      </c>
      <c r="F55" s="33">
        <v>0.0</v>
      </c>
      <c r="G55" s="12">
        <f>C52*F55</f>
        <v>0</v>
      </c>
      <c r="H55" s="5">
        <f t="shared" si="11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hidden="1" customHeight="1">
      <c r="A56" s="1"/>
      <c r="B56" s="1"/>
      <c r="C56" s="1"/>
      <c r="D56" s="1"/>
      <c r="E56" s="10" t="s">
        <v>15</v>
      </c>
      <c r="F56" s="33">
        <v>0.0</v>
      </c>
      <c r="G56" s="12">
        <f>C52*F56</f>
        <v>0</v>
      </c>
      <c r="H56" s="5">
        <f t="shared" si="11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hidden="1" customHeight="1">
      <c r="A57" s="1"/>
      <c r="B57" s="1"/>
      <c r="C57" s="1"/>
      <c r="D57" s="1"/>
      <c r="E57" s="10" t="s">
        <v>16</v>
      </c>
      <c r="F57" s="33">
        <v>0.0</v>
      </c>
      <c r="G57" s="12">
        <f>C52*F57</f>
        <v>0</v>
      </c>
      <c r="H57" s="5">
        <f t="shared" si="11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hidden="1" customHeight="1">
      <c r="A58" s="1"/>
      <c r="B58" s="1"/>
      <c r="C58" s="1"/>
      <c r="D58" s="1"/>
      <c r="E58" s="18" t="s">
        <v>27</v>
      </c>
      <c r="F58" s="19">
        <f t="shared" ref="F58:H58" si="12">SUM(F54:F57)</f>
        <v>0</v>
      </c>
      <c r="G58" s="20">
        <f t="shared" si="12"/>
        <v>0</v>
      </c>
      <c r="H58" s="21">
        <f t="shared" si="12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hidden="1" customHeight="1">
      <c r="A60" s="1"/>
      <c r="B60" s="2" t="s">
        <v>40</v>
      </c>
      <c r="C60" s="3"/>
      <c r="D60" s="1"/>
      <c r="E60" s="2" t="s">
        <v>41</v>
      </c>
      <c r="F60" s="4"/>
      <c r="G60" s="4"/>
      <c r="H60" s="4"/>
      <c r="I60" s="4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hidden="1" customHeight="1">
      <c r="A61" s="1"/>
      <c r="B61" s="5" t="s">
        <v>42</v>
      </c>
      <c r="C61" s="3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hidden="1" customHeight="1">
      <c r="A62" s="1"/>
      <c r="B62" s="1"/>
      <c r="C62" s="1"/>
      <c r="D62" s="1"/>
      <c r="E62" s="7" t="s">
        <v>3</v>
      </c>
      <c r="F62" s="7" t="s">
        <v>4</v>
      </c>
      <c r="G62" s="7" t="s">
        <v>43</v>
      </c>
      <c r="H62" s="7" t="s">
        <v>26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hidden="1" customHeight="1">
      <c r="A63" s="1"/>
      <c r="B63" s="1"/>
      <c r="C63" s="1"/>
      <c r="D63" s="1"/>
      <c r="E63" s="10" t="s">
        <v>11</v>
      </c>
      <c r="F63" s="33">
        <v>0.0</v>
      </c>
      <c r="G63" s="12">
        <f>C61*F63</f>
        <v>0</v>
      </c>
      <c r="H63" s="5">
        <f t="shared" ref="H63:H66" si="13">G63/$C$5</f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hidden="1" customHeight="1">
      <c r="A64" s="1"/>
      <c r="B64" s="1"/>
      <c r="C64" s="1"/>
      <c r="D64" s="1"/>
      <c r="E64" s="10" t="s">
        <v>13</v>
      </c>
      <c r="F64" s="33">
        <v>0.0</v>
      </c>
      <c r="G64" s="12">
        <f>C61*F64</f>
        <v>0</v>
      </c>
      <c r="H64" s="5">
        <f t="shared" si="13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hidden="1" customHeight="1">
      <c r="A65" s="1"/>
      <c r="B65" s="1"/>
      <c r="C65" s="1"/>
      <c r="D65" s="1"/>
      <c r="E65" s="10" t="s">
        <v>15</v>
      </c>
      <c r="F65" s="33">
        <v>0.0</v>
      </c>
      <c r="G65" s="12">
        <f>C61*F65</f>
        <v>0</v>
      </c>
      <c r="H65" s="5">
        <f t="shared" si="13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hidden="1" customHeight="1">
      <c r="A66" s="1"/>
      <c r="B66" s="1"/>
      <c r="C66" s="1"/>
      <c r="D66" s="1"/>
      <c r="E66" s="10" t="s">
        <v>16</v>
      </c>
      <c r="F66" s="33">
        <v>0.0</v>
      </c>
      <c r="G66" s="12">
        <f>C61*F66</f>
        <v>0</v>
      </c>
      <c r="H66" s="5">
        <f t="shared" si="13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hidden="1" customHeight="1">
      <c r="A67" s="1"/>
      <c r="B67" s="1"/>
      <c r="C67" s="1"/>
      <c r="D67" s="1"/>
      <c r="E67" s="18" t="s">
        <v>27</v>
      </c>
      <c r="F67" s="19">
        <f t="shared" ref="F67:H67" si="14">SUM(F63:F66)</f>
        <v>0</v>
      </c>
      <c r="G67" s="20">
        <f t="shared" si="14"/>
        <v>0</v>
      </c>
      <c r="H67" s="21">
        <f t="shared" si="14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" t="s">
        <v>44</v>
      </c>
      <c r="C69" s="3"/>
      <c r="D69" s="1"/>
      <c r="E69" s="2" t="s">
        <v>45</v>
      </c>
      <c r="F69" s="4"/>
      <c r="G69" s="4"/>
      <c r="H69" s="4"/>
      <c r="I69" s="4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5" t="s">
        <v>46</v>
      </c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7" t="s">
        <v>3</v>
      </c>
      <c r="F71" s="7" t="s">
        <v>4</v>
      </c>
      <c r="G71" s="7" t="s">
        <v>47</v>
      </c>
      <c r="H71" s="7" t="s">
        <v>26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0" t="s">
        <v>11</v>
      </c>
      <c r="F72" s="11">
        <v>1.0</v>
      </c>
      <c r="G72" s="12">
        <f>C70*F72</f>
        <v>0</v>
      </c>
      <c r="H72" s="5">
        <f t="shared" ref="H72:H75" si="15">G72/$C$5</f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0" t="s">
        <v>13</v>
      </c>
      <c r="F73" s="11">
        <v>0.0</v>
      </c>
      <c r="G73" s="12">
        <f>C70*F73</f>
        <v>0</v>
      </c>
      <c r="H73" s="5">
        <f t="shared" si="15"/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0" t="s">
        <v>15</v>
      </c>
      <c r="F74" s="11">
        <v>0.0</v>
      </c>
      <c r="G74" s="12">
        <f>C70*F74</f>
        <v>0</v>
      </c>
      <c r="H74" s="5">
        <f t="shared" si="15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0" t="s">
        <v>16</v>
      </c>
      <c r="F75" s="11">
        <v>0.0</v>
      </c>
      <c r="G75" s="12">
        <f>C70*F75</f>
        <v>0</v>
      </c>
      <c r="H75" s="5">
        <f t="shared" si="15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8" t="s">
        <v>27</v>
      </c>
      <c r="F76" s="19">
        <f t="shared" ref="F76:H76" si="16">SUM(F72:F75)</f>
        <v>1</v>
      </c>
      <c r="G76" s="20">
        <f t="shared" si="16"/>
        <v>0</v>
      </c>
      <c r="H76" s="21">
        <f t="shared" si="16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" t="s">
        <v>48</v>
      </c>
      <c r="C78" s="3"/>
      <c r="D78" s="1"/>
      <c r="E78" s="2" t="s">
        <v>49</v>
      </c>
      <c r="F78" s="4"/>
      <c r="G78" s="4"/>
      <c r="H78" s="4"/>
      <c r="I78" s="4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5" t="s">
        <v>50</v>
      </c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7" t="s">
        <v>3</v>
      </c>
      <c r="F80" s="7" t="s">
        <v>4</v>
      </c>
      <c r="G80" s="7" t="s">
        <v>51</v>
      </c>
      <c r="H80" s="7" t="s">
        <v>26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0" t="s">
        <v>11</v>
      </c>
      <c r="F81" s="11">
        <v>1.0</v>
      </c>
      <c r="G81" s="12">
        <f>C79*F81</f>
        <v>0</v>
      </c>
      <c r="H81" s="5">
        <f t="shared" ref="H81:H84" si="17">G81/$C$5</f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0" t="s">
        <v>13</v>
      </c>
      <c r="F82" s="11">
        <v>0.0</v>
      </c>
      <c r="G82" s="12">
        <f>C79*F82</f>
        <v>0</v>
      </c>
      <c r="H82" s="5">
        <f t="shared" si="17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0" t="s">
        <v>15</v>
      </c>
      <c r="F83" s="11">
        <v>0.0</v>
      </c>
      <c r="G83" s="12">
        <f>C79*F83</f>
        <v>0</v>
      </c>
      <c r="H83" s="5">
        <f t="shared" si="17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0" t="s">
        <v>16</v>
      </c>
      <c r="F84" s="11">
        <v>0.0</v>
      </c>
      <c r="G84" s="12">
        <f>C79*F84</f>
        <v>0</v>
      </c>
      <c r="H84" s="5">
        <f t="shared" si="17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8" t="s">
        <v>27</v>
      </c>
      <c r="F85" s="19">
        <f t="shared" ref="F85:H85" si="18">SUM(F81:F84)</f>
        <v>1</v>
      </c>
      <c r="G85" s="20">
        <f t="shared" si="18"/>
        <v>0</v>
      </c>
      <c r="H85" s="21">
        <f t="shared" si="18"/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" t="s">
        <v>52</v>
      </c>
      <c r="C87" s="3"/>
      <c r="D87" s="1"/>
      <c r="E87" s="2" t="s">
        <v>53</v>
      </c>
      <c r="F87" s="4"/>
      <c r="G87" s="4"/>
      <c r="H87" s="4"/>
      <c r="I87" s="4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5" t="s">
        <v>54</v>
      </c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7" t="s">
        <v>3</v>
      </c>
      <c r="F89" s="7" t="s">
        <v>4</v>
      </c>
      <c r="G89" s="7" t="s">
        <v>55</v>
      </c>
      <c r="H89" s="7" t="s">
        <v>26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0" t="s">
        <v>11</v>
      </c>
      <c r="F90" s="11">
        <v>1.0</v>
      </c>
      <c r="G90" s="12">
        <f>C88*F90</f>
        <v>0</v>
      </c>
      <c r="H90" s="5">
        <f t="shared" ref="H90:H93" si="19">G90/$C$5</f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0" t="s">
        <v>13</v>
      </c>
      <c r="F91" s="11">
        <v>0.0</v>
      </c>
      <c r="G91" s="12">
        <f>C88*F91</f>
        <v>0</v>
      </c>
      <c r="H91" s="5">
        <f t="shared" si="19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0" t="s">
        <v>15</v>
      </c>
      <c r="F92" s="11">
        <v>0.0</v>
      </c>
      <c r="G92" s="12">
        <f>C88*F92</f>
        <v>0</v>
      </c>
      <c r="H92" s="5">
        <f t="shared" si="19"/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0" t="s">
        <v>16</v>
      </c>
      <c r="F93" s="11">
        <v>0.0</v>
      </c>
      <c r="G93" s="12">
        <f>C88*F93</f>
        <v>0</v>
      </c>
      <c r="H93" s="5">
        <f t="shared" si="19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8" t="s">
        <v>27</v>
      </c>
      <c r="F94" s="19">
        <f t="shared" ref="F94:H94" si="20">SUM(F90:F93)</f>
        <v>1</v>
      </c>
      <c r="G94" s="20">
        <f t="shared" si="20"/>
        <v>0</v>
      </c>
      <c r="H94" s="21">
        <f t="shared" si="20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" t="s">
        <v>56</v>
      </c>
      <c r="C96" s="3"/>
      <c r="D96" s="1"/>
      <c r="E96" s="2" t="s">
        <v>57</v>
      </c>
      <c r="F96" s="4"/>
      <c r="G96" s="4"/>
      <c r="H96" s="4"/>
      <c r="I96" s="4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5" t="s">
        <v>58</v>
      </c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7" t="s">
        <v>3</v>
      </c>
      <c r="F98" s="7" t="s">
        <v>4</v>
      </c>
      <c r="G98" s="7" t="s">
        <v>59</v>
      </c>
      <c r="H98" s="7" t="s">
        <v>26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0" t="s">
        <v>11</v>
      </c>
      <c r="F99" s="11">
        <v>1.0</v>
      </c>
      <c r="G99" s="12">
        <f>C97*F99</f>
        <v>0</v>
      </c>
      <c r="H99" s="5">
        <f t="shared" ref="H99:H102" si="21">G99/$C$5</f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0" t="s">
        <v>13</v>
      </c>
      <c r="F100" s="11">
        <v>0.0</v>
      </c>
      <c r="G100" s="12">
        <f>C97*F100</f>
        <v>0</v>
      </c>
      <c r="H100" s="5">
        <f t="shared" si="21"/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0" t="s">
        <v>15</v>
      </c>
      <c r="F101" s="11">
        <v>0.0</v>
      </c>
      <c r="G101" s="12">
        <f>C97*F101</f>
        <v>0</v>
      </c>
      <c r="H101" s="5">
        <f t="shared" si="21"/>
        <v>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0" t="s">
        <v>16</v>
      </c>
      <c r="F102" s="11">
        <v>0.0</v>
      </c>
      <c r="G102" s="12">
        <f>C97*F102</f>
        <v>0</v>
      </c>
      <c r="H102" s="5">
        <f t="shared" si="21"/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8" t="s">
        <v>27</v>
      </c>
      <c r="F103" s="19">
        <f t="shared" ref="F103:H103" si="22">SUM(F99:F102)</f>
        <v>1</v>
      </c>
      <c r="G103" s="20">
        <f t="shared" si="22"/>
        <v>0</v>
      </c>
      <c r="H103" s="21">
        <f t="shared" si="22"/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" t="s">
        <v>60</v>
      </c>
      <c r="C105" s="3"/>
      <c r="D105" s="1"/>
      <c r="E105" s="2" t="s">
        <v>61</v>
      </c>
      <c r="F105" s="4"/>
      <c r="G105" s="4"/>
      <c r="H105" s="4"/>
      <c r="I105" s="4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5" t="s">
        <v>62</v>
      </c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7" t="s">
        <v>3</v>
      </c>
      <c r="F107" s="7" t="s">
        <v>4</v>
      </c>
      <c r="G107" s="7" t="s">
        <v>63</v>
      </c>
      <c r="H107" s="7" t="s">
        <v>26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0" t="s">
        <v>11</v>
      </c>
      <c r="F108" s="11">
        <v>1.0</v>
      </c>
      <c r="G108" s="12">
        <f>C106*F108</f>
        <v>0</v>
      </c>
      <c r="H108" s="5">
        <f t="shared" ref="H108:H111" si="23">G108/$C$5</f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0" t="s">
        <v>13</v>
      </c>
      <c r="F109" s="11">
        <v>0.0</v>
      </c>
      <c r="G109" s="12">
        <f>C106*F109</f>
        <v>0</v>
      </c>
      <c r="H109" s="5">
        <f t="shared" si="23"/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0" t="s">
        <v>15</v>
      </c>
      <c r="F110" s="11">
        <v>0.0</v>
      </c>
      <c r="G110" s="12">
        <f>C106*F110</f>
        <v>0</v>
      </c>
      <c r="H110" s="5">
        <f t="shared" si="23"/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0" t="s">
        <v>16</v>
      </c>
      <c r="F111" s="11">
        <v>0.0</v>
      </c>
      <c r="G111" s="12">
        <f>C106*F111</f>
        <v>0</v>
      </c>
      <c r="H111" s="5">
        <f t="shared" si="23"/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8" t="s">
        <v>27</v>
      </c>
      <c r="F112" s="19">
        <f t="shared" ref="F112:H112" si="24">SUM(F108:F111)</f>
        <v>1</v>
      </c>
      <c r="G112" s="20">
        <f t="shared" si="24"/>
        <v>0</v>
      </c>
      <c r="H112" s="21">
        <f t="shared" si="24"/>
        <v>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 t="s">
        <v>64</v>
      </c>
      <c r="C114" s="3"/>
      <c r="D114" s="1"/>
      <c r="E114" s="2" t="s">
        <v>65</v>
      </c>
      <c r="F114" s="4"/>
      <c r="G114" s="4"/>
      <c r="H114" s="4"/>
      <c r="I114" s="4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5" t="s">
        <v>66</v>
      </c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7" t="s">
        <v>3</v>
      </c>
      <c r="F116" s="7" t="s">
        <v>4</v>
      </c>
      <c r="G116" s="7" t="s">
        <v>67</v>
      </c>
      <c r="H116" s="7" t="s">
        <v>26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0" t="s">
        <v>11</v>
      </c>
      <c r="F117" s="33">
        <v>0.0</v>
      </c>
      <c r="G117" s="12">
        <f>C115*F117</f>
        <v>0</v>
      </c>
      <c r="H117" s="5">
        <f t="shared" ref="H117:H120" si="25">G117/$C$5</f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0" t="s">
        <v>13</v>
      </c>
      <c r="F118" s="11">
        <v>0.67</v>
      </c>
      <c r="G118" s="12">
        <f>C115*F118</f>
        <v>0</v>
      </c>
      <c r="H118" s="5">
        <f t="shared" si="25"/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0" t="s">
        <v>15</v>
      </c>
      <c r="F119" s="11">
        <v>0.16</v>
      </c>
      <c r="G119" s="12">
        <f>C115*F119</f>
        <v>0</v>
      </c>
      <c r="H119" s="5">
        <f t="shared" si="25"/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0" t="s">
        <v>16</v>
      </c>
      <c r="F120" s="11">
        <v>0.18</v>
      </c>
      <c r="G120" s="12">
        <f>C115*F120</f>
        <v>0</v>
      </c>
      <c r="H120" s="5">
        <f t="shared" si="25"/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8" t="s">
        <v>27</v>
      </c>
      <c r="F121" s="19">
        <f t="shared" ref="F121:H121" si="26">SUM(F117:F120)</f>
        <v>1.01</v>
      </c>
      <c r="G121" s="20">
        <f t="shared" si="26"/>
        <v>0</v>
      </c>
      <c r="H121" s="21">
        <f t="shared" si="26"/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 t="s">
        <v>68</v>
      </c>
      <c r="C123" s="3"/>
      <c r="D123" s="1"/>
      <c r="E123" s="2" t="s">
        <v>69</v>
      </c>
      <c r="F123" s="4"/>
      <c r="G123" s="4"/>
      <c r="H123" s="4"/>
      <c r="I123" s="4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5" t="s">
        <v>70</v>
      </c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7" t="s">
        <v>3</v>
      </c>
      <c r="F125" s="7" t="s">
        <v>4</v>
      </c>
      <c r="G125" s="7" t="s">
        <v>71</v>
      </c>
      <c r="H125" s="7" t="s">
        <v>26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0" t="s">
        <v>11</v>
      </c>
      <c r="F126" s="11">
        <v>1.0</v>
      </c>
      <c r="G126" s="12">
        <f>C124*F126</f>
        <v>0</v>
      </c>
      <c r="H126" s="5">
        <f t="shared" ref="H126:H129" si="27">G126/$C$5</f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0" t="s">
        <v>13</v>
      </c>
      <c r="F127" s="11">
        <v>0.0</v>
      </c>
      <c r="G127" s="12">
        <f>C124*F127</f>
        <v>0</v>
      </c>
      <c r="H127" s="5">
        <f t="shared" si="27"/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0" t="s">
        <v>15</v>
      </c>
      <c r="F128" s="11">
        <v>0.0</v>
      </c>
      <c r="G128" s="12">
        <f>C124*F128</f>
        <v>0</v>
      </c>
      <c r="H128" s="5">
        <f t="shared" si="27"/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0" t="s">
        <v>16</v>
      </c>
      <c r="F129" s="11">
        <v>0.0</v>
      </c>
      <c r="G129" s="12">
        <f>C124*F129</f>
        <v>0</v>
      </c>
      <c r="H129" s="5">
        <f t="shared" si="27"/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8" t="s">
        <v>27</v>
      </c>
      <c r="F130" s="19">
        <f t="shared" ref="F130:H130" si="28">SUM(F126:F129)</f>
        <v>1</v>
      </c>
      <c r="G130" s="20">
        <f t="shared" si="28"/>
        <v>0</v>
      </c>
      <c r="H130" s="21">
        <f t="shared" si="28"/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</row>
  </sheetData>
  <mergeCells count="37">
    <mergeCell ref="B2:C2"/>
    <mergeCell ref="E2:J2"/>
    <mergeCell ref="E10:J10"/>
    <mergeCell ref="G11:J11"/>
    <mergeCell ref="G12:J12"/>
    <mergeCell ref="G13:J13"/>
    <mergeCell ref="G14:J14"/>
    <mergeCell ref="G15:J15"/>
    <mergeCell ref="B17:G17"/>
    <mergeCell ref="C18:G18"/>
    <mergeCell ref="C19:G19"/>
    <mergeCell ref="C20:G20"/>
    <mergeCell ref="C21:G21"/>
    <mergeCell ref="E24:J24"/>
    <mergeCell ref="B24:C24"/>
    <mergeCell ref="B33:C33"/>
    <mergeCell ref="E33:J33"/>
    <mergeCell ref="B42:C42"/>
    <mergeCell ref="E42:J42"/>
    <mergeCell ref="B51:C51"/>
    <mergeCell ref="E51:J51"/>
    <mergeCell ref="B60:C60"/>
    <mergeCell ref="E60:J60"/>
    <mergeCell ref="B69:C69"/>
    <mergeCell ref="E69:J69"/>
    <mergeCell ref="B78:C78"/>
    <mergeCell ref="E78:J78"/>
    <mergeCell ref="E87:J87"/>
    <mergeCell ref="B123:C123"/>
    <mergeCell ref="E123:J123"/>
    <mergeCell ref="B87:C87"/>
    <mergeCell ref="B96:C96"/>
    <mergeCell ref="E96:J96"/>
    <mergeCell ref="B105:C105"/>
    <mergeCell ref="E105:J105"/>
    <mergeCell ref="B114:C114"/>
    <mergeCell ref="E114:J1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/>
  <cols>
    <col customWidth="1" min="1" max="1" width="7.13"/>
    <col customWidth="1" min="2" max="2" width="5.13"/>
    <col customWidth="1" min="3" max="3" width="36.88"/>
    <col customWidth="1" min="4" max="5" width="12.63"/>
    <col customWidth="1" hidden="1" min="6" max="6" width="12.63"/>
    <col hidden="1" min="7" max="7" width="12.63"/>
    <col customWidth="1" hidden="1" min="8" max="16" width="12.63" outlineLevel="1"/>
    <col collapsed="1" customWidth="1" hidden="1" min="17" max="17" width="12.63"/>
    <col customWidth="1" hidden="1" min="18" max="18" width="12.63"/>
    <col customWidth="1" hidden="1" min="19" max="26" width="12.63" outlineLevel="1"/>
    <col collapsed="1" customWidth="1" hidden="1" min="27" max="27" width="12.63"/>
    <col customWidth="1" hidden="1" min="28" max="28" width="12.63"/>
    <col customWidth="1" hidden="1" min="29" max="36" width="12.63" outlineLevel="1"/>
    <col collapsed="1" customWidth="1" hidden="1" min="37" max="37" width="12.63"/>
    <col customWidth="1" hidden="1" min="38" max="38" width="12.63"/>
    <col customWidth="1" hidden="1" min="39" max="46" width="12.63" outlineLevel="1"/>
    <col collapsed="1" customWidth="1" hidden="1" min="47" max="47" width="12.63"/>
    <col customWidth="1" hidden="1" min="48" max="48" width="12.63"/>
    <col customWidth="1" hidden="1" min="49" max="56" width="12.63" outlineLevel="1"/>
    <col collapsed="1" customWidth="1" min="57" max="57" width="12.63"/>
    <col customWidth="1" min="58" max="58" width="12.63"/>
    <col customWidth="1" min="59" max="66" width="12.63" outlineLevel="1"/>
    <col customWidth="1" min="67" max="68" width="12.63"/>
    <col customWidth="1" hidden="1" min="69" max="76" width="12.63" outlineLevel="1"/>
    <col collapsed="1" customWidth="1" min="77" max="77" width="12.63"/>
    <col customWidth="1" min="78" max="78" width="12.63"/>
    <col customWidth="1" hidden="1" min="79" max="86" width="12.63" outlineLevel="1"/>
    <col collapsed="1" customWidth="1" min="87" max="87" width="12.63"/>
    <col customWidth="1" min="88" max="88" width="12.63"/>
    <col customWidth="1" hidden="1" min="89" max="96" width="12.63" outlineLevel="1"/>
    <col collapsed="1" customWidth="1" min="97" max="97" width="12.63"/>
    <col customWidth="1" min="98" max="98" width="12.63"/>
    <col customWidth="1" hidden="1" min="99" max="106" width="12.63" outlineLevel="1"/>
    <col collapsed="1" customWidth="1" min="107" max="107" width="12.63"/>
    <col customWidth="1" min="108" max="108" width="12.63"/>
    <col customWidth="1" hidden="1" min="109" max="116" width="12.63" outlineLevel="1"/>
    <col collapsed="1" customWidth="1" min="117" max="117" width="12.63"/>
    <col customWidth="1" min="118" max="118" width="12.63"/>
    <col customWidth="1" hidden="1" min="119" max="126" width="12.63" outlineLevel="1"/>
  </cols>
  <sheetData>
    <row r="1" ht="21.75" customHeight="1">
      <c r="A1" s="35"/>
      <c r="B1" s="36"/>
      <c r="C1" s="37" t="s">
        <v>72</v>
      </c>
      <c r="D1" s="35"/>
      <c r="E1" s="35"/>
      <c r="F1" s="35"/>
      <c r="G1" s="38"/>
      <c r="H1" s="39"/>
      <c r="I1" s="39"/>
      <c r="J1" s="39"/>
      <c r="K1" s="39"/>
      <c r="L1" s="39"/>
      <c r="M1" s="40"/>
      <c r="N1" s="40"/>
      <c r="O1" s="40"/>
      <c r="P1" s="40"/>
      <c r="Q1" s="40"/>
      <c r="R1" s="40"/>
      <c r="S1" s="39"/>
      <c r="T1" s="39"/>
      <c r="U1" s="39"/>
      <c r="V1" s="39"/>
      <c r="W1" s="40"/>
      <c r="X1" s="40"/>
      <c r="Y1" s="40"/>
      <c r="Z1" s="40"/>
      <c r="AA1" s="40"/>
      <c r="AB1" s="40"/>
      <c r="AC1" s="39"/>
      <c r="AD1" s="39"/>
      <c r="AE1" s="39"/>
      <c r="AF1" s="39"/>
      <c r="AG1" s="40"/>
      <c r="AH1" s="40"/>
      <c r="AI1" s="40"/>
      <c r="AJ1" s="40"/>
      <c r="AK1" s="40"/>
      <c r="AL1" s="40"/>
      <c r="AM1" s="39"/>
      <c r="AN1" s="39"/>
      <c r="AO1" s="39"/>
      <c r="AP1" s="39"/>
      <c r="AQ1" s="40"/>
      <c r="AR1" s="40"/>
      <c r="AS1" s="40"/>
      <c r="AT1" s="40"/>
      <c r="AU1" s="40"/>
      <c r="AV1" s="40"/>
      <c r="AW1" s="39"/>
      <c r="AX1" s="39"/>
      <c r="AY1" s="39"/>
      <c r="AZ1" s="39"/>
      <c r="BA1" s="40"/>
      <c r="BB1" s="40"/>
      <c r="BC1" s="40"/>
      <c r="BD1" s="40"/>
      <c r="BE1" s="40"/>
      <c r="BF1" s="40"/>
      <c r="BG1" s="39"/>
      <c r="BH1" s="39"/>
      <c r="BI1" s="39"/>
      <c r="BJ1" s="39"/>
      <c r="BK1" s="40"/>
      <c r="BL1" s="40"/>
      <c r="BM1" s="40"/>
      <c r="BN1" s="40"/>
      <c r="BO1" s="40"/>
      <c r="BP1" s="40"/>
      <c r="BQ1" s="39"/>
      <c r="BR1" s="39"/>
      <c r="BS1" s="39"/>
      <c r="BT1" s="39"/>
      <c r="BU1" s="40"/>
      <c r="BV1" s="40"/>
      <c r="BW1" s="40"/>
      <c r="BX1" s="40"/>
      <c r="BY1" s="40"/>
      <c r="BZ1" s="40"/>
      <c r="CA1" s="39"/>
      <c r="CB1" s="39"/>
      <c r="CC1" s="39"/>
      <c r="CD1" s="39"/>
      <c r="CE1" s="40"/>
      <c r="CF1" s="40"/>
      <c r="CG1" s="40"/>
      <c r="CH1" s="40"/>
      <c r="CI1" s="40"/>
      <c r="CJ1" s="40"/>
      <c r="CK1" s="39"/>
      <c r="CL1" s="39"/>
      <c r="CM1" s="39"/>
      <c r="CN1" s="39"/>
      <c r="CO1" s="40"/>
      <c r="CP1" s="40"/>
      <c r="CQ1" s="40"/>
      <c r="CR1" s="40"/>
      <c r="CS1" s="40"/>
      <c r="CT1" s="40"/>
      <c r="CU1" s="39"/>
      <c r="CV1" s="39"/>
      <c r="CW1" s="39"/>
      <c r="CX1" s="39"/>
      <c r="CY1" s="40"/>
      <c r="CZ1" s="40"/>
      <c r="DA1" s="40"/>
      <c r="DB1" s="40"/>
      <c r="DC1" s="40"/>
      <c r="DD1" s="40"/>
      <c r="DE1" s="39"/>
      <c r="DF1" s="39"/>
      <c r="DG1" s="39"/>
      <c r="DH1" s="39"/>
      <c r="DI1" s="40"/>
      <c r="DJ1" s="40"/>
      <c r="DK1" s="40"/>
      <c r="DL1" s="40"/>
      <c r="DM1" s="40"/>
      <c r="DN1" s="40"/>
      <c r="DO1" s="39"/>
      <c r="DP1" s="39"/>
      <c r="DQ1" s="39"/>
      <c r="DR1" s="39"/>
      <c r="DS1" s="40"/>
      <c r="DT1" s="40"/>
      <c r="DU1" s="40"/>
      <c r="DV1" s="40"/>
    </row>
    <row r="2" ht="21.75" customHeight="1">
      <c r="A2" s="35"/>
      <c r="B2" s="36"/>
      <c r="C2" s="41" t="s">
        <v>73</v>
      </c>
      <c r="D2" s="35"/>
      <c r="E2" s="35"/>
      <c r="F2" s="35"/>
      <c r="G2" s="38"/>
      <c r="H2" s="39"/>
      <c r="I2" s="39"/>
      <c r="J2" s="39"/>
      <c r="K2" s="39"/>
      <c r="L2" s="39"/>
      <c r="M2" s="40"/>
      <c r="N2" s="40"/>
      <c r="O2" s="40"/>
      <c r="P2" s="40"/>
      <c r="Q2" s="40"/>
      <c r="R2" s="40"/>
      <c r="S2" s="39"/>
      <c r="T2" s="39"/>
      <c r="U2" s="39"/>
      <c r="V2" s="39"/>
      <c r="W2" s="40"/>
      <c r="X2" s="40"/>
      <c r="Y2" s="40"/>
      <c r="Z2" s="40"/>
      <c r="AA2" s="40"/>
      <c r="AB2" s="40"/>
      <c r="AC2" s="39"/>
      <c r="AD2" s="39"/>
      <c r="AE2" s="39"/>
      <c r="AF2" s="39"/>
      <c r="AG2" s="40"/>
      <c r="AH2" s="40"/>
      <c r="AI2" s="40"/>
      <c r="AJ2" s="40"/>
      <c r="AK2" s="40"/>
      <c r="AL2" s="40"/>
      <c r="AM2" s="39"/>
      <c r="AN2" s="39"/>
      <c r="AO2" s="39"/>
      <c r="AP2" s="39"/>
      <c r="AQ2" s="40"/>
      <c r="AR2" s="40"/>
      <c r="AS2" s="40"/>
      <c r="AT2" s="40"/>
      <c r="AU2" s="40"/>
      <c r="AV2" s="40"/>
      <c r="AW2" s="39"/>
      <c r="AX2" s="39"/>
      <c r="AY2" s="39"/>
      <c r="AZ2" s="39"/>
      <c r="BA2" s="40"/>
      <c r="BB2" s="40"/>
      <c r="BC2" s="40"/>
      <c r="BD2" s="40"/>
      <c r="BE2" s="40"/>
      <c r="BF2" s="40"/>
      <c r="BG2" s="39"/>
      <c r="BH2" s="39"/>
      <c r="BI2" s="39"/>
      <c r="BJ2" s="39"/>
      <c r="BK2" s="40"/>
      <c r="BL2" s="40"/>
      <c r="BM2" s="40"/>
      <c r="BN2" s="40"/>
      <c r="BO2" s="40"/>
      <c r="BP2" s="40"/>
      <c r="BQ2" s="39"/>
      <c r="BR2" s="39"/>
      <c r="BS2" s="39"/>
      <c r="BT2" s="39"/>
      <c r="BU2" s="40"/>
      <c r="BV2" s="40"/>
      <c r="BW2" s="40"/>
      <c r="BX2" s="40"/>
      <c r="BY2" s="40"/>
      <c r="BZ2" s="40"/>
      <c r="CA2" s="39"/>
      <c r="CB2" s="39"/>
      <c r="CC2" s="39"/>
      <c r="CD2" s="39"/>
      <c r="CE2" s="40"/>
      <c r="CF2" s="40"/>
      <c r="CG2" s="40"/>
      <c r="CH2" s="40"/>
      <c r="CI2" s="40"/>
      <c r="CJ2" s="40"/>
      <c r="CK2" s="39"/>
      <c r="CL2" s="39"/>
      <c r="CM2" s="39"/>
      <c r="CN2" s="39"/>
      <c r="CO2" s="40"/>
      <c r="CP2" s="40"/>
      <c r="CQ2" s="40"/>
      <c r="CR2" s="40"/>
      <c r="CS2" s="40"/>
      <c r="CT2" s="40"/>
      <c r="CU2" s="39"/>
      <c r="CV2" s="39"/>
      <c r="CW2" s="39"/>
      <c r="CX2" s="39"/>
      <c r="CY2" s="40"/>
      <c r="CZ2" s="40"/>
      <c r="DA2" s="40"/>
      <c r="DB2" s="40"/>
      <c r="DC2" s="40"/>
      <c r="DD2" s="40"/>
      <c r="DE2" s="39"/>
      <c r="DF2" s="39"/>
      <c r="DG2" s="39"/>
      <c r="DH2" s="39"/>
      <c r="DI2" s="40"/>
      <c r="DJ2" s="40"/>
      <c r="DK2" s="40"/>
      <c r="DL2" s="40"/>
      <c r="DM2" s="40"/>
      <c r="DN2" s="40"/>
      <c r="DO2" s="39"/>
      <c r="DP2" s="39"/>
      <c r="DQ2" s="39"/>
      <c r="DR2" s="39"/>
      <c r="DS2" s="40"/>
      <c r="DT2" s="40"/>
      <c r="DU2" s="40"/>
      <c r="DV2" s="40"/>
    </row>
    <row r="3" ht="15.75" customHeight="1">
      <c r="A3" s="35"/>
      <c r="B3" s="42"/>
      <c r="C3" s="35"/>
      <c r="D3" s="35"/>
      <c r="E3" s="35"/>
      <c r="F3" s="35"/>
      <c r="G3" s="38"/>
      <c r="H3" s="39"/>
      <c r="I3" s="39"/>
      <c r="J3" s="39"/>
      <c r="K3" s="39"/>
      <c r="L3" s="39"/>
      <c r="M3" s="40"/>
      <c r="N3" s="40"/>
      <c r="O3" s="40"/>
      <c r="P3" s="40"/>
      <c r="Q3" s="40"/>
      <c r="R3" s="40"/>
      <c r="S3" s="39"/>
      <c r="T3" s="39"/>
      <c r="U3" s="39"/>
      <c r="V3" s="39"/>
      <c r="W3" s="40"/>
      <c r="X3" s="40"/>
      <c r="Y3" s="40"/>
      <c r="Z3" s="40"/>
      <c r="AA3" s="40"/>
      <c r="AB3" s="40"/>
      <c r="AC3" s="39"/>
      <c r="AD3" s="39"/>
      <c r="AE3" s="39"/>
      <c r="AF3" s="39"/>
      <c r="AG3" s="40"/>
      <c r="AH3" s="40"/>
      <c r="AI3" s="40"/>
      <c r="AJ3" s="40"/>
      <c r="AK3" s="40"/>
      <c r="AL3" s="40"/>
      <c r="AM3" s="39"/>
      <c r="AN3" s="39"/>
      <c r="AO3" s="39"/>
      <c r="AP3" s="39"/>
      <c r="AQ3" s="40"/>
      <c r="AR3" s="40"/>
      <c r="AS3" s="40"/>
      <c r="AT3" s="40"/>
      <c r="AU3" s="40"/>
      <c r="AV3" s="40"/>
      <c r="AW3" s="39"/>
      <c r="AX3" s="39"/>
      <c r="AY3" s="39"/>
      <c r="AZ3" s="39"/>
      <c r="BA3" s="40"/>
      <c r="BB3" s="40"/>
      <c r="BC3" s="40"/>
      <c r="BD3" s="40"/>
      <c r="BE3" s="40"/>
      <c r="BF3" s="40"/>
      <c r="BG3" s="39"/>
      <c r="BH3" s="39"/>
      <c r="BI3" s="39"/>
      <c r="BJ3" s="39"/>
      <c r="BK3" s="40"/>
      <c r="BL3" s="40"/>
      <c r="BM3" s="40"/>
      <c r="BN3" s="40"/>
      <c r="BO3" s="40"/>
      <c r="BP3" s="40"/>
      <c r="BQ3" s="39"/>
      <c r="BR3" s="39"/>
      <c r="BS3" s="39"/>
      <c r="BT3" s="39"/>
      <c r="BU3" s="40"/>
      <c r="BV3" s="40"/>
      <c r="BW3" s="40"/>
      <c r="BX3" s="40"/>
      <c r="BY3" s="40"/>
      <c r="BZ3" s="40"/>
      <c r="CA3" s="39"/>
      <c r="CB3" s="39"/>
      <c r="CC3" s="39"/>
      <c r="CD3" s="39"/>
      <c r="CE3" s="40"/>
      <c r="CF3" s="40"/>
      <c r="CG3" s="40"/>
      <c r="CH3" s="40"/>
      <c r="CI3" s="40"/>
      <c r="CJ3" s="40"/>
      <c r="CK3" s="39"/>
      <c r="CL3" s="39"/>
      <c r="CM3" s="39"/>
      <c r="CN3" s="39"/>
      <c r="CO3" s="40"/>
      <c r="CP3" s="40"/>
      <c r="CQ3" s="40"/>
      <c r="CR3" s="40"/>
      <c r="CS3" s="40"/>
      <c r="CT3" s="40"/>
      <c r="CU3" s="39"/>
      <c r="CV3" s="39"/>
      <c r="CW3" s="39"/>
      <c r="CX3" s="39"/>
      <c r="CY3" s="40"/>
      <c r="CZ3" s="40"/>
      <c r="DA3" s="40"/>
      <c r="DB3" s="40"/>
      <c r="DC3" s="40"/>
      <c r="DD3" s="40"/>
      <c r="DE3" s="39"/>
      <c r="DF3" s="39"/>
      <c r="DG3" s="39"/>
      <c r="DH3" s="39"/>
      <c r="DI3" s="40"/>
      <c r="DJ3" s="40"/>
      <c r="DK3" s="40"/>
      <c r="DL3" s="40"/>
      <c r="DM3" s="40"/>
      <c r="DN3" s="40"/>
      <c r="DO3" s="39"/>
      <c r="DP3" s="39"/>
      <c r="DQ3" s="39"/>
      <c r="DR3" s="39"/>
      <c r="DS3" s="40"/>
      <c r="DT3" s="40"/>
      <c r="DU3" s="40"/>
      <c r="DV3" s="40"/>
    </row>
    <row r="4" ht="15.75" customHeight="1">
      <c r="A4" s="35"/>
      <c r="B4" s="43"/>
      <c r="C4" s="44"/>
      <c r="D4" s="45" t="s">
        <v>74</v>
      </c>
      <c r="E4" s="46"/>
      <c r="F4" s="47" t="s">
        <v>75</v>
      </c>
      <c r="G4" s="48"/>
      <c r="H4" s="46"/>
      <c r="I4" s="49" t="s">
        <v>76</v>
      </c>
      <c r="J4" s="46"/>
      <c r="K4" s="49" t="s">
        <v>77</v>
      </c>
      <c r="L4" s="46"/>
      <c r="M4" s="50" t="s">
        <v>78</v>
      </c>
      <c r="N4" s="46"/>
      <c r="O4" s="50" t="s">
        <v>79</v>
      </c>
      <c r="P4" s="46"/>
      <c r="Q4" s="45" t="s">
        <v>80</v>
      </c>
      <c r="R4" s="46"/>
      <c r="S4" s="49" t="s">
        <v>76</v>
      </c>
      <c r="T4" s="46"/>
      <c r="U4" s="49" t="s">
        <v>77</v>
      </c>
      <c r="V4" s="46"/>
      <c r="W4" s="50" t="s">
        <v>78</v>
      </c>
      <c r="X4" s="46"/>
      <c r="Y4" s="50" t="s">
        <v>79</v>
      </c>
      <c r="Z4" s="46"/>
      <c r="AA4" s="47" t="s">
        <v>81</v>
      </c>
      <c r="AB4" s="46"/>
      <c r="AC4" s="49" t="s">
        <v>76</v>
      </c>
      <c r="AD4" s="46"/>
      <c r="AE4" s="49" t="s">
        <v>77</v>
      </c>
      <c r="AF4" s="46"/>
      <c r="AG4" s="50" t="s">
        <v>78</v>
      </c>
      <c r="AH4" s="46"/>
      <c r="AI4" s="50" t="s">
        <v>79</v>
      </c>
      <c r="AJ4" s="46"/>
      <c r="AK4" s="45" t="s">
        <v>82</v>
      </c>
      <c r="AL4" s="46"/>
      <c r="AM4" s="49" t="s">
        <v>76</v>
      </c>
      <c r="AN4" s="46"/>
      <c r="AO4" s="49" t="s">
        <v>77</v>
      </c>
      <c r="AP4" s="46"/>
      <c r="AQ4" s="50" t="s">
        <v>78</v>
      </c>
      <c r="AR4" s="46"/>
      <c r="AS4" s="50" t="s">
        <v>79</v>
      </c>
      <c r="AT4" s="46"/>
      <c r="AU4" s="47" t="s">
        <v>83</v>
      </c>
      <c r="AV4" s="46"/>
      <c r="AW4" s="49" t="s">
        <v>76</v>
      </c>
      <c r="AX4" s="46"/>
      <c r="AY4" s="49" t="s">
        <v>77</v>
      </c>
      <c r="AZ4" s="46"/>
      <c r="BA4" s="50" t="s">
        <v>78</v>
      </c>
      <c r="BB4" s="46"/>
      <c r="BC4" s="50" t="s">
        <v>79</v>
      </c>
      <c r="BD4" s="46"/>
      <c r="BE4" s="47" t="s">
        <v>84</v>
      </c>
      <c r="BF4" s="46"/>
      <c r="BG4" s="49" t="s">
        <v>76</v>
      </c>
      <c r="BH4" s="46"/>
      <c r="BI4" s="49" t="s">
        <v>77</v>
      </c>
      <c r="BJ4" s="46"/>
      <c r="BK4" s="50" t="s">
        <v>78</v>
      </c>
      <c r="BL4" s="46"/>
      <c r="BM4" s="50" t="s">
        <v>79</v>
      </c>
      <c r="BN4" s="46"/>
      <c r="BO4" s="47" t="s">
        <v>85</v>
      </c>
      <c r="BP4" s="46"/>
      <c r="BQ4" s="49" t="s">
        <v>76</v>
      </c>
      <c r="BR4" s="46"/>
      <c r="BS4" s="49" t="s">
        <v>77</v>
      </c>
      <c r="BT4" s="46"/>
      <c r="BU4" s="50" t="s">
        <v>78</v>
      </c>
      <c r="BV4" s="46"/>
      <c r="BW4" s="50" t="s">
        <v>79</v>
      </c>
      <c r="BX4" s="46"/>
      <c r="BY4" s="47" t="s">
        <v>86</v>
      </c>
      <c r="BZ4" s="46"/>
      <c r="CA4" s="49" t="s">
        <v>76</v>
      </c>
      <c r="CB4" s="46"/>
      <c r="CC4" s="49" t="s">
        <v>77</v>
      </c>
      <c r="CD4" s="46"/>
      <c r="CE4" s="50" t="s">
        <v>78</v>
      </c>
      <c r="CF4" s="46"/>
      <c r="CG4" s="50" t="s">
        <v>79</v>
      </c>
      <c r="CH4" s="46"/>
      <c r="CI4" s="47" t="s">
        <v>87</v>
      </c>
      <c r="CJ4" s="46"/>
      <c r="CK4" s="49" t="s">
        <v>76</v>
      </c>
      <c r="CL4" s="46"/>
      <c r="CM4" s="49" t="s">
        <v>77</v>
      </c>
      <c r="CN4" s="46"/>
      <c r="CO4" s="50" t="s">
        <v>78</v>
      </c>
      <c r="CP4" s="46"/>
      <c r="CQ4" s="50" t="s">
        <v>79</v>
      </c>
      <c r="CR4" s="46"/>
      <c r="CS4" s="47" t="s">
        <v>88</v>
      </c>
      <c r="CT4" s="46"/>
      <c r="CU4" s="49" t="s">
        <v>76</v>
      </c>
      <c r="CV4" s="46"/>
      <c r="CW4" s="49" t="s">
        <v>77</v>
      </c>
      <c r="CX4" s="46"/>
      <c r="CY4" s="50" t="s">
        <v>78</v>
      </c>
      <c r="CZ4" s="46"/>
      <c r="DA4" s="50" t="s">
        <v>79</v>
      </c>
      <c r="DB4" s="46"/>
      <c r="DC4" s="47" t="s">
        <v>89</v>
      </c>
      <c r="DD4" s="46"/>
      <c r="DE4" s="49" t="s">
        <v>76</v>
      </c>
      <c r="DF4" s="46"/>
      <c r="DG4" s="49" t="s">
        <v>77</v>
      </c>
      <c r="DH4" s="46"/>
      <c r="DI4" s="50" t="s">
        <v>78</v>
      </c>
      <c r="DJ4" s="46"/>
      <c r="DK4" s="50" t="s">
        <v>79</v>
      </c>
      <c r="DL4" s="46"/>
      <c r="DM4" s="47" t="s">
        <v>90</v>
      </c>
      <c r="DN4" s="46"/>
      <c r="DO4" s="49" t="s">
        <v>76</v>
      </c>
      <c r="DP4" s="46"/>
      <c r="DQ4" s="49" t="s">
        <v>77</v>
      </c>
      <c r="DR4" s="46"/>
      <c r="DS4" s="50" t="s">
        <v>78</v>
      </c>
      <c r="DT4" s="46"/>
      <c r="DU4" s="50" t="s">
        <v>79</v>
      </c>
      <c r="DV4" s="46"/>
    </row>
    <row r="5" ht="15.75" customHeight="1">
      <c r="A5" s="35"/>
      <c r="B5" s="43"/>
      <c r="C5" s="51"/>
      <c r="D5" s="52" t="s">
        <v>91</v>
      </c>
      <c r="E5" s="53" t="s">
        <v>92</v>
      </c>
      <c r="F5" s="52" t="s">
        <v>91</v>
      </c>
      <c r="G5" s="53" t="s">
        <v>92</v>
      </c>
      <c r="H5" s="54" t="s">
        <v>93</v>
      </c>
      <c r="I5" s="52" t="s">
        <v>91</v>
      </c>
      <c r="J5" s="53" t="s">
        <v>92</v>
      </c>
      <c r="K5" s="52" t="s">
        <v>91</v>
      </c>
      <c r="L5" s="53" t="s">
        <v>92</v>
      </c>
      <c r="M5" s="52" t="s">
        <v>91</v>
      </c>
      <c r="N5" s="53" t="s">
        <v>92</v>
      </c>
      <c r="O5" s="52" t="s">
        <v>91</v>
      </c>
      <c r="P5" s="53" t="s">
        <v>92</v>
      </c>
      <c r="Q5" s="55" t="s">
        <v>91</v>
      </c>
      <c r="R5" s="56" t="s">
        <v>92</v>
      </c>
      <c r="S5" s="57" t="s">
        <v>91</v>
      </c>
      <c r="T5" s="58" t="s">
        <v>92</v>
      </c>
      <c r="U5" s="55" t="s">
        <v>91</v>
      </c>
      <c r="V5" s="56" t="s">
        <v>92</v>
      </c>
      <c r="W5" s="57" t="s">
        <v>91</v>
      </c>
      <c r="X5" s="58" t="s">
        <v>92</v>
      </c>
      <c r="Y5" s="57" t="s">
        <v>91</v>
      </c>
      <c r="Z5" s="58" t="s">
        <v>92</v>
      </c>
      <c r="AA5" s="55" t="s">
        <v>91</v>
      </c>
      <c r="AB5" s="56" t="s">
        <v>92</v>
      </c>
      <c r="AC5" s="57" t="s">
        <v>91</v>
      </c>
      <c r="AD5" s="58" t="s">
        <v>92</v>
      </c>
      <c r="AE5" s="55" t="s">
        <v>91</v>
      </c>
      <c r="AF5" s="56" t="s">
        <v>92</v>
      </c>
      <c r="AG5" s="57" t="s">
        <v>91</v>
      </c>
      <c r="AH5" s="58" t="s">
        <v>92</v>
      </c>
      <c r="AI5" s="57" t="s">
        <v>91</v>
      </c>
      <c r="AJ5" s="58" t="s">
        <v>92</v>
      </c>
      <c r="AK5" s="55" t="s">
        <v>91</v>
      </c>
      <c r="AL5" s="56" t="s">
        <v>92</v>
      </c>
      <c r="AM5" s="57" t="s">
        <v>91</v>
      </c>
      <c r="AN5" s="58" t="s">
        <v>92</v>
      </c>
      <c r="AO5" s="55" t="s">
        <v>91</v>
      </c>
      <c r="AP5" s="56" t="s">
        <v>92</v>
      </c>
      <c r="AQ5" s="57" t="s">
        <v>91</v>
      </c>
      <c r="AR5" s="58" t="s">
        <v>92</v>
      </c>
      <c r="AS5" s="57" t="s">
        <v>91</v>
      </c>
      <c r="AT5" s="58" t="s">
        <v>92</v>
      </c>
      <c r="AU5" s="55" t="s">
        <v>91</v>
      </c>
      <c r="AV5" s="56" t="s">
        <v>92</v>
      </c>
      <c r="AW5" s="57" t="s">
        <v>91</v>
      </c>
      <c r="AX5" s="58" t="s">
        <v>92</v>
      </c>
      <c r="AY5" s="55" t="s">
        <v>91</v>
      </c>
      <c r="AZ5" s="56" t="s">
        <v>92</v>
      </c>
      <c r="BA5" s="57" t="s">
        <v>91</v>
      </c>
      <c r="BB5" s="58" t="s">
        <v>92</v>
      </c>
      <c r="BC5" s="57" t="s">
        <v>91</v>
      </c>
      <c r="BD5" s="58" t="s">
        <v>92</v>
      </c>
      <c r="BE5" s="55" t="s">
        <v>91</v>
      </c>
      <c r="BF5" s="56" t="s">
        <v>92</v>
      </c>
      <c r="BG5" s="57" t="s">
        <v>91</v>
      </c>
      <c r="BH5" s="56" t="s">
        <v>92</v>
      </c>
      <c r="BI5" s="55" t="s">
        <v>91</v>
      </c>
      <c r="BJ5" s="56" t="s">
        <v>92</v>
      </c>
      <c r="BK5" s="57" t="s">
        <v>91</v>
      </c>
      <c r="BL5" s="56" t="s">
        <v>92</v>
      </c>
      <c r="BM5" s="57" t="s">
        <v>91</v>
      </c>
      <c r="BN5" s="56" t="s">
        <v>92</v>
      </c>
      <c r="BO5" s="55" t="s">
        <v>91</v>
      </c>
      <c r="BP5" s="56" t="s">
        <v>92</v>
      </c>
      <c r="BQ5" s="57" t="s">
        <v>91</v>
      </c>
      <c r="BR5" s="58" t="s">
        <v>92</v>
      </c>
      <c r="BS5" s="55" t="s">
        <v>91</v>
      </c>
      <c r="BT5" s="56" t="s">
        <v>92</v>
      </c>
      <c r="BU5" s="57" t="s">
        <v>91</v>
      </c>
      <c r="BV5" s="58" t="s">
        <v>92</v>
      </c>
      <c r="BW5" s="57" t="s">
        <v>91</v>
      </c>
      <c r="BX5" s="58" t="s">
        <v>92</v>
      </c>
      <c r="BY5" s="55" t="s">
        <v>91</v>
      </c>
      <c r="BZ5" s="56" t="s">
        <v>92</v>
      </c>
      <c r="CA5" s="57" t="s">
        <v>91</v>
      </c>
      <c r="CB5" s="58" t="s">
        <v>92</v>
      </c>
      <c r="CC5" s="55" t="s">
        <v>91</v>
      </c>
      <c r="CD5" s="56" t="s">
        <v>92</v>
      </c>
      <c r="CE5" s="57" t="s">
        <v>91</v>
      </c>
      <c r="CF5" s="58" t="s">
        <v>92</v>
      </c>
      <c r="CG5" s="57" t="s">
        <v>91</v>
      </c>
      <c r="CH5" s="58" t="s">
        <v>92</v>
      </c>
      <c r="CI5" s="55" t="s">
        <v>91</v>
      </c>
      <c r="CJ5" s="56" t="s">
        <v>92</v>
      </c>
      <c r="CK5" s="57" t="s">
        <v>91</v>
      </c>
      <c r="CL5" s="58" t="s">
        <v>92</v>
      </c>
      <c r="CM5" s="55" t="s">
        <v>91</v>
      </c>
      <c r="CN5" s="56" t="s">
        <v>92</v>
      </c>
      <c r="CO5" s="57" t="s">
        <v>91</v>
      </c>
      <c r="CP5" s="58" t="s">
        <v>92</v>
      </c>
      <c r="CQ5" s="57" t="s">
        <v>91</v>
      </c>
      <c r="CR5" s="58" t="s">
        <v>92</v>
      </c>
      <c r="CS5" s="55" t="s">
        <v>91</v>
      </c>
      <c r="CT5" s="56" t="s">
        <v>92</v>
      </c>
      <c r="CU5" s="57" t="s">
        <v>91</v>
      </c>
      <c r="CV5" s="58" t="s">
        <v>92</v>
      </c>
      <c r="CW5" s="55" t="s">
        <v>91</v>
      </c>
      <c r="CX5" s="56" t="s">
        <v>92</v>
      </c>
      <c r="CY5" s="57" t="s">
        <v>91</v>
      </c>
      <c r="CZ5" s="58" t="s">
        <v>92</v>
      </c>
      <c r="DA5" s="57" t="s">
        <v>91</v>
      </c>
      <c r="DB5" s="58" t="s">
        <v>92</v>
      </c>
      <c r="DC5" s="55" t="s">
        <v>91</v>
      </c>
      <c r="DD5" s="56" t="s">
        <v>92</v>
      </c>
      <c r="DE5" s="57" t="s">
        <v>91</v>
      </c>
      <c r="DF5" s="58" t="s">
        <v>92</v>
      </c>
      <c r="DG5" s="55" t="s">
        <v>91</v>
      </c>
      <c r="DH5" s="56" t="s">
        <v>92</v>
      </c>
      <c r="DI5" s="57" t="s">
        <v>91</v>
      </c>
      <c r="DJ5" s="58" t="s">
        <v>92</v>
      </c>
      <c r="DK5" s="57" t="s">
        <v>91</v>
      </c>
      <c r="DL5" s="58" t="s">
        <v>92</v>
      </c>
      <c r="DM5" s="55" t="s">
        <v>91</v>
      </c>
      <c r="DN5" s="56" t="s">
        <v>92</v>
      </c>
      <c r="DO5" s="57" t="s">
        <v>91</v>
      </c>
      <c r="DP5" s="58" t="s">
        <v>92</v>
      </c>
      <c r="DQ5" s="55" t="s">
        <v>91</v>
      </c>
      <c r="DR5" s="56" t="s">
        <v>92</v>
      </c>
      <c r="DS5" s="57" t="s">
        <v>91</v>
      </c>
      <c r="DT5" s="58" t="s">
        <v>92</v>
      </c>
      <c r="DU5" s="57" t="s">
        <v>91</v>
      </c>
      <c r="DV5" s="58" t="s">
        <v>92</v>
      </c>
    </row>
    <row r="6" ht="15.75" customHeight="1">
      <c r="A6" s="35"/>
      <c r="B6" s="59" t="s">
        <v>94</v>
      </c>
      <c r="C6" s="60" t="s">
        <v>95</v>
      </c>
      <c r="D6" s="61">
        <f t="shared" ref="D6:E6" si="1">SUM(F6+Q6+AA6+AK6+AU6+BE6+BO6+BY6+CI6+CS6+DC6+DM6)</f>
        <v>0</v>
      </c>
      <c r="E6" s="61">
        <f t="shared" si="1"/>
        <v>248.015873</v>
      </c>
      <c r="F6" s="61">
        <f t="shared" ref="F6:G6" si="2">SUM(F20+F34+F48+F62)</f>
        <v>0</v>
      </c>
      <c r="G6" s="61">
        <f t="shared" si="2"/>
        <v>0</v>
      </c>
      <c r="H6" s="61" t="str">
        <f>F6/G6</f>
        <v>#DIV/0!</v>
      </c>
      <c r="I6" s="61">
        <f t="shared" ref="I6:DV6" si="3">SUM(I20+I34+I48+I62)</f>
        <v>0</v>
      </c>
      <c r="J6" s="62">
        <f t="shared" si="3"/>
        <v>0</v>
      </c>
      <c r="K6" s="61">
        <f t="shared" si="3"/>
        <v>0</v>
      </c>
      <c r="L6" s="62">
        <f t="shared" si="3"/>
        <v>0</v>
      </c>
      <c r="M6" s="61">
        <f t="shared" si="3"/>
        <v>0</v>
      </c>
      <c r="N6" s="62">
        <f t="shared" si="3"/>
        <v>0</v>
      </c>
      <c r="O6" s="61">
        <f t="shared" si="3"/>
        <v>0</v>
      </c>
      <c r="P6" s="62">
        <f t="shared" si="3"/>
        <v>0</v>
      </c>
      <c r="Q6" s="61">
        <f t="shared" si="3"/>
        <v>0</v>
      </c>
      <c r="R6" s="61">
        <f t="shared" si="3"/>
        <v>0</v>
      </c>
      <c r="S6" s="61">
        <f t="shared" si="3"/>
        <v>0</v>
      </c>
      <c r="T6" s="62">
        <f t="shared" si="3"/>
        <v>0</v>
      </c>
      <c r="U6" s="61">
        <f t="shared" si="3"/>
        <v>0</v>
      </c>
      <c r="V6" s="62">
        <f t="shared" si="3"/>
        <v>0</v>
      </c>
      <c r="W6" s="61">
        <f t="shared" si="3"/>
        <v>0</v>
      </c>
      <c r="X6" s="62">
        <f t="shared" si="3"/>
        <v>0</v>
      </c>
      <c r="Y6" s="61">
        <f t="shared" si="3"/>
        <v>0</v>
      </c>
      <c r="Z6" s="62">
        <f t="shared" si="3"/>
        <v>0</v>
      </c>
      <c r="AA6" s="61">
        <f t="shared" si="3"/>
        <v>0</v>
      </c>
      <c r="AB6" s="61">
        <f t="shared" si="3"/>
        <v>0</v>
      </c>
      <c r="AC6" s="61">
        <f t="shared" si="3"/>
        <v>0</v>
      </c>
      <c r="AD6" s="62">
        <f t="shared" si="3"/>
        <v>0</v>
      </c>
      <c r="AE6" s="61">
        <f t="shared" si="3"/>
        <v>0</v>
      </c>
      <c r="AF6" s="62">
        <f t="shared" si="3"/>
        <v>0</v>
      </c>
      <c r="AG6" s="61">
        <f t="shared" si="3"/>
        <v>0</v>
      </c>
      <c r="AH6" s="62">
        <f t="shared" si="3"/>
        <v>0</v>
      </c>
      <c r="AI6" s="61">
        <f t="shared" si="3"/>
        <v>0</v>
      </c>
      <c r="AJ6" s="62">
        <f t="shared" si="3"/>
        <v>0</v>
      </c>
      <c r="AK6" s="61">
        <f t="shared" si="3"/>
        <v>0</v>
      </c>
      <c r="AL6" s="61">
        <f t="shared" si="3"/>
        <v>0</v>
      </c>
      <c r="AM6" s="61">
        <f t="shared" si="3"/>
        <v>0</v>
      </c>
      <c r="AN6" s="62">
        <f t="shared" si="3"/>
        <v>0</v>
      </c>
      <c r="AO6" s="61">
        <f t="shared" si="3"/>
        <v>0</v>
      </c>
      <c r="AP6" s="62">
        <f t="shared" si="3"/>
        <v>0</v>
      </c>
      <c r="AQ6" s="61">
        <f t="shared" si="3"/>
        <v>0</v>
      </c>
      <c r="AR6" s="62">
        <f t="shared" si="3"/>
        <v>0</v>
      </c>
      <c r="AS6" s="61">
        <f t="shared" si="3"/>
        <v>0</v>
      </c>
      <c r="AT6" s="62">
        <f t="shared" si="3"/>
        <v>0</v>
      </c>
      <c r="AU6" s="61">
        <f t="shared" si="3"/>
        <v>0</v>
      </c>
      <c r="AV6" s="61">
        <f t="shared" si="3"/>
        <v>0</v>
      </c>
      <c r="AW6" s="61">
        <f t="shared" si="3"/>
        <v>0</v>
      </c>
      <c r="AX6" s="62">
        <f t="shared" si="3"/>
        <v>0</v>
      </c>
      <c r="AY6" s="61">
        <f t="shared" si="3"/>
        <v>0</v>
      </c>
      <c r="AZ6" s="62">
        <f t="shared" si="3"/>
        <v>0</v>
      </c>
      <c r="BA6" s="61">
        <f t="shared" si="3"/>
        <v>0</v>
      </c>
      <c r="BB6" s="62">
        <f t="shared" si="3"/>
        <v>0</v>
      </c>
      <c r="BC6" s="61">
        <f t="shared" si="3"/>
        <v>0</v>
      </c>
      <c r="BD6" s="62">
        <f t="shared" si="3"/>
        <v>0</v>
      </c>
      <c r="BE6" s="61">
        <f t="shared" si="3"/>
        <v>0</v>
      </c>
      <c r="BF6" s="61">
        <f t="shared" si="3"/>
        <v>248.015873</v>
      </c>
      <c r="BG6" s="61">
        <f t="shared" si="3"/>
        <v>0</v>
      </c>
      <c r="BH6" s="62">
        <f t="shared" si="3"/>
        <v>62.00396825</v>
      </c>
      <c r="BI6" s="61">
        <f t="shared" si="3"/>
        <v>0</v>
      </c>
      <c r="BJ6" s="62">
        <f t="shared" si="3"/>
        <v>62.00396825</v>
      </c>
      <c r="BK6" s="61">
        <f t="shared" si="3"/>
        <v>0</v>
      </c>
      <c r="BL6" s="62">
        <f t="shared" si="3"/>
        <v>62.00396825</v>
      </c>
      <c r="BM6" s="61">
        <f t="shared" si="3"/>
        <v>0</v>
      </c>
      <c r="BN6" s="62">
        <f t="shared" si="3"/>
        <v>62.00396825</v>
      </c>
      <c r="BO6" s="61">
        <f t="shared" si="3"/>
        <v>0</v>
      </c>
      <c r="BP6" s="61">
        <f t="shared" si="3"/>
        <v>0</v>
      </c>
      <c r="BQ6" s="61">
        <f t="shared" si="3"/>
        <v>0</v>
      </c>
      <c r="BR6" s="62">
        <f t="shared" si="3"/>
        <v>0</v>
      </c>
      <c r="BS6" s="61">
        <f t="shared" si="3"/>
        <v>0</v>
      </c>
      <c r="BT6" s="62">
        <f t="shared" si="3"/>
        <v>0</v>
      </c>
      <c r="BU6" s="61">
        <f t="shared" si="3"/>
        <v>0</v>
      </c>
      <c r="BV6" s="62">
        <f t="shared" si="3"/>
        <v>0</v>
      </c>
      <c r="BW6" s="61">
        <f t="shared" si="3"/>
        <v>0</v>
      </c>
      <c r="BX6" s="62">
        <f t="shared" si="3"/>
        <v>0</v>
      </c>
      <c r="BY6" s="61">
        <f t="shared" si="3"/>
        <v>0</v>
      </c>
      <c r="BZ6" s="61">
        <f t="shared" si="3"/>
        <v>0</v>
      </c>
      <c r="CA6" s="61">
        <f t="shared" si="3"/>
        <v>0</v>
      </c>
      <c r="CB6" s="62">
        <f t="shared" si="3"/>
        <v>0</v>
      </c>
      <c r="CC6" s="61">
        <f t="shared" si="3"/>
        <v>0</v>
      </c>
      <c r="CD6" s="62">
        <f t="shared" si="3"/>
        <v>0</v>
      </c>
      <c r="CE6" s="61">
        <f t="shared" si="3"/>
        <v>0</v>
      </c>
      <c r="CF6" s="62">
        <f t="shared" si="3"/>
        <v>0</v>
      </c>
      <c r="CG6" s="61">
        <f t="shared" si="3"/>
        <v>0</v>
      </c>
      <c r="CH6" s="62">
        <f t="shared" si="3"/>
        <v>0</v>
      </c>
      <c r="CI6" s="61">
        <f t="shared" si="3"/>
        <v>0</v>
      </c>
      <c r="CJ6" s="61">
        <f t="shared" si="3"/>
        <v>0</v>
      </c>
      <c r="CK6" s="61">
        <f t="shared" si="3"/>
        <v>0</v>
      </c>
      <c r="CL6" s="62">
        <f t="shared" si="3"/>
        <v>0</v>
      </c>
      <c r="CM6" s="61">
        <f t="shared" si="3"/>
        <v>0</v>
      </c>
      <c r="CN6" s="62">
        <f t="shared" si="3"/>
        <v>0</v>
      </c>
      <c r="CO6" s="61">
        <f t="shared" si="3"/>
        <v>0</v>
      </c>
      <c r="CP6" s="62">
        <f t="shared" si="3"/>
        <v>0</v>
      </c>
      <c r="CQ6" s="61">
        <f t="shared" si="3"/>
        <v>0</v>
      </c>
      <c r="CR6" s="62">
        <f t="shared" si="3"/>
        <v>0</v>
      </c>
      <c r="CS6" s="61">
        <f t="shared" si="3"/>
        <v>0</v>
      </c>
      <c r="CT6" s="61">
        <f t="shared" si="3"/>
        <v>0</v>
      </c>
      <c r="CU6" s="61">
        <f t="shared" si="3"/>
        <v>0</v>
      </c>
      <c r="CV6" s="62">
        <f t="shared" si="3"/>
        <v>0</v>
      </c>
      <c r="CW6" s="61">
        <f t="shared" si="3"/>
        <v>0</v>
      </c>
      <c r="CX6" s="62">
        <f t="shared" si="3"/>
        <v>0</v>
      </c>
      <c r="CY6" s="61">
        <f t="shared" si="3"/>
        <v>0</v>
      </c>
      <c r="CZ6" s="62">
        <f t="shared" si="3"/>
        <v>0</v>
      </c>
      <c r="DA6" s="61">
        <f t="shared" si="3"/>
        <v>0</v>
      </c>
      <c r="DB6" s="62">
        <f t="shared" si="3"/>
        <v>0</v>
      </c>
      <c r="DC6" s="61">
        <f t="shared" si="3"/>
        <v>0</v>
      </c>
      <c r="DD6" s="61">
        <f t="shared" si="3"/>
        <v>0</v>
      </c>
      <c r="DE6" s="61">
        <f t="shared" si="3"/>
        <v>0</v>
      </c>
      <c r="DF6" s="62">
        <f t="shared" si="3"/>
        <v>0</v>
      </c>
      <c r="DG6" s="61">
        <f t="shared" si="3"/>
        <v>0</v>
      </c>
      <c r="DH6" s="62">
        <f t="shared" si="3"/>
        <v>0</v>
      </c>
      <c r="DI6" s="61">
        <f t="shared" si="3"/>
        <v>0</v>
      </c>
      <c r="DJ6" s="62">
        <f t="shared" si="3"/>
        <v>0</v>
      </c>
      <c r="DK6" s="61">
        <f t="shared" si="3"/>
        <v>0</v>
      </c>
      <c r="DL6" s="62">
        <f t="shared" si="3"/>
        <v>0</v>
      </c>
      <c r="DM6" s="61">
        <f t="shared" si="3"/>
        <v>0</v>
      </c>
      <c r="DN6" s="61">
        <f t="shared" si="3"/>
        <v>0</v>
      </c>
      <c r="DO6" s="61">
        <f t="shared" si="3"/>
        <v>0</v>
      </c>
      <c r="DP6" s="62">
        <f t="shared" si="3"/>
        <v>0</v>
      </c>
      <c r="DQ6" s="61">
        <f t="shared" si="3"/>
        <v>0</v>
      </c>
      <c r="DR6" s="62">
        <f t="shared" si="3"/>
        <v>0</v>
      </c>
      <c r="DS6" s="61">
        <f t="shared" si="3"/>
        <v>0</v>
      </c>
      <c r="DT6" s="62">
        <f t="shared" si="3"/>
        <v>0</v>
      </c>
      <c r="DU6" s="61">
        <f t="shared" si="3"/>
        <v>0</v>
      </c>
      <c r="DV6" s="62">
        <f t="shared" si="3"/>
        <v>0</v>
      </c>
    </row>
    <row r="7" ht="15.75" customHeight="1">
      <c r="A7" s="35"/>
      <c r="B7" s="63"/>
      <c r="C7" s="64" t="s">
        <v>96</v>
      </c>
      <c r="D7" s="61" t="str">
        <f t="shared" ref="D7:G7" si="4">D8/D6</f>
        <v>#DIV/0!</v>
      </c>
      <c r="E7" s="61">
        <f t="shared" si="4"/>
        <v>0.15</v>
      </c>
      <c r="F7" s="61" t="str">
        <f t="shared" si="4"/>
        <v>#DIV/0!</v>
      </c>
      <c r="G7" s="61" t="str">
        <f t="shared" si="4"/>
        <v>#DIV/0!</v>
      </c>
      <c r="H7" s="61" t="s">
        <v>97</v>
      </c>
      <c r="I7" s="61" t="str">
        <f t="shared" ref="I7:DV7" si="5">I8/I6</f>
        <v>#DIV/0!</v>
      </c>
      <c r="J7" s="61" t="str">
        <f t="shared" si="5"/>
        <v>#DIV/0!</v>
      </c>
      <c r="K7" s="61" t="str">
        <f t="shared" si="5"/>
        <v>#DIV/0!</v>
      </c>
      <c r="L7" s="61" t="str">
        <f t="shared" si="5"/>
        <v>#DIV/0!</v>
      </c>
      <c r="M7" s="61" t="str">
        <f t="shared" si="5"/>
        <v>#DIV/0!</v>
      </c>
      <c r="N7" s="61" t="str">
        <f t="shared" si="5"/>
        <v>#DIV/0!</v>
      </c>
      <c r="O7" s="61" t="str">
        <f t="shared" si="5"/>
        <v>#DIV/0!</v>
      </c>
      <c r="P7" s="61" t="str">
        <f t="shared" si="5"/>
        <v>#DIV/0!</v>
      </c>
      <c r="Q7" s="65" t="str">
        <f t="shared" si="5"/>
        <v>#DIV/0!</v>
      </c>
      <c r="R7" s="65" t="str">
        <f t="shared" si="5"/>
        <v>#DIV/0!</v>
      </c>
      <c r="S7" s="65" t="str">
        <f t="shared" si="5"/>
        <v>#DIV/0!</v>
      </c>
      <c r="T7" s="65" t="str">
        <f t="shared" si="5"/>
        <v>#DIV/0!</v>
      </c>
      <c r="U7" s="65" t="str">
        <f t="shared" si="5"/>
        <v>#DIV/0!</v>
      </c>
      <c r="V7" s="65" t="str">
        <f t="shared" si="5"/>
        <v>#DIV/0!</v>
      </c>
      <c r="W7" s="65" t="str">
        <f t="shared" si="5"/>
        <v>#DIV/0!</v>
      </c>
      <c r="X7" s="65" t="str">
        <f t="shared" si="5"/>
        <v>#DIV/0!</v>
      </c>
      <c r="Y7" s="65" t="str">
        <f t="shared" si="5"/>
        <v>#DIV/0!</v>
      </c>
      <c r="Z7" s="65" t="str">
        <f t="shared" si="5"/>
        <v>#DIV/0!</v>
      </c>
      <c r="AA7" s="65" t="str">
        <f t="shared" si="5"/>
        <v>#DIV/0!</v>
      </c>
      <c r="AB7" s="65" t="str">
        <f t="shared" si="5"/>
        <v>#DIV/0!</v>
      </c>
      <c r="AC7" s="65" t="str">
        <f t="shared" si="5"/>
        <v>#DIV/0!</v>
      </c>
      <c r="AD7" s="65" t="str">
        <f t="shared" si="5"/>
        <v>#DIV/0!</v>
      </c>
      <c r="AE7" s="65" t="str">
        <f t="shared" si="5"/>
        <v>#DIV/0!</v>
      </c>
      <c r="AF7" s="65" t="str">
        <f t="shared" si="5"/>
        <v>#DIV/0!</v>
      </c>
      <c r="AG7" s="65" t="str">
        <f t="shared" si="5"/>
        <v>#DIV/0!</v>
      </c>
      <c r="AH7" s="65" t="str">
        <f t="shared" si="5"/>
        <v>#DIV/0!</v>
      </c>
      <c r="AI7" s="65" t="str">
        <f t="shared" si="5"/>
        <v>#DIV/0!</v>
      </c>
      <c r="AJ7" s="65" t="str">
        <f t="shared" si="5"/>
        <v>#DIV/0!</v>
      </c>
      <c r="AK7" s="65" t="str">
        <f t="shared" si="5"/>
        <v>#DIV/0!</v>
      </c>
      <c r="AL7" s="65" t="str">
        <f t="shared" si="5"/>
        <v>#DIV/0!</v>
      </c>
      <c r="AM7" s="65" t="str">
        <f t="shared" si="5"/>
        <v>#DIV/0!</v>
      </c>
      <c r="AN7" s="65" t="str">
        <f t="shared" si="5"/>
        <v>#DIV/0!</v>
      </c>
      <c r="AO7" s="65" t="str">
        <f t="shared" si="5"/>
        <v>#DIV/0!</v>
      </c>
      <c r="AP7" s="65" t="str">
        <f t="shared" si="5"/>
        <v>#DIV/0!</v>
      </c>
      <c r="AQ7" s="65" t="str">
        <f t="shared" si="5"/>
        <v>#DIV/0!</v>
      </c>
      <c r="AR7" s="65" t="str">
        <f t="shared" si="5"/>
        <v>#DIV/0!</v>
      </c>
      <c r="AS7" s="65" t="str">
        <f t="shared" si="5"/>
        <v>#DIV/0!</v>
      </c>
      <c r="AT7" s="65" t="str">
        <f t="shared" si="5"/>
        <v>#DIV/0!</v>
      </c>
      <c r="AU7" s="65" t="str">
        <f t="shared" si="5"/>
        <v>#DIV/0!</v>
      </c>
      <c r="AV7" s="65" t="str">
        <f t="shared" si="5"/>
        <v>#DIV/0!</v>
      </c>
      <c r="AW7" s="65" t="str">
        <f t="shared" si="5"/>
        <v>#DIV/0!</v>
      </c>
      <c r="AX7" s="65" t="str">
        <f t="shared" si="5"/>
        <v>#DIV/0!</v>
      </c>
      <c r="AY7" s="65" t="str">
        <f t="shared" si="5"/>
        <v>#DIV/0!</v>
      </c>
      <c r="AZ7" s="65" t="str">
        <f t="shared" si="5"/>
        <v>#DIV/0!</v>
      </c>
      <c r="BA7" s="65" t="str">
        <f t="shared" si="5"/>
        <v>#DIV/0!</v>
      </c>
      <c r="BB7" s="65" t="str">
        <f t="shared" si="5"/>
        <v>#DIV/0!</v>
      </c>
      <c r="BC7" s="65" t="str">
        <f t="shared" si="5"/>
        <v>#DIV/0!</v>
      </c>
      <c r="BD7" s="65" t="str">
        <f t="shared" si="5"/>
        <v>#DIV/0!</v>
      </c>
      <c r="BE7" s="65" t="str">
        <f t="shared" si="5"/>
        <v>#DIV/0!</v>
      </c>
      <c r="BF7" s="65">
        <f t="shared" si="5"/>
        <v>0.15</v>
      </c>
      <c r="BG7" s="65" t="str">
        <f t="shared" si="5"/>
        <v>#DIV/0!</v>
      </c>
      <c r="BH7" s="65">
        <f t="shared" si="5"/>
        <v>0.15</v>
      </c>
      <c r="BI7" s="65" t="str">
        <f t="shared" si="5"/>
        <v>#DIV/0!</v>
      </c>
      <c r="BJ7" s="65">
        <f t="shared" si="5"/>
        <v>0.15</v>
      </c>
      <c r="BK7" s="65" t="str">
        <f t="shared" si="5"/>
        <v>#DIV/0!</v>
      </c>
      <c r="BL7" s="65">
        <f t="shared" si="5"/>
        <v>0.15</v>
      </c>
      <c r="BM7" s="65" t="str">
        <f t="shared" si="5"/>
        <v>#DIV/0!</v>
      </c>
      <c r="BN7" s="65">
        <f t="shared" si="5"/>
        <v>0.15</v>
      </c>
      <c r="BO7" s="65" t="str">
        <f t="shared" si="5"/>
        <v>#DIV/0!</v>
      </c>
      <c r="BP7" s="65" t="str">
        <f t="shared" si="5"/>
        <v>#DIV/0!</v>
      </c>
      <c r="BQ7" s="65" t="str">
        <f t="shared" si="5"/>
        <v>#DIV/0!</v>
      </c>
      <c r="BR7" s="65" t="str">
        <f t="shared" si="5"/>
        <v>#DIV/0!</v>
      </c>
      <c r="BS7" s="65" t="str">
        <f t="shared" si="5"/>
        <v>#DIV/0!</v>
      </c>
      <c r="BT7" s="65" t="str">
        <f t="shared" si="5"/>
        <v>#DIV/0!</v>
      </c>
      <c r="BU7" s="65" t="str">
        <f t="shared" si="5"/>
        <v>#DIV/0!</v>
      </c>
      <c r="BV7" s="65" t="str">
        <f t="shared" si="5"/>
        <v>#DIV/0!</v>
      </c>
      <c r="BW7" s="65" t="str">
        <f t="shared" si="5"/>
        <v>#DIV/0!</v>
      </c>
      <c r="BX7" s="65" t="str">
        <f t="shared" si="5"/>
        <v>#DIV/0!</v>
      </c>
      <c r="BY7" s="65" t="str">
        <f t="shared" si="5"/>
        <v>#DIV/0!</v>
      </c>
      <c r="BZ7" s="65" t="str">
        <f t="shared" si="5"/>
        <v>#DIV/0!</v>
      </c>
      <c r="CA7" s="65" t="str">
        <f t="shared" si="5"/>
        <v>#DIV/0!</v>
      </c>
      <c r="CB7" s="65" t="str">
        <f t="shared" si="5"/>
        <v>#DIV/0!</v>
      </c>
      <c r="CC7" s="65" t="str">
        <f t="shared" si="5"/>
        <v>#DIV/0!</v>
      </c>
      <c r="CD7" s="65" t="str">
        <f t="shared" si="5"/>
        <v>#DIV/0!</v>
      </c>
      <c r="CE7" s="65" t="str">
        <f t="shared" si="5"/>
        <v>#DIV/0!</v>
      </c>
      <c r="CF7" s="65" t="str">
        <f t="shared" si="5"/>
        <v>#DIV/0!</v>
      </c>
      <c r="CG7" s="65" t="str">
        <f t="shared" si="5"/>
        <v>#DIV/0!</v>
      </c>
      <c r="CH7" s="65" t="str">
        <f t="shared" si="5"/>
        <v>#DIV/0!</v>
      </c>
      <c r="CI7" s="65" t="str">
        <f t="shared" si="5"/>
        <v>#DIV/0!</v>
      </c>
      <c r="CJ7" s="65" t="str">
        <f t="shared" si="5"/>
        <v>#DIV/0!</v>
      </c>
      <c r="CK7" s="65" t="str">
        <f t="shared" si="5"/>
        <v>#DIV/0!</v>
      </c>
      <c r="CL7" s="65" t="str">
        <f t="shared" si="5"/>
        <v>#DIV/0!</v>
      </c>
      <c r="CM7" s="65" t="str">
        <f t="shared" si="5"/>
        <v>#DIV/0!</v>
      </c>
      <c r="CN7" s="65" t="str">
        <f t="shared" si="5"/>
        <v>#DIV/0!</v>
      </c>
      <c r="CO7" s="65" t="str">
        <f t="shared" si="5"/>
        <v>#DIV/0!</v>
      </c>
      <c r="CP7" s="65" t="str">
        <f t="shared" si="5"/>
        <v>#DIV/0!</v>
      </c>
      <c r="CQ7" s="65" t="str">
        <f t="shared" si="5"/>
        <v>#DIV/0!</v>
      </c>
      <c r="CR7" s="65" t="str">
        <f t="shared" si="5"/>
        <v>#DIV/0!</v>
      </c>
      <c r="CS7" s="65" t="str">
        <f t="shared" si="5"/>
        <v>#DIV/0!</v>
      </c>
      <c r="CT7" s="65" t="str">
        <f t="shared" si="5"/>
        <v>#DIV/0!</v>
      </c>
      <c r="CU7" s="65" t="str">
        <f t="shared" si="5"/>
        <v>#DIV/0!</v>
      </c>
      <c r="CV7" s="65" t="str">
        <f t="shared" si="5"/>
        <v>#DIV/0!</v>
      </c>
      <c r="CW7" s="65" t="str">
        <f t="shared" si="5"/>
        <v>#DIV/0!</v>
      </c>
      <c r="CX7" s="65" t="str">
        <f t="shared" si="5"/>
        <v>#DIV/0!</v>
      </c>
      <c r="CY7" s="65" t="str">
        <f t="shared" si="5"/>
        <v>#DIV/0!</v>
      </c>
      <c r="CZ7" s="65" t="str">
        <f t="shared" si="5"/>
        <v>#DIV/0!</v>
      </c>
      <c r="DA7" s="65" t="str">
        <f t="shared" si="5"/>
        <v>#DIV/0!</v>
      </c>
      <c r="DB7" s="65" t="str">
        <f t="shared" si="5"/>
        <v>#DIV/0!</v>
      </c>
      <c r="DC7" s="65" t="str">
        <f t="shared" si="5"/>
        <v>#DIV/0!</v>
      </c>
      <c r="DD7" s="65" t="str">
        <f t="shared" si="5"/>
        <v>#DIV/0!</v>
      </c>
      <c r="DE7" s="65" t="str">
        <f t="shared" si="5"/>
        <v>#DIV/0!</v>
      </c>
      <c r="DF7" s="65" t="str">
        <f t="shared" si="5"/>
        <v>#DIV/0!</v>
      </c>
      <c r="DG7" s="65" t="str">
        <f t="shared" si="5"/>
        <v>#DIV/0!</v>
      </c>
      <c r="DH7" s="65" t="str">
        <f t="shared" si="5"/>
        <v>#DIV/0!</v>
      </c>
      <c r="DI7" s="65" t="str">
        <f t="shared" si="5"/>
        <v>#DIV/0!</v>
      </c>
      <c r="DJ7" s="65" t="str">
        <f t="shared" si="5"/>
        <v>#DIV/0!</v>
      </c>
      <c r="DK7" s="65" t="str">
        <f t="shared" si="5"/>
        <v>#DIV/0!</v>
      </c>
      <c r="DL7" s="65" t="str">
        <f t="shared" si="5"/>
        <v>#DIV/0!</v>
      </c>
      <c r="DM7" s="65" t="str">
        <f t="shared" si="5"/>
        <v>#DIV/0!</v>
      </c>
      <c r="DN7" s="65" t="str">
        <f t="shared" si="5"/>
        <v>#DIV/0!</v>
      </c>
      <c r="DO7" s="65" t="str">
        <f t="shared" si="5"/>
        <v>#DIV/0!</v>
      </c>
      <c r="DP7" s="65" t="str">
        <f t="shared" si="5"/>
        <v>#DIV/0!</v>
      </c>
      <c r="DQ7" s="65" t="str">
        <f t="shared" si="5"/>
        <v>#DIV/0!</v>
      </c>
      <c r="DR7" s="65" t="str">
        <f t="shared" si="5"/>
        <v>#DIV/0!</v>
      </c>
      <c r="DS7" s="65" t="str">
        <f t="shared" si="5"/>
        <v>#DIV/0!</v>
      </c>
      <c r="DT7" s="65" t="str">
        <f t="shared" si="5"/>
        <v>#DIV/0!</v>
      </c>
      <c r="DU7" s="65" t="str">
        <f t="shared" si="5"/>
        <v>#DIV/0!</v>
      </c>
      <c r="DV7" s="65" t="str">
        <f t="shared" si="5"/>
        <v>#DIV/0!</v>
      </c>
    </row>
    <row r="8" ht="15.75" customHeight="1">
      <c r="A8" s="38"/>
      <c r="B8" s="63"/>
      <c r="C8" s="64" t="s">
        <v>98</v>
      </c>
      <c r="D8" s="61">
        <f t="shared" ref="D8:E8" si="6">SUM(F8+Q8+AA8+AK8+AU8+BE8+BO8+BY8+CI8+CS8+DC8+DM8)</f>
        <v>0</v>
      </c>
      <c r="E8" s="61">
        <f t="shared" si="6"/>
        <v>37.20238095</v>
      </c>
      <c r="F8" s="61">
        <f t="shared" ref="F8:G8" si="7">SUM(F22+F36+F50+F64)</f>
        <v>0</v>
      </c>
      <c r="G8" s="61">
        <f t="shared" si="7"/>
        <v>0</v>
      </c>
      <c r="H8" s="61" t="str">
        <f>G8/F8</f>
        <v>#DIV/0!</v>
      </c>
      <c r="I8" s="61">
        <f t="shared" ref="I8:DV8" si="8">SUM(I22+I36+I50+I64)</f>
        <v>0</v>
      </c>
      <c r="J8" s="61">
        <f t="shared" si="8"/>
        <v>0</v>
      </c>
      <c r="K8" s="61">
        <f t="shared" si="8"/>
        <v>0</v>
      </c>
      <c r="L8" s="61">
        <f t="shared" si="8"/>
        <v>0</v>
      </c>
      <c r="M8" s="61">
        <f t="shared" si="8"/>
        <v>0</v>
      </c>
      <c r="N8" s="61">
        <f t="shared" si="8"/>
        <v>0</v>
      </c>
      <c r="O8" s="61">
        <f t="shared" si="8"/>
        <v>0</v>
      </c>
      <c r="P8" s="61">
        <f t="shared" si="8"/>
        <v>0</v>
      </c>
      <c r="Q8" s="61">
        <f t="shared" si="8"/>
        <v>0</v>
      </c>
      <c r="R8" s="61">
        <f t="shared" si="8"/>
        <v>0</v>
      </c>
      <c r="S8" s="61">
        <f t="shared" si="8"/>
        <v>0</v>
      </c>
      <c r="T8" s="61">
        <f t="shared" si="8"/>
        <v>0</v>
      </c>
      <c r="U8" s="61">
        <f t="shared" si="8"/>
        <v>0</v>
      </c>
      <c r="V8" s="61">
        <f t="shared" si="8"/>
        <v>0</v>
      </c>
      <c r="W8" s="61">
        <f t="shared" si="8"/>
        <v>0</v>
      </c>
      <c r="X8" s="61">
        <f t="shared" si="8"/>
        <v>0</v>
      </c>
      <c r="Y8" s="61">
        <f t="shared" si="8"/>
        <v>0</v>
      </c>
      <c r="Z8" s="61">
        <f t="shared" si="8"/>
        <v>0</v>
      </c>
      <c r="AA8" s="61">
        <f t="shared" si="8"/>
        <v>0</v>
      </c>
      <c r="AB8" s="61">
        <f t="shared" si="8"/>
        <v>0</v>
      </c>
      <c r="AC8" s="61">
        <f t="shared" si="8"/>
        <v>0</v>
      </c>
      <c r="AD8" s="61">
        <f t="shared" si="8"/>
        <v>0</v>
      </c>
      <c r="AE8" s="61">
        <f t="shared" si="8"/>
        <v>0</v>
      </c>
      <c r="AF8" s="61">
        <f t="shared" si="8"/>
        <v>0</v>
      </c>
      <c r="AG8" s="61">
        <f t="shared" si="8"/>
        <v>0</v>
      </c>
      <c r="AH8" s="61">
        <f t="shared" si="8"/>
        <v>0</v>
      </c>
      <c r="AI8" s="61">
        <f t="shared" si="8"/>
        <v>0</v>
      </c>
      <c r="AJ8" s="61">
        <f t="shared" si="8"/>
        <v>0</v>
      </c>
      <c r="AK8" s="61">
        <f t="shared" si="8"/>
        <v>0</v>
      </c>
      <c r="AL8" s="61">
        <f t="shared" si="8"/>
        <v>0</v>
      </c>
      <c r="AM8" s="61">
        <f t="shared" si="8"/>
        <v>0</v>
      </c>
      <c r="AN8" s="61">
        <f t="shared" si="8"/>
        <v>0</v>
      </c>
      <c r="AO8" s="61">
        <f t="shared" si="8"/>
        <v>0</v>
      </c>
      <c r="AP8" s="61">
        <f t="shared" si="8"/>
        <v>0</v>
      </c>
      <c r="AQ8" s="61">
        <f t="shared" si="8"/>
        <v>0</v>
      </c>
      <c r="AR8" s="61">
        <f t="shared" si="8"/>
        <v>0</v>
      </c>
      <c r="AS8" s="61">
        <f t="shared" si="8"/>
        <v>0</v>
      </c>
      <c r="AT8" s="61">
        <f t="shared" si="8"/>
        <v>0</v>
      </c>
      <c r="AU8" s="61">
        <f t="shared" si="8"/>
        <v>0</v>
      </c>
      <c r="AV8" s="61">
        <f t="shared" si="8"/>
        <v>0</v>
      </c>
      <c r="AW8" s="61">
        <f t="shared" si="8"/>
        <v>0</v>
      </c>
      <c r="AX8" s="61">
        <f t="shared" si="8"/>
        <v>0</v>
      </c>
      <c r="AY8" s="61">
        <f t="shared" si="8"/>
        <v>0</v>
      </c>
      <c r="AZ8" s="61">
        <f t="shared" si="8"/>
        <v>0</v>
      </c>
      <c r="BA8" s="61">
        <f t="shared" si="8"/>
        <v>0</v>
      </c>
      <c r="BB8" s="61">
        <f t="shared" si="8"/>
        <v>0</v>
      </c>
      <c r="BC8" s="61">
        <f t="shared" si="8"/>
        <v>0</v>
      </c>
      <c r="BD8" s="61">
        <f t="shared" si="8"/>
        <v>0</v>
      </c>
      <c r="BE8" s="61">
        <f t="shared" si="8"/>
        <v>0</v>
      </c>
      <c r="BF8" s="61">
        <f t="shared" si="8"/>
        <v>37.20238095</v>
      </c>
      <c r="BG8" s="61">
        <f t="shared" si="8"/>
        <v>0</v>
      </c>
      <c r="BH8" s="61">
        <f t="shared" si="8"/>
        <v>9.300595238</v>
      </c>
      <c r="BI8" s="61">
        <f t="shared" si="8"/>
        <v>0</v>
      </c>
      <c r="BJ8" s="61">
        <f t="shared" si="8"/>
        <v>9.300595238</v>
      </c>
      <c r="BK8" s="61">
        <f t="shared" si="8"/>
        <v>0</v>
      </c>
      <c r="BL8" s="61">
        <f t="shared" si="8"/>
        <v>9.300595238</v>
      </c>
      <c r="BM8" s="61">
        <f t="shared" si="8"/>
        <v>0</v>
      </c>
      <c r="BN8" s="61">
        <f t="shared" si="8"/>
        <v>9.300595238</v>
      </c>
      <c r="BO8" s="61">
        <f t="shared" si="8"/>
        <v>0</v>
      </c>
      <c r="BP8" s="61">
        <f t="shared" si="8"/>
        <v>0</v>
      </c>
      <c r="BQ8" s="61">
        <f t="shared" si="8"/>
        <v>0</v>
      </c>
      <c r="BR8" s="61">
        <f t="shared" si="8"/>
        <v>0</v>
      </c>
      <c r="BS8" s="61">
        <f t="shared" si="8"/>
        <v>0</v>
      </c>
      <c r="BT8" s="61">
        <f t="shared" si="8"/>
        <v>0</v>
      </c>
      <c r="BU8" s="61">
        <f t="shared" si="8"/>
        <v>0</v>
      </c>
      <c r="BV8" s="61">
        <f t="shared" si="8"/>
        <v>0</v>
      </c>
      <c r="BW8" s="61">
        <f t="shared" si="8"/>
        <v>0</v>
      </c>
      <c r="BX8" s="61">
        <f t="shared" si="8"/>
        <v>0</v>
      </c>
      <c r="BY8" s="61">
        <f t="shared" si="8"/>
        <v>0</v>
      </c>
      <c r="BZ8" s="61">
        <f t="shared" si="8"/>
        <v>0</v>
      </c>
      <c r="CA8" s="61">
        <f t="shared" si="8"/>
        <v>0</v>
      </c>
      <c r="CB8" s="61">
        <f t="shared" si="8"/>
        <v>0</v>
      </c>
      <c r="CC8" s="61">
        <f t="shared" si="8"/>
        <v>0</v>
      </c>
      <c r="CD8" s="61">
        <f t="shared" si="8"/>
        <v>0</v>
      </c>
      <c r="CE8" s="61">
        <f t="shared" si="8"/>
        <v>0</v>
      </c>
      <c r="CF8" s="61">
        <f t="shared" si="8"/>
        <v>0</v>
      </c>
      <c r="CG8" s="61">
        <f t="shared" si="8"/>
        <v>0</v>
      </c>
      <c r="CH8" s="61">
        <f t="shared" si="8"/>
        <v>0</v>
      </c>
      <c r="CI8" s="61">
        <f t="shared" si="8"/>
        <v>0</v>
      </c>
      <c r="CJ8" s="61">
        <f t="shared" si="8"/>
        <v>0</v>
      </c>
      <c r="CK8" s="61">
        <f t="shared" si="8"/>
        <v>0</v>
      </c>
      <c r="CL8" s="61">
        <f t="shared" si="8"/>
        <v>0</v>
      </c>
      <c r="CM8" s="61">
        <f t="shared" si="8"/>
        <v>0</v>
      </c>
      <c r="CN8" s="61">
        <f t="shared" si="8"/>
        <v>0</v>
      </c>
      <c r="CO8" s="61">
        <f t="shared" si="8"/>
        <v>0</v>
      </c>
      <c r="CP8" s="61">
        <f t="shared" si="8"/>
        <v>0</v>
      </c>
      <c r="CQ8" s="61">
        <f t="shared" si="8"/>
        <v>0</v>
      </c>
      <c r="CR8" s="61">
        <f t="shared" si="8"/>
        <v>0</v>
      </c>
      <c r="CS8" s="61">
        <f t="shared" si="8"/>
        <v>0</v>
      </c>
      <c r="CT8" s="61">
        <f t="shared" si="8"/>
        <v>0</v>
      </c>
      <c r="CU8" s="61">
        <f t="shared" si="8"/>
        <v>0</v>
      </c>
      <c r="CV8" s="61">
        <f t="shared" si="8"/>
        <v>0</v>
      </c>
      <c r="CW8" s="61">
        <f t="shared" si="8"/>
        <v>0</v>
      </c>
      <c r="CX8" s="61">
        <f t="shared" si="8"/>
        <v>0</v>
      </c>
      <c r="CY8" s="61">
        <f t="shared" si="8"/>
        <v>0</v>
      </c>
      <c r="CZ8" s="61">
        <f t="shared" si="8"/>
        <v>0</v>
      </c>
      <c r="DA8" s="61">
        <f t="shared" si="8"/>
        <v>0</v>
      </c>
      <c r="DB8" s="61">
        <f t="shared" si="8"/>
        <v>0</v>
      </c>
      <c r="DC8" s="61">
        <f t="shared" si="8"/>
        <v>0</v>
      </c>
      <c r="DD8" s="61">
        <f t="shared" si="8"/>
        <v>0</v>
      </c>
      <c r="DE8" s="61">
        <f t="shared" si="8"/>
        <v>0</v>
      </c>
      <c r="DF8" s="61">
        <f t="shared" si="8"/>
        <v>0</v>
      </c>
      <c r="DG8" s="61">
        <f t="shared" si="8"/>
        <v>0</v>
      </c>
      <c r="DH8" s="61">
        <f t="shared" si="8"/>
        <v>0</v>
      </c>
      <c r="DI8" s="61">
        <f t="shared" si="8"/>
        <v>0</v>
      </c>
      <c r="DJ8" s="61">
        <f t="shared" si="8"/>
        <v>0</v>
      </c>
      <c r="DK8" s="61">
        <f t="shared" si="8"/>
        <v>0</v>
      </c>
      <c r="DL8" s="61">
        <f t="shared" si="8"/>
        <v>0</v>
      </c>
      <c r="DM8" s="61">
        <f t="shared" si="8"/>
        <v>0</v>
      </c>
      <c r="DN8" s="61">
        <f t="shared" si="8"/>
        <v>0</v>
      </c>
      <c r="DO8" s="61">
        <f t="shared" si="8"/>
        <v>0</v>
      </c>
      <c r="DP8" s="61">
        <f t="shared" si="8"/>
        <v>0</v>
      </c>
      <c r="DQ8" s="61">
        <f t="shared" si="8"/>
        <v>0</v>
      </c>
      <c r="DR8" s="61">
        <f t="shared" si="8"/>
        <v>0</v>
      </c>
      <c r="DS8" s="61">
        <f t="shared" si="8"/>
        <v>0</v>
      </c>
      <c r="DT8" s="61">
        <f t="shared" si="8"/>
        <v>0</v>
      </c>
      <c r="DU8" s="61">
        <f t="shared" si="8"/>
        <v>0</v>
      </c>
      <c r="DV8" s="61">
        <f t="shared" si="8"/>
        <v>0</v>
      </c>
    </row>
    <row r="9" ht="15.75" customHeight="1">
      <c r="A9" s="35"/>
      <c r="B9" s="63"/>
      <c r="C9" s="64" t="s">
        <v>99</v>
      </c>
      <c r="D9" s="61" t="str">
        <f t="shared" ref="D9:G9" si="9">D10/D8</f>
        <v>#DIV/0!</v>
      </c>
      <c r="E9" s="61">
        <f t="shared" si="9"/>
        <v>0.2</v>
      </c>
      <c r="F9" s="61" t="str">
        <f t="shared" si="9"/>
        <v>#DIV/0!</v>
      </c>
      <c r="G9" s="61" t="str">
        <f t="shared" si="9"/>
        <v>#DIV/0!</v>
      </c>
      <c r="H9" s="61" t="s">
        <v>97</v>
      </c>
      <c r="I9" s="61" t="str">
        <f t="shared" ref="I9:DV9" si="10">I10/I8</f>
        <v>#DIV/0!</v>
      </c>
      <c r="J9" s="61" t="str">
        <f t="shared" si="10"/>
        <v>#DIV/0!</v>
      </c>
      <c r="K9" s="61" t="str">
        <f t="shared" si="10"/>
        <v>#DIV/0!</v>
      </c>
      <c r="L9" s="61" t="str">
        <f t="shared" si="10"/>
        <v>#DIV/0!</v>
      </c>
      <c r="M9" s="61" t="str">
        <f t="shared" si="10"/>
        <v>#DIV/0!</v>
      </c>
      <c r="N9" s="61" t="str">
        <f t="shared" si="10"/>
        <v>#DIV/0!</v>
      </c>
      <c r="O9" s="61" t="str">
        <f t="shared" si="10"/>
        <v>#DIV/0!</v>
      </c>
      <c r="P9" s="61" t="str">
        <f t="shared" si="10"/>
        <v>#DIV/0!</v>
      </c>
      <c r="Q9" s="65" t="str">
        <f t="shared" si="10"/>
        <v>#DIV/0!</v>
      </c>
      <c r="R9" s="65" t="str">
        <f t="shared" si="10"/>
        <v>#DIV/0!</v>
      </c>
      <c r="S9" s="66" t="str">
        <f t="shared" si="10"/>
        <v>#DIV/0!</v>
      </c>
      <c r="T9" s="66" t="str">
        <f t="shared" si="10"/>
        <v>#DIV/0!</v>
      </c>
      <c r="U9" s="66" t="str">
        <f t="shared" si="10"/>
        <v>#DIV/0!</v>
      </c>
      <c r="V9" s="66" t="str">
        <f t="shared" si="10"/>
        <v>#DIV/0!</v>
      </c>
      <c r="W9" s="66" t="str">
        <f t="shared" si="10"/>
        <v>#DIV/0!</v>
      </c>
      <c r="X9" s="66" t="str">
        <f t="shared" si="10"/>
        <v>#DIV/0!</v>
      </c>
      <c r="Y9" s="66" t="str">
        <f t="shared" si="10"/>
        <v>#DIV/0!</v>
      </c>
      <c r="Z9" s="66" t="str">
        <f t="shared" si="10"/>
        <v>#DIV/0!</v>
      </c>
      <c r="AA9" s="65" t="str">
        <f t="shared" si="10"/>
        <v>#DIV/0!</v>
      </c>
      <c r="AB9" s="65" t="str">
        <f t="shared" si="10"/>
        <v>#DIV/0!</v>
      </c>
      <c r="AC9" s="66" t="str">
        <f t="shared" si="10"/>
        <v>#DIV/0!</v>
      </c>
      <c r="AD9" s="66" t="str">
        <f t="shared" si="10"/>
        <v>#DIV/0!</v>
      </c>
      <c r="AE9" s="66" t="str">
        <f t="shared" si="10"/>
        <v>#DIV/0!</v>
      </c>
      <c r="AF9" s="66" t="str">
        <f t="shared" si="10"/>
        <v>#DIV/0!</v>
      </c>
      <c r="AG9" s="66" t="str">
        <f t="shared" si="10"/>
        <v>#DIV/0!</v>
      </c>
      <c r="AH9" s="66" t="str">
        <f t="shared" si="10"/>
        <v>#DIV/0!</v>
      </c>
      <c r="AI9" s="66" t="str">
        <f t="shared" si="10"/>
        <v>#DIV/0!</v>
      </c>
      <c r="AJ9" s="66" t="str">
        <f t="shared" si="10"/>
        <v>#DIV/0!</v>
      </c>
      <c r="AK9" s="65" t="str">
        <f t="shared" si="10"/>
        <v>#DIV/0!</v>
      </c>
      <c r="AL9" s="65" t="str">
        <f t="shared" si="10"/>
        <v>#DIV/0!</v>
      </c>
      <c r="AM9" s="66" t="str">
        <f t="shared" si="10"/>
        <v>#DIV/0!</v>
      </c>
      <c r="AN9" s="66" t="str">
        <f t="shared" si="10"/>
        <v>#DIV/0!</v>
      </c>
      <c r="AO9" s="66" t="str">
        <f t="shared" si="10"/>
        <v>#DIV/0!</v>
      </c>
      <c r="AP9" s="66" t="str">
        <f t="shared" si="10"/>
        <v>#DIV/0!</v>
      </c>
      <c r="AQ9" s="66" t="str">
        <f t="shared" si="10"/>
        <v>#DIV/0!</v>
      </c>
      <c r="AR9" s="66" t="str">
        <f t="shared" si="10"/>
        <v>#DIV/0!</v>
      </c>
      <c r="AS9" s="66" t="str">
        <f t="shared" si="10"/>
        <v>#DIV/0!</v>
      </c>
      <c r="AT9" s="66" t="str">
        <f t="shared" si="10"/>
        <v>#DIV/0!</v>
      </c>
      <c r="AU9" s="65" t="str">
        <f t="shared" si="10"/>
        <v>#DIV/0!</v>
      </c>
      <c r="AV9" s="65" t="str">
        <f t="shared" si="10"/>
        <v>#DIV/0!</v>
      </c>
      <c r="AW9" s="66" t="str">
        <f t="shared" si="10"/>
        <v>#DIV/0!</v>
      </c>
      <c r="AX9" s="66" t="str">
        <f t="shared" si="10"/>
        <v>#DIV/0!</v>
      </c>
      <c r="AY9" s="66" t="str">
        <f t="shared" si="10"/>
        <v>#DIV/0!</v>
      </c>
      <c r="AZ9" s="66" t="str">
        <f t="shared" si="10"/>
        <v>#DIV/0!</v>
      </c>
      <c r="BA9" s="66" t="str">
        <f t="shared" si="10"/>
        <v>#DIV/0!</v>
      </c>
      <c r="BB9" s="66" t="str">
        <f t="shared" si="10"/>
        <v>#DIV/0!</v>
      </c>
      <c r="BC9" s="66" t="str">
        <f t="shared" si="10"/>
        <v>#DIV/0!</v>
      </c>
      <c r="BD9" s="66" t="str">
        <f t="shared" si="10"/>
        <v>#DIV/0!</v>
      </c>
      <c r="BE9" s="65" t="str">
        <f t="shared" si="10"/>
        <v>#DIV/0!</v>
      </c>
      <c r="BF9" s="65">
        <f t="shared" si="10"/>
        <v>0.2</v>
      </c>
      <c r="BG9" s="66" t="str">
        <f t="shared" si="10"/>
        <v>#DIV/0!</v>
      </c>
      <c r="BH9" s="66">
        <f t="shared" si="10"/>
        <v>0.2</v>
      </c>
      <c r="BI9" s="66" t="str">
        <f t="shared" si="10"/>
        <v>#DIV/0!</v>
      </c>
      <c r="BJ9" s="66">
        <f t="shared" si="10"/>
        <v>0.2</v>
      </c>
      <c r="BK9" s="66" t="str">
        <f t="shared" si="10"/>
        <v>#DIV/0!</v>
      </c>
      <c r="BL9" s="66">
        <f t="shared" si="10"/>
        <v>0.2</v>
      </c>
      <c r="BM9" s="66" t="str">
        <f t="shared" si="10"/>
        <v>#DIV/0!</v>
      </c>
      <c r="BN9" s="66">
        <f t="shared" si="10"/>
        <v>0.2</v>
      </c>
      <c r="BO9" s="65" t="str">
        <f t="shared" si="10"/>
        <v>#DIV/0!</v>
      </c>
      <c r="BP9" s="65" t="str">
        <f t="shared" si="10"/>
        <v>#DIV/0!</v>
      </c>
      <c r="BQ9" s="66" t="str">
        <f t="shared" si="10"/>
        <v>#DIV/0!</v>
      </c>
      <c r="BR9" s="66" t="str">
        <f t="shared" si="10"/>
        <v>#DIV/0!</v>
      </c>
      <c r="BS9" s="66" t="str">
        <f t="shared" si="10"/>
        <v>#DIV/0!</v>
      </c>
      <c r="BT9" s="66" t="str">
        <f t="shared" si="10"/>
        <v>#DIV/0!</v>
      </c>
      <c r="BU9" s="66" t="str">
        <f t="shared" si="10"/>
        <v>#DIV/0!</v>
      </c>
      <c r="BV9" s="66" t="str">
        <f t="shared" si="10"/>
        <v>#DIV/0!</v>
      </c>
      <c r="BW9" s="66" t="str">
        <f t="shared" si="10"/>
        <v>#DIV/0!</v>
      </c>
      <c r="BX9" s="66" t="str">
        <f t="shared" si="10"/>
        <v>#DIV/0!</v>
      </c>
      <c r="BY9" s="65" t="str">
        <f t="shared" si="10"/>
        <v>#DIV/0!</v>
      </c>
      <c r="BZ9" s="65" t="str">
        <f t="shared" si="10"/>
        <v>#DIV/0!</v>
      </c>
      <c r="CA9" s="66" t="str">
        <f t="shared" si="10"/>
        <v>#DIV/0!</v>
      </c>
      <c r="CB9" s="66" t="str">
        <f t="shared" si="10"/>
        <v>#DIV/0!</v>
      </c>
      <c r="CC9" s="66" t="str">
        <f t="shared" si="10"/>
        <v>#DIV/0!</v>
      </c>
      <c r="CD9" s="66" t="str">
        <f t="shared" si="10"/>
        <v>#DIV/0!</v>
      </c>
      <c r="CE9" s="66" t="str">
        <f t="shared" si="10"/>
        <v>#DIV/0!</v>
      </c>
      <c r="CF9" s="66" t="str">
        <f t="shared" si="10"/>
        <v>#DIV/0!</v>
      </c>
      <c r="CG9" s="66" t="str">
        <f t="shared" si="10"/>
        <v>#DIV/0!</v>
      </c>
      <c r="CH9" s="66" t="str">
        <f t="shared" si="10"/>
        <v>#DIV/0!</v>
      </c>
      <c r="CI9" s="65" t="str">
        <f t="shared" si="10"/>
        <v>#DIV/0!</v>
      </c>
      <c r="CJ9" s="65" t="str">
        <f t="shared" si="10"/>
        <v>#DIV/0!</v>
      </c>
      <c r="CK9" s="66" t="str">
        <f t="shared" si="10"/>
        <v>#DIV/0!</v>
      </c>
      <c r="CL9" s="66" t="str">
        <f t="shared" si="10"/>
        <v>#DIV/0!</v>
      </c>
      <c r="CM9" s="66" t="str">
        <f t="shared" si="10"/>
        <v>#DIV/0!</v>
      </c>
      <c r="CN9" s="66" t="str">
        <f t="shared" si="10"/>
        <v>#DIV/0!</v>
      </c>
      <c r="CO9" s="66" t="str">
        <f t="shared" si="10"/>
        <v>#DIV/0!</v>
      </c>
      <c r="CP9" s="66" t="str">
        <f t="shared" si="10"/>
        <v>#DIV/0!</v>
      </c>
      <c r="CQ9" s="66" t="str">
        <f t="shared" si="10"/>
        <v>#DIV/0!</v>
      </c>
      <c r="CR9" s="66" t="str">
        <f t="shared" si="10"/>
        <v>#DIV/0!</v>
      </c>
      <c r="CS9" s="65" t="str">
        <f t="shared" si="10"/>
        <v>#DIV/0!</v>
      </c>
      <c r="CT9" s="65" t="str">
        <f t="shared" si="10"/>
        <v>#DIV/0!</v>
      </c>
      <c r="CU9" s="66" t="str">
        <f t="shared" si="10"/>
        <v>#DIV/0!</v>
      </c>
      <c r="CV9" s="66" t="str">
        <f t="shared" si="10"/>
        <v>#DIV/0!</v>
      </c>
      <c r="CW9" s="66" t="str">
        <f t="shared" si="10"/>
        <v>#DIV/0!</v>
      </c>
      <c r="CX9" s="66" t="str">
        <f t="shared" si="10"/>
        <v>#DIV/0!</v>
      </c>
      <c r="CY9" s="66" t="str">
        <f t="shared" si="10"/>
        <v>#DIV/0!</v>
      </c>
      <c r="CZ9" s="66" t="str">
        <f t="shared" si="10"/>
        <v>#DIV/0!</v>
      </c>
      <c r="DA9" s="66" t="str">
        <f t="shared" si="10"/>
        <v>#DIV/0!</v>
      </c>
      <c r="DB9" s="66" t="str">
        <f t="shared" si="10"/>
        <v>#DIV/0!</v>
      </c>
      <c r="DC9" s="65" t="str">
        <f t="shared" si="10"/>
        <v>#DIV/0!</v>
      </c>
      <c r="DD9" s="65" t="str">
        <f t="shared" si="10"/>
        <v>#DIV/0!</v>
      </c>
      <c r="DE9" s="66" t="str">
        <f t="shared" si="10"/>
        <v>#DIV/0!</v>
      </c>
      <c r="DF9" s="66" t="str">
        <f t="shared" si="10"/>
        <v>#DIV/0!</v>
      </c>
      <c r="DG9" s="66" t="str">
        <f t="shared" si="10"/>
        <v>#DIV/0!</v>
      </c>
      <c r="DH9" s="66" t="str">
        <f t="shared" si="10"/>
        <v>#DIV/0!</v>
      </c>
      <c r="DI9" s="66" t="str">
        <f t="shared" si="10"/>
        <v>#DIV/0!</v>
      </c>
      <c r="DJ9" s="66" t="str">
        <f t="shared" si="10"/>
        <v>#DIV/0!</v>
      </c>
      <c r="DK9" s="66" t="str">
        <f t="shared" si="10"/>
        <v>#DIV/0!</v>
      </c>
      <c r="DL9" s="66" t="str">
        <f t="shared" si="10"/>
        <v>#DIV/0!</v>
      </c>
      <c r="DM9" s="65" t="str">
        <f t="shared" si="10"/>
        <v>#DIV/0!</v>
      </c>
      <c r="DN9" s="65" t="str">
        <f t="shared" si="10"/>
        <v>#DIV/0!</v>
      </c>
      <c r="DO9" s="66" t="str">
        <f t="shared" si="10"/>
        <v>#DIV/0!</v>
      </c>
      <c r="DP9" s="66" t="str">
        <f t="shared" si="10"/>
        <v>#DIV/0!</v>
      </c>
      <c r="DQ9" s="66" t="str">
        <f t="shared" si="10"/>
        <v>#DIV/0!</v>
      </c>
      <c r="DR9" s="66" t="str">
        <f t="shared" si="10"/>
        <v>#DIV/0!</v>
      </c>
      <c r="DS9" s="66" t="str">
        <f t="shared" si="10"/>
        <v>#DIV/0!</v>
      </c>
      <c r="DT9" s="66" t="str">
        <f t="shared" si="10"/>
        <v>#DIV/0!</v>
      </c>
      <c r="DU9" s="66" t="str">
        <f t="shared" si="10"/>
        <v>#DIV/0!</v>
      </c>
      <c r="DV9" s="66" t="str">
        <f t="shared" si="10"/>
        <v>#DIV/0!</v>
      </c>
    </row>
    <row r="10" ht="15.75" customHeight="1">
      <c r="A10" s="38"/>
      <c r="B10" s="63"/>
      <c r="C10" s="64" t="s">
        <v>100</v>
      </c>
      <c r="D10" s="61">
        <f t="shared" ref="D10:E10" si="11">SUM(F10+Q10+AA10+AK10+AU10+BE10+BO10+BY10+CI10+CS10+DC10+DM10)</f>
        <v>0</v>
      </c>
      <c r="E10" s="61">
        <f t="shared" si="11"/>
        <v>7.44047619</v>
      </c>
      <c r="F10" s="61">
        <f t="shared" ref="F10:G10" si="12">SUM(F24+F38+F52+F66)</f>
        <v>0</v>
      </c>
      <c r="G10" s="61">
        <f t="shared" si="12"/>
        <v>0</v>
      </c>
      <c r="H10" s="61" t="str">
        <f>G10/F10</f>
        <v>#DIV/0!</v>
      </c>
      <c r="I10" s="61">
        <f t="shared" ref="I10:DV10" si="13">SUM(I24+I38+I52+I66)</f>
        <v>0</v>
      </c>
      <c r="J10" s="61">
        <f t="shared" si="13"/>
        <v>0</v>
      </c>
      <c r="K10" s="61">
        <f t="shared" si="13"/>
        <v>0</v>
      </c>
      <c r="L10" s="61">
        <f t="shared" si="13"/>
        <v>0</v>
      </c>
      <c r="M10" s="61">
        <f t="shared" si="13"/>
        <v>0</v>
      </c>
      <c r="N10" s="61">
        <f t="shared" si="13"/>
        <v>0</v>
      </c>
      <c r="O10" s="61">
        <f t="shared" si="13"/>
        <v>0</v>
      </c>
      <c r="P10" s="61">
        <f t="shared" si="13"/>
        <v>0</v>
      </c>
      <c r="Q10" s="61">
        <f t="shared" si="13"/>
        <v>0</v>
      </c>
      <c r="R10" s="61">
        <f t="shared" si="13"/>
        <v>0</v>
      </c>
      <c r="S10" s="61">
        <f t="shared" si="13"/>
        <v>0</v>
      </c>
      <c r="T10" s="61">
        <f t="shared" si="13"/>
        <v>0</v>
      </c>
      <c r="U10" s="61">
        <f t="shared" si="13"/>
        <v>0</v>
      </c>
      <c r="V10" s="61">
        <f t="shared" si="13"/>
        <v>0</v>
      </c>
      <c r="W10" s="61">
        <f t="shared" si="13"/>
        <v>0</v>
      </c>
      <c r="X10" s="61">
        <f t="shared" si="13"/>
        <v>0</v>
      </c>
      <c r="Y10" s="61">
        <f t="shared" si="13"/>
        <v>0</v>
      </c>
      <c r="Z10" s="61">
        <f t="shared" si="13"/>
        <v>0</v>
      </c>
      <c r="AA10" s="61">
        <f t="shared" si="13"/>
        <v>0</v>
      </c>
      <c r="AB10" s="61">
        <f t="shared" si="13"/>
        <v>0</v>
      </c>
      <c r="AC10" s="61">
        <f t="shared" si="13"/>
        <v>0</v>
      </c>
      <c r="AD10" s="61">
        <f t="shared" si="13"/>
        <v>0</v>
      </c>
      <c r="AE10" s="61">
        <f t="shared" si="13"/>
        <v>0</v>
      </c>
      <c r="AF10" s="61">
        <f t="shared" si="13"/>
        <v>0</v>
      </c>
      <c r="AG10" s="61">
        <f t="shared" si="13"/>
        <v>0</v>
      </c>
      <c r="AH10" s="61">
        <f t="shared" si="13"/>
        <v>0</v>
      </c>
      <c r="AI10" s="61">
        <f t="shared" si="13"/>
        <v>0</v>
      </c>
      <c r="AJ10" s="61">
        <f t="shared" si="13"/>
        <v>0</v>
      </c>
      <c r="AK10" s="61">
        <f t="shared" si="13"/>
        <v>0</v>
      </c>
      <c r="AL10" s="61">
        <f t="shared" si="13"/>
        <v>0</v>
      </c>
      <c r="AM10" s="61">
        <f t="shared" si="13"/>
        <v>0</v>
      </c>
      <c r="AN10" s="61">
        <f t="shared" si="13"/>
        <v>0</v>
      </c>
      <c r="AO10" s="61">
        <f t="shared" si="13"/>
        <v>0</v>
      </c>
      <c r="AP10" s="61">
        <f t="shared" si="13"/>
        <v>0</v>
      </c>
      <c r="AQ10" s="61">
        <f t="shared" si="13"/>
        <v>0</v>
      </c>
      <c r="AR10" s="61">
        <f t="shared" si="13"/>
        <v>0</v>
      </c>
      <c r="AS10" s="61">
        <f t="shared" si="13"/>
        <v>0</v>
      </c>
      <c r="AT10" s="61">
        <f t="shared" si="13"/>
        <v>0</v>
      </c>
      <c r="AU10" s="61">
        <f t="shared" si="13"/>
        <v>0</v>
      </c>
      <c r="AV10" s="61">
        <f t="shared" si="13"/>
        <v>0</v>
      </c>
      <c r="AW10" s="61">
        <f t="shared" si="13"/>
        <v>0</v>
      </c>
      <c r="AX10" s="61">
        <f t="shared" si="13"/>
        <v>0</v>
      </c>
      <c r="AY10" s="61">
        <f t="shared" si="13"/>
        <v>0</v>
      </c>
      <c r="AZ10" s="61">
        <f t="shared" si="13"/>
        <v>0</v>
      </c>
      <c r="BA10" s="61">
        <f t="shared" si="13"/>
        <v>0</v>
      </c>
      <c r="BB10" s="61">
        <f t="shared" si="13"/>
        <v>0</v>
      </c>
      <c r="BC10" s="61">
        <f t="shared" si="13"/>
        <v>0</v>
      </c>
      <c r="BD10" s="61">
        <f t="shared" si="13"/>
        <v>0</v>
      </c>
      <c r="BE10" s="61">
        <f t="shared" si="13"/>
        <v>0</v>
      </c>
      <c r="BF10" s="61">
        <f t="shared" si="13"/>
        <v>7.44047619</v>
      </c>
      <c r="BG10" s="61">
        <f t="shared" si="13"/>
        <v>0</v>
      </c>
      <c r="BH10" s="61">
        <f t="shared" si="13"/>
        <v>1.860119048</v>
      </c>
      <c r="BI10" s="61">
        <f t="shared" si="13"/>
        <v>0</v>
      </c>
      <c r="BJ10" s="61">
        <f t="shared" si="13"/>
        <v>1.860119048</v>
      </c>
      <c r="BK10" s="61">
        <f t="shared" si="13"/>
        <v>0</v>
      </c>
      <c r="BL10" s="61">
        <f t="shared" si="13"/>
        <v>1.860119048</v>
      </c>
      <c r="BM10" s="61">
        <f t="shared" si="13"/>
        <v>0</v>
      </c>
      <c r="BN10" s="61">
        <f t="shared" si="13"/>
        <v>1.860119048</v>
      </c>
      <c r="BO10" s="61">
        <f t="shared" si="13"/>
        <v>0</v>
      </c>
      <c r="BP10" s="61">
        <f t="shared" si="13"/>
        <v>0</v>
      </c>
      <c r="BQ10" s="61">
        <f t="shared" si="13"/>
        <v>0</v>
      </c>
      <c r="BR10" s="61">
        <f t="shared" si="13"/>
        <v>0</v>
      </c>
      <c r="BS10" s="61">
        <f t="shared" si="13"/>
        <v>0</v>
      </c>
      <c r="BT10" s="61">
        <f t="shared" si="13"/>
        <v>0</v>
      </c>
      <c r="BU10" s="61">
        <f t="shared" si="13"/>
        <v>0</v>
      </c>
      <c r="BV10" s="61">
        <f t="shared" si="13"/>
        <v>0</v>
      </c>
      <c r="BW10" s="61">
        <f t="shared" si="13"/>
        <v>0</v>
      </c>
      <c r="BX10" s="61">
        <f t="shared" si="13"/>
        <v>0</v>
      </c>
      <c r="BY10" s="61">
        <f t="shared" si="13"/>
        <v>0</v>
      </c>
      <c r="BZ10" s="61">
        <f t="shared" si="13"/>
        <v>0</v>
      </c>
      <c r="CA10" s="61">
        <f t="shared" si="13"/>
        <v>0</v>
      </c>
      <c r="CB10" s="61">
        <f t="shared" si="13"/>
        <v>0</v>
      </c>
      <c r="CC10" s="61">
        <f t="shared" si="13"/>
        <v>0</v>
      </c>
      <c r="CD10" s="61">
        <f t="shared" si="13"/>
        <v>0</v>
      </c>
      <c r="CE10" s="61">
        <f t="shared" si="13"/>
        <v>0</v>
      </c>
      <c r="CF10" s="61">
        <f t="shared" si="13"/>
        <v>0</v>
      </c>
      <c r="CG10" s="61">
        <f t="shared" si="13"/>
        <v>0</v>
      </c>
      <c r="CH10" s="61">
        <f t="shared" si="13"/>
        <v>0</v>
      </c>
      <c r="CI10" s="61">
        <f t="shared" si="13"/>
        <v>0</v>
      </c>
      <c r="CJ10" s="61">
        <f t="shared" si="13"/>
        <v>0</v>
      </c>
      <c r="CK10" s="61">
        <f t="shared" si="13"/>
        <v>0</v>
      </c>
      <c r="CL10" s="61">
        <f t="shared" si="13"/>
        <v>0</v>
      </c>
      <c r="CM10" s="61">
        <f t="shared" si="13"/>
        <v>0</v>
      </c>
      <c r="CN10" s="61">
        <f t="shared" si="13"/>
        <v>0</v>
      </c>
      <c r="CO10" s="61">
        <f t="shared" si="13"/>
        <v>0</v>
      </c>
      <c r="CP10" s="61">
        <f t="shared" si="13"/>
        <v>0</v>
      </c>
      <c r="CQ10" s="61">
        <f t="shared" si="13"/>
        <v>0</v>
      </c>
      <c r="CR10" s="61">
        <f t="shared" si="13"/>
        <v>0</v>
      </c>
      <c r="CS10" s="61">
        <f t="shared" si="13"/>
        <v>0</v>
      </c>
      <c r="CT10" s="61">
        <f t="shared" si="13"/>
        <v>0</v>
      </c>
      <c r="CU10" s="61">
        <f t="shared" si="13"/>
        <v>0</v>
      </c>
      <c r="CV10" s="61">
        <f t="shared" si="13"/>
        <v>0</v>
      </c>
      <c r="CW10" s="61">
        <f t="shared" si="13"/>
        <v>0</v>
      </c>
      <c r="CX10" s="61">
        <f t="shared" si="13"/>
        <v>0</v>
      </c>
      <c r="CY10" s="61">
        <f t="shared" si="13"/>
        <v>0</v>
      </c>
      <c r="CZ10" s="61">
        <f t="shared" si="13"/>
        <v>0</v>
      </c>
      <c r="DA10" s="61">
        <f t="shared" si="13"/>
        <v>0</v>
      </c>
      <c r="DB10" s="61">
        <f t="shared" si="13"/>
        <v>0</v>
      </c>
      <c r="DC10" s="61">
        <f t="shared" si="13"/>
        <v>0</v>
      </c>
      <c r="DD10" s="61">
        <f t="shared" si="13"/>
        <v>0</v>
      </c>
      <c r="DE10" s="61">
        <f t="shared" si="13"/>
        <v>0</v>
      </c>
      <c r="DF10" s="61">
        <f t="shared" si="13"/>
        <v>0</v>
      </c>
      <c r="DG10" s="61">
        <f t="shared" si="13"/>
        <v>0</v>
      </c>
      <c r="DH10" s="61">
        <f t="shared" si="13"/>
        <v>0</v>
      </c>
      <c r="DI10" s="61">
        <f t="shared" si="13"/>
        <v>0</v>
      </c>
      <c r="DJ10" s="61">
        <f t="shared" si="13"/>
        <v>0</v>
      </c>
      <c r="DK10" s="61">
        <f t="shared" si="13"/>
        <v>0</v>
      </c>
      <c r="DL10" s="61">
        <f t="shared" si="13"/>
        <v>0</v>
      </c>
      <c r="DM10" s="61">
        <f t="shared" si="13"/>
        <v>0</v>
      </c>
      <c r="DN10" s="61">
        <f t="shared" si="13"/>
        <v>0</v>
      </c>
      <c r="DO10" s="61">
        <f t="shared" si="13"/>
        <v>0</v>
      </c>
      <c r="DP10" s="61">
        <f t="shared" si="13"/>
        <v>0</v>
      </c>
      <c r="DQ10" s="61">
        <f t="shared" si="13"/>
        <v>0</v>
      </c>
      <c r="DR10" s="61">
        <f t="shared" si="13"/>
        <v>0</v>
      </c>
      <c r="DS10" s="61">
        <f t="shared" si="13"/>
        <v>0</v>
      </c>
      <c r="DT10" s="61">
        <f t="shared" si="13"/>
        <v>0</v>
      </c>
      <c r="DU10" s="61">
        <f t="shared" si="13"/>
        <v>0</v>
      </c>
      <c r="DV10" s="61">
        <f t="shared" si="13"/>
        <v>0</v>
      </c>
    </row>
    <row r="11" ht="15.75" customHeight="1">
      <c r="A11" s="35"/>
      <c r="B11" s="63"/>
      <c r="C11" s="64" t="s">
        <v>101</v>
      </c>
      <c r="D11" s="61" t="str">
        <f t="shared" ref="D11:G11" si="14">D12/D10</f>
        <v>#DIV/0!</v>
      </c>
      <c r="E11" s="61">
        <f t="shared" si="14"/>
        <v>0.8</v>
      </c>
      <c r="F11" s="61" t="str">
        <f t="shared" si="14"/>
        <v>#DIV/0!</v>
      </c>
      <c r="G11" s="61" t="str">
        <f t="shared" si="14"/>
        <v>#DIV/0!</v>
      </c>
      <c r="H11" s="61" t="s">
        <v>97</v>
      </c>
      <c r="I11" s="61" t="str">
        <f t="shared" ref="I11:DV11" si="15">I12/I10</f>
        <v>#DIV/0!</v>
      </c>
      <c r="J11" s="61" t="str">
        <f t="shared" si="15"/>
        <v>#DIV/0!</v>
      </c>
      <c r="K11" s="61" t="str">
        <f t="shared" si="15"/>
        <v>#DIV/0!</v>
      </c>
      <c r="L11" s="61" t="str">
        <f t="shared" si="15"/>
        <v>#DIV/0!</v>
      </c>
      <c r="M11" s="61" t="str">
        <f t="shared" si="15"/>
        <v>#DIV/0!</v>
      </c>
      <c r="N11" s="61" t="str">
        <f t="shared" si="15"/>
        <v>#DIV/0!</v>
      </c>
      <c r="O11" s="61" t="str">
        <f t="shared" si="15"/>
        <v>#DIV/0!</v>
      </c>
      <c r="P11" s="61" t="str">
        <f t="shared" si="15"/>
        <v>#DIV/0!</v>
      </c>
      <c r="Q11" s="65" t="str">
        <f t="shared" si="15"/>
        <v>#DIV/0!</v>
      </c>
      <c r="R11" s="65" t="str">
        <f t="shared" si="15"/>
        <v>#DIV/0!</v>
      </c>
      <c r="S11" s="66" t="str">
        <f t="shared" si="15"/>
        <v>#DIV/0!</v>
      </c>
      <c r="T11" s="66" t="str">
        <f t="shared" si="15"/>
        <v>#DIV/0!</v>
      </c>
      <c r="U11" s="66" t="str">
        <f t="shared" si="15"/>
        <v>#DIV/0!</v>
      </c>
      <c r="V11" s="66" t="str">
        <f t="shared" si="15"/>
        <v>#DIV/0!</v>
      </c>
      <c r="W11" s="66" t="str">
        <f t="shared" si="15"/>
        <v>#DIV/0!</v>
      </c>
      <c r="X11" s="66" t="str">
        <f t="shared" si="15"/>
        <v>#DIV/0!</v>
      </c>
      <c r="Y11" s="66" t="str">
        <f t="shared" si="15"/>
        <v>#DIV/0!</v>
      </c>
      <c r="Z11" s="66" t="str">
        <f t="shared" si="15"/>
        <v>#DIV/0!</v>
      </c>
      <c r="AA11" s="65" t="str">
        <f t="shared" si="15"/>
        <v>#DIV/0!</v>
      </c>
      <c r="AB11" s="65" t="str">
        <f t="shared" si="15"/>
        <v>#DIV/0!</v>
      </c>
      <c r="AC11" s="66" t="str">
        <f t="shared" si="15"/>
        <v>#DIV/0!</v>
      </c>
      <c r="AD11" s="66" t="str">
        <f t="shared" si="15"/>
        <v>#DIV/0!</v>
      </c>
      <c r="AE11" s="66" t="str">
        <f t="shared" si="15"/>
        <v>#DIV/0!</v>
      </c>
      <c r="AF11" s="66" t="str">
        <f t="shared" si="15"/>
        <v>#DIV/0!</v>
      </c>
      <c r="AG11" s="66" t="str">
        <f t="shared" si="15"/>
        <v>#DIV/0!</v>
      </c>
      <c r="AH11" s="66" t="str">
        <f t="shared" si="15"/>
        <v>#DIV/0!</v>
      </c>
      <c r="AI11" s="66" t="str">
        <f t="shared" si="15"/>
        <v>#DIV/0!</v>
      </c>
      <c r="AJ11" s="66" t="str">
        <f t="shared" si="15"/>
        <v>#DIV/0!</v>
      </c>
      <c r="AK11" s="65" t="str">
        <f t="shared" si="15"/>
        <v>#DIV/0!</v>
      </c>
      <c r="AL11" s="65" t="str">
        <f t="shared" si="15"/>
        <v>#DIV/0!</v>
      </c>
      <c r="AM11" s="66" t="str">
        <f t="shared" si="15"/>
        <v>#DIV/0!</v>
      </c>
      <c r="AN11" s="66" t="str">
        <f t="shared" si="15"/>
        <v>#DIV/0!</v>
      </c>
      <c r="AO11" s="66" t="str">
        <f t="shared" si="15"/>
        <v>#DIV/0!</v>
      </c>
      <c r="AP11" s="66" t="str">
        <f t="shared" si="15"/>
        <v>#DIV/0!</v>
      </c>
      <c r="AQ11" s="66" t="str">
        <f t="shared" si="15"/>
        <v>#DIV/0!</v>
      </c>
      <c r="AR11" s="66" t="str">
        <f t="shared" si="15"/>
        <v>#DIV/0!</v>
      </c>
      <c r="AS11" s="66" t="str">
        <f t="shared" si="15"/>
        <v>#DIV/0!</v>
      </c>
      <c r="AT11" s="66" t="str">
        <f t="shared" si="15"/>
        <v>#DIV/0!</v>
      </c>
      <c r="AU11" s="65" t="str">
        <f t="shared" si="15"/>
        <v>#DIV/0!</v>
      </c>
      <c r="AV11" s="65" t="str">
        <f t="shared" si="15"/>
        <v>#DIV/0!</v>
      </c>
      <c r="AW11" s="66" t="str">
        <f t="shared" si="15"/>
        <v>#DIV/0!</v>
      </c>
      <c r="AX11" s="66" t="str">
        <f t="shared" si="15"/>
        <v>#DIV/0!</v>
      </c>
      <c r="AY11" s="66" t="str">
        <f t="shared" si="15"/>
        <v>#DIV/0!</v>
      </c>
      <c r="AZ11" s="66" t="str">
        <f t="shared" si="15"/>
        <v>#DIV/0!</v>
      </c>
      <c r="BA11" s="66" t="str">
        <f t="shared" si="15"/>
        <v>#DIV/0!</v>
      </c>
      <c r="BB11" s="66" t="str">
        <f t="shared" si="15"/>
        <v>#DIV/0!</v>
      </c>
      <c r="BC11" s="66" t="str">
        <f t="shared" si="15"/>
        <v>#DIV/0!</v>
      </c>
      <c r="BD11" s="66" t="str">
        <f t="shared" si="15"/>
        <v>#DIV/0!</v>
      </c>
      <c r="BE11" s="65" t="str">
        <f t="shared" si="15"/>
        <v>#DIV/0!</v>
      </c>
      <c r="BF11" s="65">
        <f t="shared" si="15"/>
        <v>0.8</v>
      </c>
      <c r="BG11" s="66" t="str">
        <f t="shared" si="15"/>
        <v>#DIV/0!</v>
      </c>
      <c r="BH11" s="66">
        <f t="shared" si="15"/>
        <v>0.8</v>
      </c>
      <c r="BI11" s="66" t="str">
        <f t="shared" si="15"/>
        <v>#DIV/0!</v>
      </c>
      <c r="BJ11" s="66">
        <f t="shared" si="15"/>
        <v>0.8</v>
      </c>
      <c r="BK11" s="66" t="str">
        <f t="shared" si="15"/>
        <v>#DIV/0!</v>
      </c>
      <c r="BL11" s="66">
        <f t="shared" si="15"/>
        <v>0.8</v>
      </c>
      <c r="BM11" s="66" t="str">
        <f t="shared" si="15"/>
        <v>#DIV/0!</v>
      </c>
      <c r="BN11" s="66">
        <f t="shared" si="15"/>
        <v>0.8</v>
      </c>
      <c r="BO11" s="65" t="str">
        <f t="shared" si="15"/>
        <v>#DIV/0!</v>
      </c>
      <c r="BP11" s="65" t="str">
        <f t="shared" si="15"/>
        <v>#DIV/0!</v>
      </c>
      <c r="BQ11" s="66" t="str">
        <f t="shared" si="15"/>
        <v>#DIV/0!</v>
      </c>
      <c r="BR11" s="66" t="str">
        <f t="shared" si="15"/>
        <v>#DIV/0!</v>
      </c>
      <c r="BS11" s="66" t="str">
        <f t="shared" si="15"/>
        <v>#DIV/0!</v>
      </c>
      <c r="BT11" s="66" t="str">
        <f t="shared" si="15"/>
        <v>#DIV/0!</v>
      </c>
      <c r="BU11" s="66" t="str">
        <f t="shared" si="15"/>
        <v>#DIV/0!</v>
      </c>
      <c r="BV11" s="66" t="str">
        <f t="shared" si="15"/>
        <v>#DIV/0!</v>
      </c>
      <c r="BW11" s="66" t="str">
        <f t="shared" si="15"/>
        <v>#DIV/0!</v>
      </c>
      <c r="BX11" s="66" t="str">
        <f t="shared" si="15"/>
        <v>#DIV/0!</v>
      </c>
      <c r="BY11" s="65" t="str">
        <f t="shared" si="15"/>
        <v>#DIV/0!</v>
      </c>
      <c r="BZ11" s="65" t="str">
        <f t="shared" si="15"/>
        <v>#DIV/0!</v>
      </c>
      <c r="CA11" s="66" t="str">
        <f t="shared" si="15"/>
        <v>#DIV/0!</v>
      </c>
      <c r="CB11" s="66" t="str">
        <f t="shared" si="15"/>
        <v>#DIV/0!</v>
      </c>
      <c r="CC11" s="66" t="str">
        <f t="shared" si="15"/>
        <v>#DIV/0!</v>
      </c>
      <c r="CD11" s="66" t="str">
        <f t="shared" si="15"/>
        <v>#DIV/0!</v>
      </c>
      <c r="CE11" s="66" t="str">
        <f t="shared" si="15"/>
        <v>#DIV/0!</v>
      </c>
      <c r="CF11" s="66" t="str">
        <f t="shared" si="15"/>
        <v>#DIV/0!</v>
      </c>
      <c r="CG11" s="66" t="str">
        <f t="shared" si="15"/>
        <v>#DIV/0!</v>
      </c>
      <c r="CH11" s="66" t="str">
        <f t="shared" si="15"/>
        <v>#DIV/0!</v>
      </c>
      <c r="CI11" s="65" t="str">
        <f t="shared" si="15"/>
        <v>#DIV/0!</v>
      </c>
      <c r="CJ11" s="65" t="str">
        <f t="shared" si="15"/>
        <v>#DIV/0!</v>
      </c>
      <c r="CK11" s="66" t="str">
        <f t="shared" si="15"/>
        <v>#DIV/0!</v>
      </c>
      <c r="CL11" s="66" t="str">
        <f t="shared" si="15"/>
        <v>#DIV/0!</v>
      </c>
      <c r="CM11" s="66" t="str">
        <f t="shared" si="15"/>
        <v>#DIV/0!</v>
      </c>
      <c r="CN11" s="66" t="str">
        <f t="shared" si="15"/>
        <v>#DIV/0!</v>
      </c>
      <c r="CO11" s="66" t="str">
        <f t="shared" si="15"/>
        <v>#DIV/0!</v>
      </c>
      <c r="CP11" s="66" t="str">
        <f t="shared" si="15"/>
        <v>#DIV/0!</v>
      </c>
      <c r="CQ11" s="66" t="str">
        <f t="shared" si="15"/>
        <v>#DIV/0!</v>
      </c>
      <c r="CR11" s="66" t="str">
        <f t="shared" si="15"/>
        <v>#DIV/0!</v>
      </c>
      <c r="CS11" s="65" t="str">
        <f t="shared" si="15"/>
        <v>#DIV/0!</v>
      </c>
      <c r="CT11" s="65" t="str">
        <f t="shared" si="15"/>
        <v>#DIV/0!</v>
      </c>
      <c r="CU11" s="66" t="str">
        <f t="shared" si="15"/>
        <v>#DIV/0!</v>
      </c>
      <c r="CV11" s="66" t="str">
        <f t="shared" si="15"/>
        <v>#DIV/0!</v>
      </c>
      <c r="CW11" s="66" t="str">
        <f t="shared" si="15"/>
        <v>#DIV/0!</v>
      </c>
      <c r="CX11" s="66" t="str">
        <f t="shared" si="15"/>
        <v>#DIV/0!</v>
      </c>
      <c r="CY11" s="66" t="str">
        <f t="shared" si="15"/>
        <v>#DIV/0!</v>
      </c>
      <c r="CZ11" s="66" t="str">
        <f t="shared" si="15"/>
        <v>#DIV/0!</v>
      </c>
      <c r="DA11" s="66" t="str">
        <f t="shared" si="15"/>
        <v>#DIV/0!</v>
      </c>
      <c r="DB11" s="66" t="str">
        <f t="shared" si="15"/>
        <v>#DIV/0!</v>
      </c>
      <c r="DC11" s="65" t="str">
        <f t="shared" si="15"/>
        <v>#DIV/0!</v>
      </c>
      <c r="DD11" s="65" t="str">
        <f t="shared" si="15"/>
        <v>#DIV/0!</v>
      </c>
      <c r="DE11" s="66" t="str">
        <f t="shared" si="15"/>
        <v>#DIV/0!</v>
      </c>
      <c r="DF11" s="66" t="str">
        <f t="shared" si="15"/>
        <v>#DIV/0!</v>
      </c>
      <c r="DG11" s="66" t="str">
        <f t="shared" si="15"/>
        <v>#DIV/0!</v>
      </c>
      <c r="DH11" s="66" t="str">
        <f t="shared" si="15"/>
        <v>#DIV/0!</v>
      </c>
      <c r="DI11" s="66" t="str">
        <f t="shared" si="15"/>
        <v>#DIV/0!</v>
      </c>
      <c r="DJ11" s="66" t="str">
        <f t="shared" si="15"/>
        <v>#DIV/0!</v>
      </c>
      <c r="DK11" s="66" t="str">
        <f t="shared" si="15"/>
        <v>#DIV/0!</v>
      </c>
      <c r="DL11" s="66" t="str">
        <f t="shared" si="15"/>
        <v>#DIV/0!</v>
      </c>
      <c r="DM11" s="65" t="str">
        <f t="shared" si="15"/>
        <v>#DIV/0!</v>
      </c>
      <c r="DN11" s="65" t="str">
        <f t="shared" si="15"/>
        <v>#DIV/0!</v>
      </c>
      <c r="DO11" s="66" t="str">
        <f t="shared" si="15"/>
        <v>#DIV/0!</v>
      </c>
      <c r="DP11" s="66" t="str">
        <f t="shared" si="15"/>
        <v>#DIV/0!</v>
      </c>
      <c r="DQ11" s="66" t="str">
        <f t="shared" si="15"/>
        <v>#DIV/0!</v>
      </c>
      <c r="DR11" s="66" t="str">
        <f t="shared" si="15"/>
        <v>#DIV/0!</v>
      </c>
      <c r="DS11" s="66" t="str">
        <f t="shared" si="15"/>
        <v>#DIV/0!</v>
      </c>
      <c r="DT11" s="66" t="str">
        <f t="shared" si="15"/>
        <v>#DIV/0!</v>
      </c>
      <c r="DU11" s="66" t="str">
        <f t="shared" si="15"/>
        <v>#DIV/0!</v>
      </c>
      <c r="DV11" s="66" t="str">
        <f t="shared" si="15"/>
        <v>#DIV/0!</v>
      </c>
    </row>
    <row r="12" ht="15.75" customHeight="1">
      <c r="A12" s="35"/>
      <c r="B12" s="63"/>
      <c r="C12" s="67" t="s">
        <v>102</v>
      </c>
      <c r="D12" s="68">
        <f t="shared" ref="D12:E12" si="16">SUM(F12+Q12+AA12+AK12+AU12+BE12+BO12+BY12+CI12+CS12+DC12+DM12)</f>
        <v>0</v>
      </c>
      <c r="E12" s="61">
        <f t="shared" si="16"/>
        <v>5.952380952</v>
      </c>
      <c r="F12" s="65">
        <f t="shared" ref="F12:G12" si="17">SUM(F26+F40+F54+F68)</f>
        <v>0</v>
      </c>
      <c r="G12" s="61">
        <f t="shared" si="17"/>
        <v>0</v>
      </c>
      <c r="H12" s="61" t="str">
        <f>G12/F12</f>
        <v>#DIV/0!</v>
      </c>
      <c r="I12" s="65">
        <f t="shared" ref="I12:DV12" si="18">SUM(I26+I40+I54+I68)</f>
        <v>0</v>
      </c>
      <c r="J12" s="62">
        <f t="shared" si="18"/>
        <v>0</v>
      </c>
      <c r="K12" s="65">
        <f t="shared" si="18"/>
        <v>0</v>
      </c>
      <c r="L12" s="62">
        <f t="shared" si="18"/>
        <v>0</v>
      </c>
      <c r="M12" s="65">
        <f t="shared" si="18"/>
        <v>0</v>
      </c>
      <c r="N12" s="62">
        <f t="shared" si="18"/>
        <v>0</v>
      </c>
      <c r="O12" s="65">
        <f t="shared" si="18"/>
        <v>0</v>
      </c>
      <c r="P12" s="62">
        <f t="shared" si="18"/>
        <v>0</v>
      </c>
      <c r="Q12" s="68">
        <f t="shared" si="18"/>
        <v>0</v>
      </c>
      <c r="R12" s="61">
        <f t="shared" si="18"/>
        <v>0</v>
      </c>
      <c r="S12" s="68">
        <f t="shared" si="18"/>
        <v>0</v>
      </c>
      <c r="T12" s="62">
        <f t="shared" si="18"/>
        <v>0</v>
      </c>
      <c r="U12" s="68">
        <f t="shared" si="18"/>
        <v>0</v>
      </c>
      <c r="V12" s="62">
        <f t="shared" si="18"/>
        <v>0</v>
      </c>
      <c r="W12" s="68">
        <f t="shared" si="18"/>
        <v>0</v>
      </c>
      <c r="X12" s="62">
        <f t="shared" si="18"/>
        <v>0</v>
      </c>
      <c r="Y12" s="68">
        <f t="shared" si="18"/>
        <v>0</v>
      </c>
      <c r="Z12" s="62">
        <f t="shared" si="18"/>
        <v>0</v>
      </c>
      <c r="AA12" s="62">
        <f t="shared" si="18"/>
        <v>0</v>
      </c>
      <c r="AB12" s="61">
        <f t="shared" si="18"/>
        <v>0</v>
      </c>
      <c r="AC12" s="62">
        <f t="shared" si="18"/>
        <v>0</v>
      </c>
      <c r="AD12" s="62">
        <f t="shared" si="18"/>
        <v>0</v>
      </c>
      <c r="AE12" s="62">
        <f t="shared" si="18"/>
        <v>0</v>
      </c>
      <c r="AF12" s="62">
        <f t="shared" si="18"/>
        <v>0</v>
      </c>
      <c r="AG12" s="62">
        <f t="shared" si="18"/>
        <v>0</v>
      </c>
      <c r="AH12" s="62">
        <f t="shared" si="18"/>
        <v>0</v>
      </c>
      <c r="AI12" s="62">
        <f t="shared" si="18"/>
        <v>0</v>
      </c>
      <c r="AJ12" s="62">
        <f t="shared" si="18"/>
        <v>0</v>
      </c>
      <c r="AK12" s="62">
        <f t="shared" si="18"/>
        <v>0</v>
      </c>
      <c r="AL12" s="61">
        <f t="shared" si="18"/>
        <v>0</v>
      </c>
      <c r="AM12" s="62">
        <f t="shared" si="18"/>
        <v>0</v>
      </c>
      <c r="AN12" s="62">
        <f t="shared" si="18"/>
        <v>0</v>
      </c>
      <c r="AO12" s="62">
        <f t="shared" si="18"/>
        <v>0</v>
      </c>
      <c r="AP12" s="62">
        <f t="shared" si="18"/>
        <v>0</v>
      </c>
      <c r="AQ12" s="62">
        <f t="shared" si="18"/>
        <v>0</v>
      </c>
      <c r="AR12" s="62">
        <f t="shared" si="18"/>
        <v>0</v>
      </c>
      <c r="AS12" s="62">
        <f t="shared" si="18"/>
        <v>0</v>
      </c>
      <c r="AT12" s="62">
        <f t="shared" si="18"/>
        <v>0</v>
      </c>
      <c r="AU12" s="62">
        <f t="shared" si="18"/>
        <v>0</v>
      </c>
      <c r="AV12" s="61">
        <f t="shared" si="18"/>
        <v>0</v>
      </c>
      <c r="AW12" s="62">
        <f t="shared" si="18"/>
        <v>0</v>
      </c>
      <c r="AX12" s="62">
        <f t="shared" si="18"/>
        <v>0</v>
      </c>
      <c r="AY12" s="62">
        <f t="shared" si="18"/>
        <v>0</v>
      </c>
      <c r="AZ12" s="62">
        <f t="shared" si="18"/>
        <v>0</v>
      </c>
      <c r="BA12" s="62">
        <f t="shared" si="18"/>
        <v>0</v>
      </c>
      <c r="BB12" s="62">
        <f t="shared" si="18"/>
        <v>0</v>
      </c>
      <c r="BC12" s="62">
        <f t="shared" si="18"/>
        <v>0</v>
      </c>
      <c r="BD12" s="62">
        <f t="shared" si="18"/>
        <v>0</v>
      </c>
      <c r="BE12" s="62">
        <f t="shared" si="18"/>
        <v>0</v>
      </c>
      <c r="BF12" s="61">
        <f t="shared" si="18"/>
        <v>5.952380952</v>
      </c>
      <c r="BG12" s="62">
        <f t="shared" si="18"/>
        <v>0</v>
      </c>
      <c r="BH12" s="62">
        <f t="shared" si="18"/>
        <v>1.488095238</v>
      </c>
      <c r="BI12" s="62">
        <f t="shared" si="18"/>
        <v>0</v>
      </c>
      <c r="BJ12" s="62">
        <f t="shared" si="18"/>
        <v>1.488095238</v>
      </c>
      <c r="BK12" s="62">
        <f t="shared" si="18"/>
        <v>0</v>
      </c>
      <c r="BL12" s="62">
        <f t="shared" si="18"/>
        <v>1.488095238</v>
      </c>
      <c r="BM12" s="62">
        <f t="shared" si="18"/>
        <v>0</v>
      </c>
      <c r="BN12" s="62">
        <f t="shared" si="18"/>
        <v>1.488095238</v>
      </c>
      <c r="BO12" s="62">
        <f t="shared" si="18"/>
        <v>0</v>
      </c>
      <c r="BP12" s="61">
        <f t="shared" si="18"/>
        <v>0</v>
      </c>
      <c r="BQ12" s="62">
        <f t="shared" si="18"/>
        <v>0</v>
      </c>
      <c r="BR12" s="62">
        <f t="shared" si="18"/>
        <v>0</v>
      </c>
      <c r="BS12" s="62">
        <f t="shared" si="18"/>
        <v>0</v>
      </c>
      <c r="BT12" s="62">
        <f t="shared" si="18"/>
        <v>0</v>
      </c>
      <c r="BU12" s="62">
        <f t="shared" si="18"/>
        <v>0</v>
      </c>
      <c r="BV12" s="62">
        <f t="shared" si="18"/>
        <v>0</v>
      </c>
      <c r="BW12" s="62">
        <f t="shared" si="18"/>
        <v>0</v>
      </c>
      <c r="BX12" s="62">
        <f t="shared" si="18"/>
        <v>0</v>
      </c>
      <c r="BY12" s="62">
        <f t="shared" si="18"/>
        <v>0</v>
      </c>
      <c r="BZ12" s="61">
        <f t="shared" si="18"/>
        <v>0</v>
      </c>
      <c r="CA12" s="62">
        <f t="shared" si="18"/>
        <v>0</v>
      </c>
      <c r="CB12" s="62">
        <f t="shared" si="18"/>
        <v>0</v>
      </c>
      <c r="CC12" s="62">
        <f t="shared" si="18"/>
        <v>0</v>
      </c>
      <c r="CD12" s="62">
        <f t="shared" si="18"/>
        <v>0</v>
      </c>
      <c r="CE12" s="62">
        <f t="shared" si="18"/>
        <v>0</v>
      </c>
      <c r="CF12" s="62">
        <f t="shared" si="18"/>
        <v>0</v>
      </c>
      <c r="CG12" s="62">
        <f t="shared" si="18"/>
        <v>0</v>
      </c>
      <c r="CH12" s="62">
        <f t="shared" si="18"/>
        <v>0</v>
      </c>
      <c r="CI12" s="62">
        <f t="shared" si="18"/>
        <v>0</v>
      </c>
      <c r="CJ12" s="61">
        <f t="shared" si="18"/>
        <v>0</v>
      </c>
      <c r="CK12" s="62">
        <f t="shared" si="18"/>
        <v>0</v>
      </c>
      <c r="CL12" s="62">
        <f t="shared" si="18"/>
        <v>0</v>
      </c>
      <c r="CM12" s="62">
        <f t="shared" si="18"/>
        <v>0</v>
      </c>
      <c r="CN12" s="62">
        <f t="shared" si="18"/>
        <v>0</v>
      </c>
      <c r="CO12" s="62">
        <f t="shared" si="18"/>
        <v>0</v>
      </c>
      <c r="CP12" s="62">
        <f t="shared" si="18"/>
        <v>0</v>
      </c>
      <c r="CQ12" s="62">
        <f t="shared" si="18"/>
        <v>0</v>
      </c>
      <c r="CR12" s="62">
        <f t="shared" si="18"/>
        <v>0</v>
      </c>
      <c r="CS12" s="62">
        <f t="shared" si="18"/>
        <v>0</v>
      </c>
      <c r="CT12" s="61">
        <f t="shared" si="18"/>
        <v>0</v>
      </c>
      <c r="CU12" s="62">
        <f t="shared" si="18"/>
        <v>0</v>
      </c>
      <c r="CV12" s="62">
        <f t="shared" si="18"/>
        <v>0</v>
      </c>
      <c r="CW12" s="62">
        <f t="shared" si="18"/>
        <v>0</v>
      </c>
      <c r="CX12" s="62">
        <f t="shared" si="18"/>
        <v>0</v>
      </c>
      <c r="CY12" s="62">
        <f t="shared" si="18"/>
        <v>0</v>
      </c>
      <c r="CZ12" s="62">
        <f t="shared" si="18"/>
        <v>0</v>
      </c>
      <c r="DA12" s="62">
        <f t="shared" si="18"/>
        <v>0</v>
      </c>
      <c r="DB12" s="62">
        <f t="shared" si="18"/>
        <v>0</v>
      </c>
      <c r="DC12" s="62">
        <f t="shared" si="18"/>
        <v>0</v>
      </c>
      <c r="DD12" s="61">
        <f t="shared" si="18"/>
        <v>0</v>
      </c>
      <c r="DE12" s="62">
        <f t="shared" si="18"/>
        <v>0</v>
      </c>
      <c r="DF12" s="62">
        <f t="shared" si="18"/>
        <v>0</v>
      </c>
      <c r="DG12" s="62">
        <f t="shared" si="18"/>
        <v>0</v>
      </c>
      <c r="DH12" s="62">
        <f t="shared" si="18"/>
        <v>0</v>
      </c>
      <c r="DI12" s="62">
        <f t="shared" si="18"/>
        <v>0</v>
      </c>
      <c r="DJ12" s="62">
        <f t="shared" si="18"/>
        <v>0</v>
      </c>
      <c r="DK12" s="62">
        <f t="shared" si="18"/>
        <v>0</v>
      </c>
      <c r="DL12" s="62">
        <f t="shared" si="18"/>
        <v>0</v>
      </c>
      <c r="DM12" s="62">
        <f t="shared" si="18"/>
        <v>0</v>
      </c>
      <c r="DN12" s="61">
        <f t="shared" si="18"/>
        <v>0</v>
      </c>
      <c r="DO12" s="62">
        <f t="shared" si="18"/>
        <v>0</v>
      </c>
      <c r="DP12" s="62">
        <f t="shared" si="18"/>
        <v>0</v>
      </c>
      <c r="DQ12" s="62">
        <f t="shared" si="18"/>
        <v>0</v>
      </c>
      <c r="DR12" s="62">
        <f t="shared" si="18"/>
        <v>0</v>
      </c>
      <c r="DS12" s="62">
        <f t="shared" si="18"/>
        <v>0</v>
      </c>
      <c r="DT12" s="62">
        <f t="shared" si="18"/>
        <v>0</v>
      </c>
      <c r="DU12" s="62">
        <f t="shared" si="18"/>
        <v>0</v>
      </c>
      <c r="DV12" s="62">
        <f t="shared" si="18"/>
        <v>0</v>
      </c>
    </row>
    <row r="13" ht="15.75" customHeight="1">
      <c r="A13" s="35"/>
      <c r="B13" s="63"/>
      <c r="C13" s="64" t="s">
        <v>103</v>
      </c>
      <c r="D13" s="61" t="str">
        <f t="shared" ref="D13:G13" si="19">D14/D12</f>
        <v>#DIV/0!</v>
      </c>
      <c r="E13" s="61">
        <f t="shared" si="19"/>
        <v>0.7</v>
      </c>
      <c r="F13" s="61" t="str">
        <f t="shared" si="19"/>
        <v>#DIV/0!</v>
      </c>
      <c r="G13" s="61" t="str">
        <f t="shared" si="19"/>
        <v>#DIV/0!</v>
      </c>
      <c r="H13" s="61" t="s">
        <v>97</v>
      </c>
      <c r="I13" s="61" t="str">
        <f t="shared" ref="I13:DV13" si="20">I14/I12</f>
        <v>#DIV/0!</v>
      </c>
      <c r="J13" s="61" t="str">
        <f t="shared" si="20"/>
        <v>#DIV/0!</v>
      </c>
      <c r="K13" s="61" t="str">
        <f t="shared" si="20"/>
        <v>#DIV/0!</v>
      </c>
      <c r="L13" s="61" t="str">
        <f t="shared" si="20"/>
        <v>#DIV/0!</v>
      </c>
      <c r="M13" s="61" t="str">
        <f t="shared" si="20"/>
        <v>#DIV/0!</v>
      </c>
      <c r="N13" s="61" t="str">
        <f t="shared" si="20"/>
        <v>#DIV/0!</v>
      </c>
      <c r="O13" s="61" t="str">
        <f t="shared" si="20"/>
        <v>#DIV/0!</v>
      </c>
      <c r="P13" s="61" t="str">
        <f t="shared" si="20"/>
        <v>#DIV/0!</v>
      </c>
      <c r="Q13" s="68" t="str">
        <f t="shared" si="20"/>
        <v>#DIV/0!</v>
      </c>
      <c r="R13" s="68" t="str">
        <f t="shared" si="20"/>
        <v>#DIV/0!</v>
      </c>
      <c r="S13" s="69" t="str">
        <f t="shared" si="20"/>
        <v>#DIV/0!</v>
      </c>
      <c r="T13" s="69" t="str">
        <f t="shared" si="20"/>
        <v>#DIV/0!</v>
      </c>
      <c r="U13" s="69" t="str">
        <f t="shared" si="20"/>
        <v>#DIV/0!</v>
      </c>
      <c r="V13" s="69" t="str">
        <f t="shared" si="20"/>
        <v>#DIV/0!</v>
      </c>
      <c r="W13" s="69" t="str">
        <f t="shared" si="20"/>
        <v>#DIV/0!</v>
      </c>
      <c r="X13" s="69" t="str">
        <f t="shared" si="20"/>
        <v>#DIV/0!</v>
      </c>
      <c r="Y13" s="69" t="str">
        <f t="shared" si="20"/>
        <v>#DIV/0!</v>
      </c>
      <c r="Z13" s="69" t="str">
        <f t="shared" si="20"/>
        <v>#DIV/0!</v>
      </c>
      <c r="AA13" s="68" t="str">
        <f t="shared" si="20"/>
        <v>#DIV/0!</v>
      </c>
      <c r="AB13" s="68" t="str">
        <f t="shared" si="20"/>
        <v>#DIV/0!</v>
      </c>
      <c r="AC13" s="69" t="str">
        <f t="shared" si="20"/>
        <v>#DIV/0!</v>
      </c>
      <c r="AD13" s="69" t="str">
        <f t="shared" si="20"/>
        <v>#DIV/0!</v>
      </c>
      <c r="AE13" s="69" t="str">
        <f t="shared" si="20"/>
        <v>#DIV/0!</v>
      </c>
      <c r="AF13" s="69" t="str">
        <f t="shared" si="20"/>
        <v>#DIV/0!</v>
      </c>
      <c r="AG13" s="69" t="str">
        <f t="shared" si="20"/>
        <v>#DIV/0!</v>
      </c>
      <c r="AH13" s="69" t="str">
        <f t="shared" si="20"/>
        <v>#DIV/0!</v>
      </c>
      <c r="AI13" s="69" t="str">
        <f t="shared" si="20"/>
        <v>#DIV/0!</v>
      </c>
      <c r="AJ13" s="69" t="str">
        <f t="shared" si="20"/>
        <v>#DIV/0!</v>
      </c>
      <c r="AK13" s="68" t="str">
        <f t="shared" si="20"/>
        <v>#DIV/0!</v>
      </c>
      <c r="AL13" s="68" t="str">
        <f t="shared" si="20"/>
        <v>#DIV/0!</v>
      </c>
      <c r="AM13" s="69" t="str">
        <f t="shared" si="20"/>
        <v>#DIV/0!</v>
      </c>
      <c r="AN13" s="69" t="str">
        <f t="shared" si="20"/>
        <v>#DIV/0!</v>
      </c>
      <c r="AO13" s="69" t="str">
        <f t="shared" si="20"/>
        <v>#DIV/0!</v>
      </c>
      <c r="AP13" s="69" t="str">
        <f t="shared" si="20"/>
        <v>#DIV/0!</v>
      </c>
      <c r="AQ13" s="69" t="str">
        <f t="shared" si="20"/>
        <v>#DIV/0!</v>
      </c>
      <c r="AR13" s="69" t="str">
        <f t="shared" si="20"/>
        <v>#DIV/0!</v>
      </c>
      <c r="AS13" s="69" t="str">
        <f t="shared" si="20"/>
        <v>#DIV/0!</v>
      </c>
      <c r="AT13" s="69" t="str">
        <f t="shared" si="20"/>
        <v>#DIV/0!</v>
      </c>
      <c r="AU13" s="68" t="str">
        <f t="shared" si="20"/>
        <v>#DIV/0!</v>
      </c>
      <c r="AV13" s="68" t="str">
        <f t="shared" si="20"/>
        <v>#DIV/0!</v>
      </c>
      <c r="AW13" s="69" t="str">
        <f t="shared" si="20"/>
        <v>#DIV/0!</v>
      </c>
      <c r="AX13" s="69" t="str">
        <f t="shared" si="20"/>
        <v>#DIV/0!</v>
      </c>
      <c r="AY13" s="69" t="str">
        <f t="shared" si="20"/>
        <v>#DIV/0!</v>
      </c>
      <c r="AZ13" s="69" t="str">
        <f t="shared" si="20"/>
        <v>#DIV/0!</v>
      </c>
      <c r="BA13" s="69" t="str">
        <f t="shared" si="20"/>
        <v>#DIV/0!</v>
      </c>
      <c r="BB13" s="69" t="str">
        <f t="shared" si="20"/>
        <v>#DIV/0!</v>
      </c>
      <c r="BC13" s="69" t="str">
        <f t="shared" si="20"/>
        <v>#DIV/0!</v>
      </c>
      <c r="BD13" s="69" t="str">
        <f t="shared" si="20"/>
        <v>#DIV/0!</v>
      </c>
      <c r="BE13" s="68" t="str">
        <f t="shared" si="20"/>
        <v>#DIV/0!</v>
      </c>
      <c r="BF13" s="68">
        <f t="shared" si="20"/>
        <v>0.7</v>
      </c>
      <c r="BG13" s="69" t="str">
        <f t="shared" si="20"/>
        <v>#DIV/0!</v>
      </c>
      <c r="BH13" s="69">
        <f t="shared" si="20"/>
        <v>0.7</v>
      </c>
      <c r="BI13" s="69" t="str">
        <f t="shared" si="20"/>
        <v>#DIV/0!</v>
      </c>
      <c r="BJ13" s="69">
        <f t="shared" si="20"/>
        <v>0.7</v>
      </c>
      <c r="BK13" s="69" t="str">
        <f t="shared" si="20"/>
        <v>#DIV/0!</v>
      </c>
      <c r="BL13" s="69">
        <f t="shared" si="20"/>
        <v>0.7</v>
      </c>
      <c r="BM13" s="69" t="str">
        <f t="shared" si="20"/>
        <v>#DIV/0!</v>
      </c>
      <c r="BN13" s="69">
        <f t="shared" si="20"/>
        <v>0.7</v>
      </c>
      <c r="BO13" s="68" t="str">
        <f t="shared" si="20"/>
        <v>#DIV/0!</v>
      </c>
      <c r="BP13" s="68" t="str">
        <f t="shared" si="20"/>
        <v>#DIV/0!</v>
      </c>
      <c r="BQ13" s="69" t="str">
        <f t="shared" si="20"/>
        <v>#DIV/0!</v>
      </c>
      <c r="BR13" s="69" t="str">
        <f t="shared" si="20"/>
        <v>#DIV/0!</v>
      </c>
      <c r="BS13" s="69" t="str">
        <f t="shared" si="20"/>
        <v>#DIV/0!</v>
      </c>
      <c r="BT13" s="69" t="str">
        <f t="shared" si="20"/>
        <v>#DIV/0!</v>
      </c>
      <c r="BU13" s="69" t="str">
        <f t="shared" si="20"/>
        <v>#DIV/0!</v>
      </c>
      <c r="BV13" s="69" t="str">
        <f t="shared" si="20"/>
        <v>#DIV/0!</v>
      </c>
      <c r="BW13" s="69" t="str">
        <f t="shared" si="20"/>
        <v>#DIV/0!</v>
      </c>
      <c r="BX13" s="69" t="str">
        <f t="shared" si="20"/>
        <v>#DIV/0!</v>
      </c>
      <c r="BY13" s="68" t="str">
        <f t="shared" si="20"/>
        <v>#DIV/0!</v>
      </c>
      <c r="BZ13" s="68" t="str">
        <f t="shared" si="20"/>
        <v>#DIV/0!</v>
      </c>
      <c r="CA13" s="69" t="str">
        <f t="shared" si="20"/>
        <v>#DIV/0!</v>
      </c>
      <c r="CB13" s="69" t="str">
        <f t="shared" si="20"/>
        <v>#DIV/0!</v>
      </c>
      <c r="CC13" s="69" t="str">
        <f t="shared" si="20"/>
        <v>#DIV/0!</v>
      </c>
      <c r="CD13" s="69" t="str">
        <f t="shared" si="20"/>
        <v>#DIV/0!</v>
      </c>
      <c r="CE13" s="69" t="str">
        <f t="shared" si="20"/>
        <v>#DIV/0!</v>
      </c>
      <c r="CF13" s="69" t="str">
        <f t="shared" si="20"/>
        <v>#DIV/0!</v>
      </c>
      <c r="CG13" s="69" t="str">
        <f t="shared" si="20"/>
        <v>#DIV/0!</v>
      </c>
      <c r="CH13" s="69" t="str">
        <f t="shared" si="20"/>
        <v>#DIV/0!</v>
      </c>
      <c r="CI13" s="68" t="str">
        <f t="shared" si="20"/>
        <v>#DIV/0!</v>
      </c>
      <c r="CJ13" s="68" t="str">
        <f t="shared" si="20"/>
        <v>#DIV/0!</v>
      </c>
      <c r="CK13" s="69" t="str">
        <f t="shared" si="20"/>
        <v>#DIV/0!</v>
      </c>
      <c r="CL13" s="69" t="str">
        <f t="shared" si="20"/>
        <v>#DIV/0!</v>
      </c>
      <c r="CM13" s="69" t="str">
        <f t="shared" si="20"/>
        <v>#DIV/0!</v>
      </c>
      <c r="CN13" s="69" t="str">
        <f t="shared" si="20"/>
        <v>#DIV/0!</v>
      </c>
      <c r="CO13" s="69" t="str">
        <f t="shared" si="20"/>
        <v>#DIV/0!</v>
      </c>
      <c r="CP13" s="69" t="str">
        <f t="shared" si="20"/>
        <v>#DIV/0!</v>
      </c>
      <c r="CQ13" s="69" t="str">
        <f t="shared" si="20"/>
        <v>#DIV/0!</v>
      </c>
      <c r="CR13" s="69" t="str">
        <f t="shared" si="20"/>
        <v>#DIV/0!</v>
      </c>
      <c r="CS13" s="68" t="str">
        <f t="shared" si="20"/>
        <v>#DIV/0!</v>
      </c>
      <c r="CT13" s="68" t="str">
        <f t="shared" si="20"/>
        <v>#DIV/0!</v>
      </c>
      <c r="CU13" s="69" t="str">
        <f t="shared" si="20"/>
        <v>#DIV/0!</v>
      </c>
      <c r="CV13" s="69" t="str">
        <f t="shared" si="20"/>
        <v>#DIV/0!</v>
      </c>
      <c r="CW13" s="69" t="str">
        <f t="shared" si="20"/>
        <v>#DIV/0!</v>
      </c>
      <c r="CX13" s="69" t="str">
        <f t="shared" si="20"/>
        <v>#DIV/0!</v>
      </c>
      <c r="CY13" s="69" t="str">
        <f t="shared" si="20"/>
        <v>#DIV/0!</v>
      </c>
      <c r="CZ13" s="69" t="str">
        <f t="shared" si="20"/>
        <v>#DIV/0!</v>
      </c>
      <c r="DA13" s="69" t="str">
        <f t="shared" si="20"/>
        <v>#DIV/0!</v>
      </c>
      <c r="DB13" s="69" t="str">
        <f t="shared" si="20"/>
        <v>#DIV/0!</v>
      </c>
      <c r="DC13" s="68" t="str">
        <f t="shared" si="20"/>
        <v>#DIV/0!</v>
      </c>
      <c r="DD13" s="68" t="str">
        <f t="shared" si="20"/>
        <v>#DIV/0!</v>
      </c>
      <c r="DE13" s="69" t="str">
        <f t="shared" si="20"/>
        <v>#DIV/0!</v>
      </c>
      <c r="DF13" s="69" t="str">
        <f t="shared" si="20"/>
        <v>#DIV/0!</v>
      </c>
      <c r="DG13" s="69" t="str">
        <f t="shared" si="20"/>
        <v>#DIV/0!</v>
      </c>
      <c r="DH13" s="69" t="str">
        <f t="shared" si="20"/>
        <v>#DIV/0!</v>
      </c>
      <c r="DI13" s="69" t="str">
        <f t="shared" si="20"/>
        <v>#DIV/0!</v>
      </c>
      <c r="DJ13" s="69" t="str">
        <f t="shared" si="20"/>
        <v>#DIV/0!</v>
      </c>
      <c r="DK13" s="69" t="str">
        <f t="shared" si="20"/>
        <v>#DIV/0!</v>
      </c>
      <c r="DL13" s="69" t="str">
        <f t="shared" si="20"/>
        <v>#DIV/0!</v>
      </c>
      <c r="DM13" s="68" t="str">
        <f t="shared" si="20"/>
        <v>#DIV/0!</v>
      </c>
      <c r="DN13" s="68" t="str">
        <f t="shared" si="20"/>
        <v>#DIV/0!</v>
      </c>
      <c r="DO13" s="69" t="str">
        <f t="shared" si="20"/>
        <v>#DIV/0!</v>
      </c>
      <c r="DP13" s="69" t="str">
        <f t="shared" si="20"/>
        <v>#DIV/0!</v>
      </c>
      <c r="DQ13" s="69" t="str">
        <f t="shared" si="20"/>
        <v>#DIV/0!</v>
      </c>
      <c r="DR13" s="69" t="str">
        <f t="shared" si="20"/>
        <v>#DIV/0!</v>
      </c>
      <c r="DS13" s="69" t="str">
        <f t="shared" si="20"/>
        <v>#DIV/0!</v>
      </c>
      <c r="DT13" s="69" t="str">
        <f t="shared" si="20"/>
        <v>#DIV/0!</v>
      </c>
      <c r="DU13" s="69" t="str">
        <f t="shared" si="20"/>
        <v>#DIV/0!</v>
      </c>
      <c r="DV13" s="69" t="str">
        <f t="shared" si="20"/>
        <v>#DIV/0!</v>
      </c>
    </row>
    <row r="14" ht="15.75" customHeight="1">
      <c r="A14" s="35"/>
      <c r="B14" s="63"/>
      <c r="C14" s="70" t="s">
        <v>104</v>
      </c>
      <c r="D14" s="68">
        <f t="shared" ref="D14:E14" si="21">SUM(F14+Q14+AA14+AK14+AU14+BE14+BO14+BY14+CI14+CS14+DC14+DM14)</f>
        <v>0</v>
      </c>
      <c r="E14" s="61">
        <f t="shared" si="21"/>
        <v>4.166666667</v>
      </c>
      <c r="F14" s="65">
        <f t="shared" ref="F14:G14" si="22">SUM(F28+F42+F56+F70)</f>
        <v>0</v>
      </c>
      <c r="G14" s="61">
        <f t="shared" si="22"/>
        <v>0</v>
      </c>
      <c r="H14" s="61" t="str">
        <f>G14/F14</f>
        <v>#DIV/0!</v>
      </c>
      <c r="I14" s="65">
        <f t="shared" ref="I14:DV14" si="23">SUM(I28+I42+I56+I70)</f>
        <v>0</v>
      </c>
      <c r="J14" s="62">
        <f t="shared" si="23"/>
        <v>0</v>
      </c>
      <c r="K14" s="65">
        <f t="shared" si="23"/>
        <v>0</v>
      </c>
      <c r="L14" s="62">
        <f t="shared" si="23"/>
        <v>0</v>
      </c>
      <c r="M14" s="65">
        <f t="shared" si="23"/>
        <v>0</v>
      </c>
      <c r="N14" s="62">
        <f t="shared" si="23"/>
        <v>0</v>
      </c>
      <c r="O14" s="65">
        <f t="shared" si="23"/>
        <v>0</v>
      </c>
      <c r="P14" s="62">
        <f t="shared" si="23"/>
        <v>0</v>
      </c>
      <c r="Q14" s="68">
        <f t="shared" si="23"/>
        <v>0</v>
      </c>
      <c r="R14" s="61">
        <f t="shared" si="23"/>
        <v>0</v>
      </c>
      <c r="S14" s="68">
        <f t="shared" si="23"/>
        <v>0</v>
      </c>
      <c r="T14" s="62">
        <f t="shared" si="23"/>
        <v>0</v>
      </c>
      <c r="U14" s="68">
        <f t="shared" si="23"/>
        <v>0</v>
      </c>
      <c r="V14" s="62">
        <f t="shared" si="23"/>
        <v>0</v>
      </c>
      <c r="W14" s="68">
        <f t="shared" si="23"/>
        <v>0</v>
      </c>
      <c r="X14" s="62">
        <f t="shared" si="23"/>
        <v>0</v>
      </c>
      <c r="Y14" s="68">
        <f t="shared" si="23"/>
        <v>0</v>
      </c>
      <c r="Z14" s="62">
        <f t="shared" si="23"/>
        <v>0</v>
      </c>
      <c r="AA14" s="62">
        <f t="shared" si="23"/>
        <v>0</v>
      </c>
      <c r="AB14" s="61">
        <f t="shared" si="23"/>
        <v>0</v>
      </c>
      <c r="AC14" s="62">
        <f t="shared" si="23"/>
        <v>0</v>
      </c>
      <c r="AD14" s="62">
        <f t="shared" si="23"/>
        <v>0</v>
      </c>
      <c r="AE14" s="62">
        <f t="shared" si="23"/>
        <v>0</v>
      </c>
      <c r="AF14" s="62">
        <f t="shared" si="23"/>
        <v>0</v>
      </c>
      <c r="AG14" s="62">
        <f t="shared" si="23"/>
        <v>0</v>
      </c>
      <c r="AH14" s="62">
        <f t="shared" si="23"/>
        <v>0</v>
      </c>
      <c r="AI14" s="62">
        <f t="shared" si="23"/>
        <v>0</v>
      </c>
      <c r="AJ14" s="62">
        <f t="shared" si="23"/>
        <v>0</v>
      </c>
      <c r="AK14" s="62">
        <f t="shared" si="23"/>
        <v>0</v>
      </c>
      <c r="AL14" s="61">
        <f t="shared" si="23"/>
        <v>0</v>
      </c>
      <c r="AM14" s="62">
        <f t="shared" si="23"/>
        <v>0</v>
      </c>
      <c r="AN14" s="62">
        <f t="shared" si="23"/>
        <v>0</v>
      </c>
      <c r="AO14" s="62">
        <f t="shared" si="23"/>
        <v>0</v>
      </c>
      <c r="AP14" s="62">
        <f t="shared" si="23"/>
        <v>0</v>
      </c>
      <c r="AQ14" s="62">
        <f t="shared" si="23"/>
        <v>0</v>
      </c>
      <c r="AR14" s="62">
        <f t="shared" si="23"/>
        <v>0</v>
      </c>
      <c r="AS14" s="62">
        <f t="shared" si="23"/>
        <v>0</v>
      </c>
      <c r="AT14" s="62">
        <f t="shared" si="23"/>
        <v>0</v>
      </c>
      <c r="AU14" s="62">
        <f t="shared" si="23"/>
        <v>0</v>
      </c>
      <c r="AV14" s="61">
        <f t="shared" si="23"/>
        <v>0</v>
      </c>
      <c r="AW14" s="62">
        <f t="shared" si="23"/>
        <v>0</v>
      </c>
      <c r="AX14" s="62">
        <f t="shared" si="23"/>
        <v>0</v>
      </c>
      <c r="AY14" s="62">
        <f t="shared" si="23"/>
        <v>0</v>
      </c>
      <c r="AZ14" s="62">
        <f t="shared" si="23"/>
        <v>0</v>
      </c>
      <c r="BA14" s="62">
        <f t="shared" si="23"/>
        <v>0</v>
      </c>
      <c r="BB14" s="62">
        <f t="shared" si="23"/>
        <v>0</v>
      </c>
      <c r="BC14" s="62">
        <f t="shared" si="23"/>
        <v>0</v>
      </c>
      <c r="BD14" s="62">
        <f t="shared" si="23"/>
        <v>0</v>
      </c>
      <c r="BE14" s="62">
        <f t="shared" si="23"/>
        <v>0</v>
      </c>
      <c r="BF14" s="61">
        <f t="shared" si="23"/>
        <v>4.166666667</v>
      </c>
      <c r="BG14" s="62">
        <f t="shared" si="23"/>
        <v>0</v>
      </c>
      <c r="BH14" s="62">
        <f t="shared" si="23"/>
        <v>1.041666667</v>
      </c>
      <c r="BI14" s="62">
        <f t="shared" si="23"/>
        <v>0</v>
      </c>
      <c r="BJ14" s="62">
        <f t="shared" si="23"/>
        <v>1.041666667</v>
      </c>
      <c r="BK14" s="62">
        <f t="shared" si="23"/>
        <v>0</v>
      </c>
      <c r="BL14" s="62">
        <f t="shared" si="23"/>
        <v>1.041666667</v>
      </c>
      <c r="BM14" s="62">
        <f t="shared" si="23"/>
        <v>0</v>
      </c>
      <c r="BN14" s="62">
        <f t="shared" si="23"/>
        <v>1.041666667</v>
      </c>
      <c r="BO14" s="62">
        <f t="shared" si="23"/>
        <v>0</v>
      </c>
      <c r="BP14" s="61">
        <f t="shared" si="23"/>
        <v>0</v>
      </c>
      <c r="BQ14" s="62">
        <f t="shared" si="23"/>
        <v>0</v>
      </c>
      <c r="BR14" s="62">
        <f t="shared" si="23"/>
        <v>0</v>
      </c>
      <c r="BS14" s="62">
        <f t="shared" si="23"/>
        <v>0</v>
      </c>
      <c r="BT14" s="62">
        <f t="shared" si="23"/>
        <v>0</v>
      </c>
      <c r="BU14" s="62">
        <f t="shared" si="23"/>
        <v>0</v>
      </c>
      <c r="BV14" s="62">
        <f t="shared" si="23"/>
        <v>0</v>
      </c>
      <c r="BW14" s="62">
        <f t="shared" si="23"/>
        <v>0</v>
      </c>
      <c r="BX14" s="62">
        <f t="shared" si="23"/>
        <v>0</v>
      </c>
      <c r="BY14" s="62">
        <f t="shared" si="23"/>
        <v>0</v>
      </c>
      <c r="BZ14" s="61">
        <f t="shared" si="23"/>
        <v>0</v>
      </c>
      <c r="CA14" s="62">
        <f t="shared" si="23"/>
        <v>0</v>
      </c>
      <c r="CB14" s="62">
        <f t="shared" si="23"/>
        <v>0</v>
      </c>
      <c r="CC14" s="62">
        <f t="shared" si="23"/>
        <v>0</v>
      </c>
      <c r="CD14" s="62">
        <f t="shared" si="23"/>
        <v>0</v>
      </c>
      <c r="CE14" s="62">
        <f t="shared" si="23"/>
        <v>0</v>
      </c>
      <c r="CF14" s="62">
        <f t="shared" si="23"/>
        <v>0</v>
      </c>
      <c r="CG14" s="62">
        <f t="shared" si="23"/>
        <v>0</v>
      </c>
      <c r="CH14" s="62">
        <f t="shared" si="23"/>
        <v>0</v>
      </c>
      <c r="CI14" s="62">
        <f t="shared" si="23"/>
        <v>0</v>
      </c>
      <c r="CJ14" s="61">
        <f t="shared" si="23"/>
        <v>0</v>
      </c>
      <c r="CK14" s="62">
        <f t="shared" si="23"/>
        <v>0</v>
      </c>
      <c r="CL14" s="62">
        <f t="shared" si="23"/>
        <v>0</v>
      </c>
      <c r="CM14" s="62">
        <f t="shared" si="23"/>
        <v>0</v>
      </c>
      <c r="CN14" s="62">
        <f t="shared" si="23"/>
        <v>0</v>
      </c>
      <c r="CO14" s="62">
        <f t="shared" si="23"/>
        <v>0</v>
      </c>
      <c r="CP14" s="62">
        <f t="shared" si="23"/>
        <v>0</v>
      </c>
      <c r="CQ14" s="62">
        <f t="shared" si="23"/>
        <v>0</v>
      </c>
      <c r="CR14" s="62">
        <f t="shared" si="23"/>
        <v>0</v>
      </c>
      <c r="CS14" s="62">
        <f t="shared" si="23"/>
        <v>0</v>
      </c>
      <c r="CT14" s="61">
        <f t="shared" si="23"/>
        <v>0</v>
      </c>
      <c r="CU14" s="62">
        <f t="shared" si="23"/>
        <v>0</v>
      </c>
      <c r="CV14" s="62">
        <f t="shared" si="23"/>
        <v>0</v>
      </c>
      <c r="CW14" s="62">
        <f t="shared" si="23"/>
        <v>0</v>
      </c>
      <c r="CX14" s="62">
        <f t="shared" si="23"/>
        <v>0</v>
      </c>
      <c r="CY14" s="62">
        <f t="shared" si="23"/>
        <v>0</v>
      </c>
      <c r="CZ14" s="62">
        <f t="shared" si="23"/>
        <v>0</v>
      </c>
      <c r="DA14" s="62">
        <f t="shared" si="23"/>
        <v>0</v>
      </c>
      <c r="DB14" s="62">
        <f t="shared" si="23"/>
        <v>0</v>
      </c>
      <c r="DC14" s="62">
        <f t="shared" si="23"/>
        <v>0</v>
      </c>
      <c r="DD14" s="61">
        <f t="shared" si="23"/>
        <v>0</v>
      </c>
      <c r="DE14" s="62">
        <f t="shared" si="23"/>
        <v>0</v>
      </c>
      <c r="DF14" s="62">
        <f t="shared" si="23"/>
        <v>0</v>
      </c>
      <c r="DG14" s="62">
        <f t="shared" si="23"/>
        <v>0</v>
      </c>
      <c r="DH14" s="62">
        <f t="shared" si="23"/>
        <v>0</v>
      </c>
      <c r="DI14" s="62">
        <f t="shared" si="23"/>
        <v>0</v>
      </c>
      <c r="DJ14" s="62">
        <f t="shared" si="23"/>
        <v>0</v>
      </c>
      <c r="DK14" s="62">
        <f t="shared" si="23"/>
        <v>0</v>
      </c>
      <c r="DL14" s="62">
        <f t="shared" si="23"/>
        <v>0</v>
      </c>
      <c r="DM14" s="62">
        <f t="shared" si="23"/>
        <v>0</v>
      </c>
      <c r="DN14" s="61">
        <f t="shared" si="23"/>
        <v>0</v>
      </c>
      <c r="DO14" s="62">
        <f t="shared" si="23"/>
        <v>0</v>
      </c>
      <c r="DP14" s="62">
        <f t="shared" si="23"/>
        <v>0</v>
      </c>
      <c r="DQ14" s="62">
        <f t="shared" si="23"/>
        <v>0</v>
      </c>
      <c r="DR14" s="62">
        <f t="shared" si="23"/>
        <v>0</v>
      </c>
      <c r="DS14" s="62">
        <f t="shared" si="23"/>
        <v>0</v>
      </c>
      <c r="DT14" s="62">
        <f t="shared" si="23"/>
        <v>0</v>
      </c>
      <c r="DU14" s="62">
        <f t="shared" si="23"/>
        <v>0</v>
      </c>
      <c r="DV14" s="62">
        <f t="shared" si="23"/>
        <v>0</v>
      </c>
    </row>
    <row r="15" ht="15.75" customHeight="1">
      <c r="A15" s="35"/>
      <c r="B15" s="63"/>
      <c r="C15" s="70" t="s">
        <v>105</v>
      </c>
      <c r="D15" s="61" t="str">
        <f t="shared" ref="D15:G15" si="24">D16/D14</f>
        <v>#DIV/0!</v>
      </c>
      <c r="E15" s="61">
        <f t="shared" si="24"/>
        <v>0.4</v>
      </c>
      <c r="F15" s="61" t="str">
        <f t="shared" si="24"/>
        <v>#DIV/0!</v>
      </c>
      <c r="G15" s="61" t="str">
        <f t="shared" si="24"/>
        <v>#DIV/0!</v>
      </c>
      <c r="H15" s="61" t="s">
        <v>97</v>
      </c>
      <c r="I15" s="61" t="str">
        <f t="shared" ref="I15:DV15" si="25">I16/I14</f>
        <v>#DIV/0!</v>
      </c>
      <c r="J15" s="61" t="str">
        <f t="shared" si="25"/>
        <v>#DIV/0!</v>
      </c>
      <c r="K15" s="61" t="str">
        <f t="shared" si="25"/>
        <v>#DIV/0!</v>
      </c>
      <c r="L15" s="61" t="str">
        <f t="shared" si="25"/>
        <v>#DIV/0!</v>
      </c>
      <c r="M15" s="61" t="str">
        <f t="shared" si="25"/>
        <v>#DIV/0!</v>
      </c>
      <c r="N15" s="61" t="str">
        <f t="shared" si="25"/>
        <v>#DIV/0!</v>
      </c>
      <c r="O15" s="61" t="str">
        <f t="shared" si="25"/>
        <v>#DIV/0!</v>
      </c>
      <c r="P15" s="61" t="str">
        <f t="shared" si="25"/>
        <v>#DIV/0!</v>
      </c>
      <c r="Q15" s="68" t="str">
        <f t="shared" si="25"/>
        <v>#DIV/0!</v>
      </c>
      <c r="R15" s="68" t="str">
        <f t="shared" si="25"/>
        <v>#DIV/0!</v>
      </c>
      <c r="S15" s="69" t="str">
        <f t="shared" si="25"/>
        <v>#DIV/0!</v>
      </c>
      <c r="T15" s="69" t="str">
        <f t="shared" si="25"/>
        <v>#DIV/0!</v>
      </c>
      <c r="U15" s="69" t="str">
        <f t="shared" si="25"/>
        <v>#DIV/0!</v>
      </c>
      <c r="V15" s="69" t="str">
        <f t="shared" si="25"/>
        <v>#DIV/0!</v>
      </c>
      <c r="W15" s="69" t="str">
        <f t="shared" si="25"/>
        <v>#DIV/0!</v>
      </c>
      <c r="X15" s="69" t="str">
        <f t="shared" si="25"/>
        <v>#DIV/0!</v>
      </c>
      <c r="Y15" s="69" t="str">
        <f t="shared" si="25"/>
        <v>#DIV/0!</v>
      </c>
      <c r="Z15" s="69" t="str">
        <f t="shared" si="25"/>
        <v>#DIV/0!</v>
      </c>
      <c r="AA15" s="68" t="str">
        <f t="shared" si="25"/>
        <v>#DIV/0!</v>
      </c>
      <c r="AB15" s="68" t="str">
        <f t="shared" si="25"/>
        <v>#DIV/0!</v>
      </c>
      <c r="AC15" s="69" t="str">
        <f t="shared" si="25"/>
        <v>#DIV/0!</v>
      </c>
      <c r="AD15" s="69" t="str">
        <f t="shared" si="25"/>
        <v>#DIV/0!</v>
      </c>
      <c r="AE15" s="69" t="str">
        <f t="shared" si="25"/>
        <v>#DIV/0!</v>
      </c>
      <c r="AF15" s="69" t="str">
        <f t="shared" si="25"/>
        <v>#DIV/0!</v>
      </c>
      <c r="AG15" s="69" t="str">
        <f t="shared" si="25"/>
        <v>#DIV/0!</v>
      </c>
      <c r="AH15" s="69" t="str">
        <f t="shared" si="25"/>
        <v>#DIV/0!</v>
      </c>
      <c r="AI15" s="69" t="str">
        <f t="shared" si="25"/>
        <v>#DIV/0!</v>
      </c>
      <c r="AJ15" s="69" t="str">
        <f t="shared" si="25"/>
        <v>#DIV/0!</v>
      </c>
      <c r="AK15" s="68" t="str">
        <f t="shared" si="25"/>
        <v>#DIV/0!</v>
      </c>
      <c r="AL15" s="68" t="str">
        <f t="shared" si="25"/>
        <v>#DIV/0!</v>
      </c>
      <c r="AM15" s="69" t="str">
        <f t="shared" si="25"/>
        <v>#DIV/0!</v>
      </c>
      <c r="AN15" s="69" t="str">
        <f t="shared" si="25"/>
        <v>#DIV/0!</v>
      </c>
      <c r="AO15" s="69" t="str">
        <f t="shared" si="25"/>
        <v>#DIV/0!</v>
      </c>
      <c r="AP15" s="69" t="str">
        <f t="shared" si="25"/>
        <v>#DIV/0!</v>
      </c>
      <c r="AQ15" s="69" t="str">
        <f t="shared" si="25"/>
        <v>#DIV/0!</v>
      </c>
      <c r="AR15" s="69" t="str">
        <f t="shared" si="25"/>
        <v>#DIV/0!</v>
      </c>
      <c r="AS15" s="69" t="str">
        <f t="shared" si="25"/>
        <v>#DIV/0!</v>
      </c>
      <c r="AT15" s="69" t="str">
        <f t="shared" si="25"/>
        <v>#DIV/0!</v>
      </c>
      <c r="AU15" s="68" t="str">
        <f t="shared" si="25"/>
        <v>#DIV/0!</v>
      </c>
      <c r="AV15" s="68" t="str">
        <f t="shared" si="25"/>
        <v>#DIV/0!</v>
      </c>
      <c r="AW15" s="69" t="str">
        <f t="shared" si="25"/>
        <v>#DIV/0!</v>
      </c>
      <c r="AX15" s="69" t="str">
        <f t="shared" si="25"/>
        <v>#DIV/0!</v>
      </c>
      <c r="AY15" s="69" t="str">
        <f t="shared" si="25"/>
        <v>#DIV/0!</v>
      </c>
      <c r="AZ15" s="69" t="str">
        <f t="shared" si="25"/>
        <v>#DIV/0!</v>
      </c>
      <c r="BA15" s="69" t="str">
        <f t="shared" si="25"/>
        <v>#DIV/0!</v>
      </c>
      <c r="BB15" s="69" t="str">
        <f t="shared" si="25"/>
        <v>#DIV/0!</v>
      </c>
      <c r="BC15" s="69" t="str">
        <f t="shared" si="25"/>
        <v>#DIV/0!</v>
      </c>
      <c r="BD15" s="69" t="str">
        <f t="shared" si="25"/>
        <v>#DIV/0!</v>
      </c>
      <c r="BE15" s="68" t="str">
        <f t="shared" si="25"/>
        <v>#DIV/0!</v>
      </c>
      <c r="BF15" s="68">
        <f t="shared" si="25"/>
        <v>0.4</v>
      </c>
      <c r="BG15" s="69" t="str">
        <f t="shared" si="25"/>
        <v>#DIV/0!</v>
      </c>
      <c r="BH15" s="69">
        <f t="shared" si="25"/>
        <v>0.4</v>
      </c>
      <c r="BI15" s="69" t="str">
        <f t="shared" si="25"/>
        <v>#DIV/0!</v>
      </c>
      <c r="BJ15" s="69">
        <f t="shared" si="25"/>
        <v>0.4</v>
      </c>
      <c r="BK15" s="69" t="str">
        <f t="shared" si="25"/>
        <v>#DIV/0!</v>
      </c>
      <c r="BL15" s="69">
        <f t="shared" si="25"/>
        <v>0.4</v>
      </c>
      <c r="BM15" s="69" t="str">
        <f t="shared" si="25"/>
        <v>#DIV/0!</v>
      </c>
      <c r="BN15" s="69">
        <f t="shared" si="25"/>
        <v>0.4</v>
      </c>
      <c r="BO15" s="68" t="str">
        <f t="shared" si="25"/>
        <v>#DIV/0!</v>
      </c>
      <c r="BP15" s="68" t="str">
        <f t="shared" si="25"/>
        <v>#DIV/0!</v>
      </c>
      <c r="BQ15" s="69" t="str">
        <f t="shared" si="25"/>
        <v>#DIV/0!</v>
      </c>
      <c r="BR15" s="69" t="str">
        <f t="shared" si="25"/>
        <v>#DIV/0!</v>
      </c>
      <c r="BS15" s="69" t="str">
        <f t="shared" si="25"/>
        <v>#DIV/0!</v>
      </c>
      <c r="BT15" s="69" t="str">
        <f t="shared" si="25"/>
        <v>#DIV/0!</v>
      </c>
      <c r="BU15" s="69" t="str">
        <f t="shared" si="25"/>
        <v>#DIV/0!</v>
      </c>
      <c r="BV15" s="69" t="str">
        <f t="shared" si="25"/>
        <v>#DIV/0!</v>
      </c>
      <c r="BW15" s="69" t="str">
        <f t="shared" si="25"/>
        <v>#DIV/0!</v>
      </c>
      <c r="BX15" s="69" t="str">
        <f t="shared" si="25"/>
        <v>#DIV/0!</v>
      </c>
      <c r="BY15" s="68" t="str">
        <f t="shared" si="25"/>
        <v>#DIV/0!</v>
      </c>
      <c r="BZ15" s="68" t="str">
        <f t="shared" si="25"/>
        <v>#DIV/0!</v>
      </c>
      <c r="CA15" s="69" t="str">
        <f t="shared" si="25"/>
        <v>#DIV/0!</v>
      </c>
      <c r="CB15" s="69" t="str">
        <f t="shared" si="25"/>
        <v>#DIV/0!</v>
      </c>
      <c r="CC15" s="69" t="str">
        <f t="shared" si="25"/>
        <v>#DIV/0!</v>
      </c>
      <c r="CD15" s="69" t="str">
        <f t="shared" si="25"/>
        <v>#DIV/0!</v>
      </c>
      <c r="CE15" s="69" t="str">
        <f t="shared" si="25"/>
        <v>#DIV/0!</v>
      </c>
      <c r="CF15" s="69" t="str">
        <f t="shared" si="25"/>
        <v>#DIV/0!</v>
      </c>
      <c r="CG15" s="69" t="str">
        <f t="shared" si="25"/>
        <v>#DIV/0!</v>
      </c>
      <c r="CH15" s="69" t="str">
        <f t="shared" si="25"/>
        <v>#DIV/0!</v>
      </c>
      <c r="CI15" s="68" t="str">
        <f t="shared" si="25"/>
        <v>#DIV/0!</v>
      </c>
      <c r="CJ15" s="68" t="str">
        <f t="shared" si="25"/>
        <v>#DIV/0!</v>
      </c>
      <c r="CK15" s="69" t="str">
        <f t="shared" si="25"/>
        <v>#DIV/0!</v>
      </c>
      <c r="CL15" s="69" t="str">
        <f t="shared" si="25"/>
        <v>#DIV/0!</v>
      </c>
      <c r="CM15" s="69" t="str">
        <f t="shared" si="25"/>
        <v>#DIV/0!</v>
      </c>
      <c r="CN15" s="69" t="str">
        <f t="shared" si="25"/>
        <v>#DIV/0!</v>
      </c>
      <c r="CO15" s="69" t="str">
        <f t="shared" si="25"/>
        <v>#DIV/0!</v>
      </c>
      <c r="CP15" s="69" t="str">
        <f t="shared" si="25"/>
        <v>#DIV/0!</v>
      </c>
      <c r="CQ15" s="69" t="str">
        <f t="shared" si="25"/>
        <v>#DIV/0!</v>
      </c>
      <c r="CR15" s="69" t="str">
        <f t="shared" si="25"/>
        <v>#DIV/0!</v>
      </c>
      <c r="CS15" s="68" t="str">
        <f t="shared" si="25"/>
        <v>#DIV/0!</v>
      </c>
      <c r="CT15" s="68" t="str">
        <f t="shared" si="25"/>
        <v>#DIV/0!</v>
      </c>
      <c r="CU15" s="69" t="str">
        <f t="shared" si="25"/>
        <v>#DIV/0!</v>
      </c>
      <c r="CV15" s="69" t="str">
        <f t="shared" si="25"/>
        <v>#DIV/0!</v>
      </c>
      <c r="CW15" s="69" t="str">
        <f t="shared" si="25"/>
        <v>#DIV/0!</v>
      </c>
      <c r="CX15" s="69" t="str">
        <f t="shared" si="25"/>
        <v>#DIV/0!</v>
      </c>
      <c r="CY15" s="69" t="str">
        <f t="shared" si="25"/>
        <v>#DIV/0!</v>
      </c>
      <c r="CZ15" s="69" t="str">
        <f t="shared" si="25"/>
        <v>#DIV/0!</v>
      </c>
      <c r="DA15" s="69" t="str">
        <f t="shared" si="25"/>
        <v>#DIV/0!</v>
      </c>
      <c r="DB15" s="69" t="str">
        <f t="shared" si="25"/>
        <v>#DIV/0!</v>
      </c>
      <c r="DC15" s="68" t="str">
        <f t="shared" si="25"/>
        <v>#DIV/0!</v>
      </c>
      <c r="DD15" s="68" t="str">
        <f t="shared" si="25"/>
        <v>#DIV/0!</v>
      </c>
      <c r="DE15" s="69" t="str">
        <f t="shared" si="25"/>
        <v>#DIV/0!</v>
      </c>
      <c r="DF15" s="69" t="str">
        <f t="shared" si="25"/>
        <v>#DIV/0!</v>
      </c>
      <c r="DG15" s="69" t="str">
        <f t="shared" si="25"/>
        <v>#DIV/0!</v>
      </c>
      <c r="DH15" s="69" t="str">
        <f t="shared" si="25"/>
        <v>#DIV/0!</v>
      </c>
      <c r="DI15" s="69" t="str">
        <f t="shared" si="25"/>
        <v>#DIV/0!</v>
      </c>
      <c r="DJ15" s="69" t="str">
        <f t="shared" si="25"/>
        <v>#DIV/0!</v>
      </c>
      <c r="DK15" s="69" t="str">
        <f t="shared" si="25"/>
        <v>#DIV/0!</v>
      </c>
      <c r="DL15" s="69" t="str">
        <f t="shared" si="25"/>
        <v>#DIV/0!</v>
      </c>
      <c r="DM15" s="68" t="str">
        <f t="shared" si="25"/>
        <v>#DIV/0!</v>
      </c>
      <c r="DN15" s="68" t="str">
        <f t="shared" si="25"/>
        <v>#DIV/0!</v>
      </c>
      <c r="DO15" s="69" t="str">
        <f t="shared" si="25"/>
        <v>#DIV/0!</v>
      </c>
      <c r="DP15" s="69" t="str">
        <f t="shared" si="25"/>
        <v>#DIV/0!</v>
      </c>
      <c r="DQ15" s="69" t="str">
        <f t="shared" si="25"/>
        <v>#DIV/0!</v>
      </c>
      <c r="DR15" s="69" t="str">
        <f t="shared" si="25"/>
        <v>#DIV/0!</v>
      </c>
      <c r="DS15" s="69" t="str">
        <f t="shared" si="25"/>
        <v>#DIV/0!</v>
      </c>
      <c r="DT15" s="69" t="str">
        <f t="shared" si="25"/>
        <v>#DIV/0!</v>
      </c>
      <c r="DU15" s="69" t="str">
        <f t="shared" si="25"/>
        <v>#DIV/0!</v>
      </c>
      <c r="DV15" s="69" t="str">
        <f t="shared" si="25"/>
        <v>#DIV/0!</v>
      </c>
    </row>
    <row r="16" ht="15.75" customHeight="1">
      <c r="A16" s="35"/>
      <c r="B16" s="63"/>
      <c r="C16" s="70" t="s">
        <v>106</v>
      </c>
      <c r="D16" s="68">
        <f t="shared" ref="D16:E16" si="26">SUM(F16+Q16+AA16+AK16+AU16+BE16+BO16+BY16+CI16+CS16+DC16+DM16)</f>
        <v>0</v>
      </c>
      <c r="E16" s="61">
        <f t="shared" si="26"/>
        <v>1.666666667</v>
      </c>
      <c r="F16" s="61">
        <f t="shared" ref="F16:G16" si="27">SUM(F30+F44+F58+F72)</f>
        <v>0</v>
      </c>
      <c r="G16" s="61">
        <f t="shared" si="27"/>
        <v>0</v>
      </c>
      <c r="H16" s="61" t="str">
        <f t="shared" ref="H16:H18" si="31">G16/F16</f>
        <v>#DIV/0!</v>
      </c>
      <c r="I16" s="61">
        <f t="shared" ref="I16:DV16" si="28">SUM(I30+I44+I58+I72)</f>
        <v>0</v>
      </c>
      <c r="J16" s="62">
        <f t="shared" si="28"/>
        <v>0</v>
      </c>
      <c r="K16" s="61">
        <f t="shared" si="28"/>
        <v>0</v>
      </c>
      <c r="L16" s="62">
        <f t="shared" si="28"/>
        <v>0</v>
      </c>
      <c r="M16" s="61">
        <f t="shared" si="28"/>
        <v>0</v>
      </c>
      <c r="N16" s="62">
        <f t="shared" si="28"/>
        <v>0</v>
      </c>
      <c r="O16" s="61">
        <f t="shared" si="28"/>
        <v>0</v>
      </c>
      <c r="P16" s="62">
        <f t="shared" si="28"/>
        <v>0</v>
      </c>
      <c r="Q16" s="68">
        <f t="shared" si="28"/>
        <v>0</v>
      </c>
      <c r="R16" s="61">
        <f t="shared" si="28"/>
        <v>0</v>
      </c>
      <c r="S16" s="68">
        <f t="shared" si="28"/>
        <v>0</v>
      </c>
      <c r="T16" s="62">
        <f t="shared" si="28"/>
        <v>0</v>
      </c>
      <c r="U16" s="68">
        <f t="shared" si="28"/>
        <v>0</v>
      </c>
      <c r="V16" s="62">
        <f t="shared" si="28"/>
        <v>0</v>
      </c>
      <c r="W16" s="68">
        <f t="shared" si="28"/>
        <v>0</v>
      </c>
      <c r="X16" s="62">
        <f t="shared" si="28"/>
        <v>0</v>
      </c>
      <c r="Y16" s="68">
        <f t="shared" si="28"/>
        <v>0</v>
      </c>
      <c r="Z16" s="62">
        <f t="shared" si="28"/>
        <v>0</v>
      </c>
      <c r="AA16" s="62">
        <f t="shared" si="28"/>
        <v>0</v>
      </c>
      <c r="AB16" s="61">
        <f t="shared" si="28"/>
        <v>0</v>
      </c>
      <c r="AC16" s="62">
        <f t="shared" si="28"/>
        <v>0</v>
      </c>
      <c r="AD16" s="62">
        <f t="shared" si="28"/>
        <v>0</v>
      </c>
      <c r="AE16" s="62">
        <f t="shared" si="28"/>
        <v>0</v>
      </c>
      <c r="AF16" s="62">
        <f t="shared" si="28"/>
        <v>0</v>
      </c>
      <c r="AG16" s="62">
        <f t="shared" si="28"/>
        <v>0</v>
      </c>
      <c r="AH16" s="62">
        <f t="shared" si="28"/>
        <v>0</v>
      </c>
      <c r="AI16" s="62">
        <f t="shared" si="28"/>
        <v>0</v>
      </c>
      <c r="AJ16" s="62">
        <f t="shared" si="28"/>
        <v>0</v>
      </c>
      <c r="AK16" s="62">
        <f t="shared" si="28"/>
        <v>0</v>
      </c>
      <c r="AL16" s="61">
        <f t="shared" si="28"/>
        <v>0</v>
      </c>
      <c r="AM16" s="62">
        <f t="shared" si="28"/>
        <v>0</v>
      </c>
      <c r="AN16" s="62">
        <f t="shared" si="28"/>
        <v>0</v>
      </c>
      <c r="AO16" s="62">
        <f t="shared" si="28"/>
        <v>0</v>
      </c>
      <c r="AP16" s="62">
        <f t="shared" si="28"/>
        <v>0</v>
      </c>
      <c r="AQ16" s="62">
        <f t="shared" si="28"/>
        <v>0</v>
      </c>
      <c r="AR16" s="62">
        <f t="shared" si="28"/>
        <v>0</v>
      </c>
      <c r="AS16" s="62">
        <f t="shared" si="28"/>
        <v>0</v>
      </c>
      <c r="AT16" s="62">
        <f t="shared" si="28"/>
        <v>0</v>
      </c>
      <c r="AU16" s="62">
        <f t="shared" si="28"/>
        <v>0</v>
      </c>
      <c r="AV16" s="61">
        <f t="shared" si="28"/>
        <v>0</v>
      </c>
      <c r="AW16" s="62">
        <f t="shared" si="28"/>
        <v>0</v>
      </c>
      <c r="AX16" s="62">
        <f t="shared" si="28"/>
        <v>0</v>
      </c>
      <c r="AY16" s="62">
        <f t="shared" si="28"/>
        <v>0</v>
      </c>
      <c r="AZ16" s="62">
        <f t="shared" si="28"/>
        <v>0</v>
      </c>
      <c r="BA16" s="62">
        <f t="shared" si="28"/>
        <v>0</v>
      </c>
      <c r="BB16" s="62">
        <f t="shared" si="28"/>
        <v>0</v>
      </c>
      <c r="BC16" s="62">
        <f t="shared" si="28"/>
        <v>0</v>
      </c>
      <c r="BD16" s="62">
        <f t="shared" si="28"/>
        <v>0</v>
      </c>
      <c r="BE16" s="62">
        <f t="shared" si="28"/>
        <v>0</v>
      </c>
      <c r="BF16" s="61">
        <f t="shared" si="28"/>
        <v>1.666666667</v>
      </c>
      <c r="BG16" s="62">
        <f t="shared" si="28"/>
        <v>0</v>
      </c>
      <c r="BH16" s="62">
        <f t="shared" si="28"/>
        <v>0.4166666667</v>
      </c>
      <c r="BI16" s="62">
        <f t="shared" si="28"/>
        <v>0</v>
      </c>
      <c r="BJ16" s="62">
        <f t="shared" si="28"/>
        <v>0.4166666667</v>
      </c>
      <c r="BK16" s="62">
        <f t="shared" si="28"/>
        <v>0</v>
      </c>
      <c r="BL16" s="62">
        <f t="shared" si="28"/>
        <v>0.4166666667</v>
      </c>
      <c r="BM16" s="62">
        <f t="shared" si="28"/>
        <v>0</v>
      </c>
      <c r="BN16" s="62">
        <f t="shared" si="28"/>
        <v>0.4166666667</v>
      </c>
      <c r="BO16" s="62">
        <f t="shared" si="28"/>
        <v>0</v>
      </c>
      <c r="BP16" s="61">
        <f t="shared" si="28"/>
        <v>0</v>
      </c>
      <c r="BQ16" s="62">
        <f t="shared" si="28"/>
        <v>0</v>
      </c>
      <c r="BR16" s="62">
        <f t="shared" si="28"/>
        <v>0</v>
      </c>
      <c r="BS16" s="62">
        <f t="shared" si="28"/>
        <v>0</v>
      </c>
      <c r="BT16" s="62">
        <f t="shared" si="28"/>
        <v>0</v>
      </c>
      <c r="BU16" s="62">
        <f t="shared" si="28"/>
        <v>0</v>
      </c>
      <c r="BV16" s="62">
        <f t="shared" si="28"/>
        <v>0</v>
      </c>
      <c r="BW16" s="62">
        <f t="shared" si="28"/>
        <v>0</v>
      </c>
      <c r="BX16" s="62">
        <f t="shared" si="28"/>
        <v>0</v>
      </c>
      <c r="BY16" s="62">
        <f t="shared" si="28"/>
        <v>0</v>
      </c>
      <c r="BZ16" s="61">
        <f t="shared" si="28"/>
        <v>0</v>
      </c>
      <c r="CA16" s="62">
        <f t="shared" si="28"/>
        <v>0</v>
      </c>
      <c r="CB16" s="62">
        <f t="shared" si="28"/>
        <v>0</v>
      </c>
      <c r="CC16" s="62">
        <f t="shared" si="28"/>
        <v>0</v>
      </c>
      <c r="CD16" s="62">
        <f t="shared" si="28"/>
        <v>0</v>
      </c>
      <c r="CE16" s="62">
        <f t="shared" si="28"/>
        <v>0</v>
      </c>
      <c r="CF16" s="62">
        <f t="shared" si="28"/>
        <v>0</v>
      </c>
      <c r="CG16" s="62">
        <f t="shared" si="28"/>
        <v>0</v>
      </c>
      <c r="CH16" s="62">
        <f t="shared" si="28"/>
        <v>0</v>
      </c>
      <c r="CI16" s="62">
        <f t="shared" si="28"/>
        <v>0</v>
      </c>
      <c r="CJ16" s="61">
        <f t="shared" si="28"/>
        <v>0</v>
      </c>
      <c r="CK16" s="62">
        <f t="shared" si="28"/>
        <v>0</v>
      </c>
      <c r="CL16" s="62">
        <f t="shared" si="28"/>
        <v>0</v>
      </c>
      <c r="CM16" s="62">
        <f t="shared" si="28"/>
        <v>0</v>
      </c>
      <c r="CN16" s="62">
        <f t="shared" si="28"/>
        <v>0</v>
      </c>
      <c r="CO16" s="62">
        <f t="shared" si="28"/>
        <v>0</v>
      </c>
      <c r="CP16" s="62">
        <f t="shared" si="28"/>
        <v>0</v>
      </c>
      <c r="CQ16" s="62">
        <f t="shared" si="28"/>
        <v>0</v>
      </c>
      <c r="CR16" s="62">
        <f t="shared" si="28"/>
        <v>0</v>
      </c>
      <c r="CS16" s="62">
        <f t="shared" si="28"/>
        <v>0</v>
      </c>
      <c r="CT16" s="61">
        <f t="shared" si="28"/>
        <v>0</v>
      </c>
      <c r="CU16" s="62">
        <f t="shared" si="28"/>
        <v>0</v>
      </c>
      <c r="CV16" s="62">
        <f t="shared" si="28"/>
        <v>0</v>
      </c>
      <c r="CW16" s="62">
        <f t="shared" si="28"/>
        <v>0</v>
      </c>
      <c r="CX16" s="62">
        <f t="shared" si="28"/>
        <v>0</v>
      </c>
      <c r="CY16" s="62">
        <f t="shared" si="28"/>
        <v>0</v>
      </c>
      <c r="CZ16" s="62">
        <f t="shared" si="28"/>
        <v>0</v>
      </c>
      <c r="DA16" s="62">
        <f t="shared" si="28"/>
        <v>0</v>
      </c>
      <c r="DB16" s="62">
        <f t="shared" si="28"/>
        <v>0</v>
      </c>
      <c r="DC16" s="62">
        <f t="shared" si="28"/>
        <v>0</v>
      </c>
      <c r="DD16" s="61">
        <f t="shared" si="28"/>
        <v>0</v>
      </c>
      <c r="DE16" s="62">
        <f t="shared" si="28"/>
        <v>0</v>
      </c>
      <c r="DF16" s="62">
        <f t="shared" si="28"/>
        <v>0</v>
      </c>
      <c r="DG16" s="62">
        <f t="shared" si="28"/>
        <v>0</v>
      </c>
      <c r="DH16" s="62">
        <f t="shared" si="28"/>
        <v>0</v>
      </c>
      <c r="DI16" s="62">
        <f t="shared" si="28"/>
        <v>0</v>
      </c>
      <c r="DJ16" s="62">
        <f t="shared" si="28"/>
        <v>0</v>
      </c>
      <c r="DK16" s="62">
        <f t="shared" si="28"/>
        <v>0</v>
      </c>
      <c r="DL16" s="62">
        <f t="shared" si="28"/>
        <v>0</v>
      </c>
      <c r="DM16" s="62">
        <f t="shared" si="28"/>
        <v>0</v>
      </c>
      <c r="DN16" s="61">
        <f t="shared" si="28"/>
        <v>0</v>
      </c>
      <c r="DO16" s="62">
        <f t="shared" si="28"/>
        <v>0</v>
      </c>
      <c r="DP16" s="62">
        <f t="shared" si="28"/>
        <v>0</v>
      </c>
      <c r="DQ16" s="62">
        <f t="shared" si="28"/>
        <v>0</v>
      </c>
      <c r="DR16" s="62">
        <f t="shared" si="28"/>
        <v>0</v>
      </c>
      <c r="DS16" s="62">
        <f t="shared" si="28"/>
        <v>0</v>
      </c>
      <c r="DT16" s="62">
        <f t="shared" si="28"/>
        <v>0</v>
      </c>
      <c r="DU16" s="62">
        <f t="shared" si="28"/>
        <v>0</v>
      </c>
      <c r="DV16" s="62">
        <f t="shared" si="28"/>
        <v>0</v>
      </c>
    </row>
    <row r="17" ht="15.75" customHeight="1">
      <c r="A17" s="71"/>
      <c r="B17" s="63"/>
      <c r="C17" s="72" t="s">
        <v>107</v>
      </c>
      <c r="D17" s="73">
        <f t="shared" ref="D17:E17" si="29">SUM(F17+Q17+AA17+AK17+AU17+BE17+BO17+BY17+CI17+CS17+DC17+DM17)</f>
        <v>0</v>
      </c>
      <c r="E17" s="73">
        <f t="shared" si="29"/>
        <v>4166.666667</v>
      </c>
      <c r="F17" s="73">
        <f t="shared" ref="F17:G17" si="30">SUM(F31+F45+F59+F73)</f>
        <v>0</v>
      </c>
      <c r="G17" s="61">
        <f t="shared" si="30"/>
        <v>0</v>
      </c>
      <c r="H17" s="61" t="str">
        <f t="shared" si="31"/>
        <v>#DIV/0!</v>
      </c>
      <c r="I17" s="73">
        <f t="shared" ref="I17:DV17" si="32">SUM(I31+I45+I59+I73)</f>
        <v>0</v>
      </c>
      <c r="J17" s="73">
        <f t="shared" si="32"/>
        <v>0</v>
      </c>
      <c r="K17" s="73">
        <f t="shared" si="32"/>
        <v>0</v>
      </c>
      <c r="L17" s="73">
        <f t="shared" si="32"/>
        <v>0</v>
      </c>
      <c r="M17" s="73">
        <f t="shared" si="32"/>
        <v>0</v>
      </c>
      <c r="N17" s="73">
        <f t="shared" si="32"/>
        <v>0</v>
      </c>
      <c r="O17" s="73">
        <f t="shared" si="32"/>
        <v>0</v>
      </c>
      <c r="P17" s="73">
        <f t="shared" si="32"/>
        <v>0</v>
      </c>
      <c r="Q17" s="73">
        <f t="shared" si="32"/>
        <v>0</v>
      </c>
      <c r="R17" s="73">
        <f t="shared" si="32"/>
        <v>0</v>
      </c>
      <c r="S17" s="74">
        <f t="shared" si="32"/>
        <v>0</v>
      </c>
      <c r="T17" s="74">
        <f t="shared" si="32"/>
        <v>0</v>
      </c>
      <c r="U17" s="74">
        <f t="shared" si="32"/>
        <v>0</v>
      </c>
      <c r="V17" s="74">
        <f t="shared" si="32"/>
        <v>0</v>
      </c>
      <c r="W17" s="74">
        <f t="shared" si="32"/>
        <v>0</v>
      </c>
      <c r="X17" s="74">
        <f t="shared" si="32"/>
        <v>0</v>
      </c>
      <c r="Y17" s="74">
        <f t="shared" si="32"/>
        <v>0</v>
      </c>
      <c r="Z17" s="74">
        <f t="shared" si="32"/>
        <v>0</v>
      </c>
      <c r="AA17" s="73">
        <f t="shared" si="32"/>
        <v>0</v>
      </c>
      <c r="AB17" s="73">
        <f t="shared" si="32"/>
        <v>0</v>
      </c>
      <c r="AC17" s="74">
        <f t="shared" si="32"/>
        <v>0</v>
      </c>
      <c r="AD17" s="74">
        <f t="shared" si="32"/>
        <v>0</v>
      </c>
      <c r="AE17" s="74">
        <f t="shared" si="32"/>
        <v>0</v>
      </c>
      <c r="AF17" s="74">
        <f t="shared" si="32"/>
        <v>0</v>
      </c>
      <c r="AG17" s="74">
        <f t="shared" si="32"/>
        <v>0</v>
      </c>
      <c r="AH17" s="74">
        <f t="shared" si="32"/>
        <v>0</v>
      </c>
      <c r="AI17" s="74">
        <f t="shared" si="32"/>
        <v>0</v>
      </c>
      <c r="AJ17" s="74">
        <f t="shared" si="32"/>
        <v>0</v>
      </c>
      <c r="AK17" s="73">
        <f t="shared" si="32"/>
        <v>0</v>
      </c>
      <c r="AL17" s="73">
        <f t="shared" si="32"/>
        <v>0</v>
      </c>
      <c r="AM17" s="74">
        <f t="shared" si="32"/>
        <v>0</v>
      </c>
      <c r="AN17" s="74">
        <f t="shared" si="32"/>
        <v>0</v>
      </c>
      <c r="AO17" s="74">
        <f t="shared" si="32"/>
        <v>0</v>
      </c>
      <c r="AP17" s="74">
        <f t="shared" si="32"/>
        <v>0</v>
      </c>
      <c r="AQ17" s="74">
        <f t="shared" si="32"/>
        <v>0</v>
      </c>
      <c r="AR17" s="74">
        <f t="shared" si="32"/>
        <v>0</v>
      </c>
      <c r="AS17" s="74">
        <f t="shared" si="32"/>
        <v>0</v>
      </c>
      <c r="AT17" s="74">
        <f t="shared" si="32"/>
        <v>0</v>
      </c>
      <c r="AU17" s="73">
        <f t="shared" si="32"/>
        <v>0</v>
      </c>
      <c r="AV17" s="73">
        <f t="shared" si="32"/>
        <v>0</v>
      </c>
      <c r="AW17" s="74">
        <f t="shared" si="32"/>
        <v>0</v>
      </c>
      <c r="AX17" s="74">
        <f t="shared" si="32"/>
        <v>0</v>
      </c>
      <c r="AY17" s="74">
        <f t="shared" si="32"/>
        <v>0</v>
      </c>
      <c r="AZ17" s="74">
        <f t="shared" si="32"/>
        <v>0</v>
      </c>
      <c r="BA17" s="74">
        <f t="shared" si="32"/>
        <v>0</v>
      </c>
      <c r="BB17" s="74">
        <f t="shared" si="32"/>
        <v>0</v>
      </c>
      <c r="BC17" s="74">
        <f t="shared" si="32"/>
        <v>0</v>
      </c>
      <c r="BD17" s="74">
        <f t="shared" si="32"/>
        <v>0</v>
      </c>
      <c r="BE17" s="73">
        <f t="shared" si="32"/>
        <v>0</v>
      </c>
      <c r="BF17" s="73">
        <f t="shared" si="32"/>
        <v>4166.666667</v>
      </c>
      <c r="BG17" s="74">
        <f t="shared" si="32"/>
        <v>0</v>
      </c>
      <c r="BH17" s="74">
        <f t="shared" si="32"/>
        <v>1041.666667</v>
      </c>
      <c r="BI17" s="74">
        <f t="shared" si="32"/>
        <v>0</v>
      </c>
      <c r="BJ17" s="74">
        <f t="shared" si="32"/>
        <v>1041.666667</v>
      </c>
      <c r="BK17" s="74">
        <f t="shared" si="32"/>
        <v>0</v>
      </c>
      <c r="BL17" s="74">
        <f t="shared" si="32"/>
        <v>1041.666667</v>
      </c>
      <c r="BM17" s="74">
        <f t="shared" si="32"/>
        <v>0</v>
      </c>
      <c r="BN17" s="74">
        <f t="shared" si="32"/>
        <v>1041.666667</v>
      </c>
      <c r="BO17" s="73">
        <f t="shared" si="32"/>
        <v>0</v>
      </c>
      <c r="BP17" s="73">
        <f t="shared" si="32"/>
        <v>0</v>
      </c>
      <c r="BQ17" s="74">
        <f t="shared" si="32"/>
        <v>0</v>
      </c>
      <c r="BR17" s="74">
        <f t="shared" si="32"/>
        <v>0</v>
      </c>
      <c r="BS17" s="74">
        <f t="shared" si="32"/>
        <v>0</v>
      </c>
      <c r="BT17" s="74">
        <f t="shared" si="32"/>
        <v>0</v>
      </c>
      <c r="BU17" s="74">
        <f t="shared" si="32"/>
        <v>0</v>
      </c>
      <c r="BV17" s="74">
        <f t="shared" si="32"/>
        <v>0</v>
      </c>
      <c r="BW17" s="74">
        <f t="shared" si="32"/>
        <v>0</v>
      </c>
      <c r="BX17" s="74">
        <f t="shared" si="32"/>
        <v>0</v>
      </c>
      <c r="BY17" s="73">
        <f t="shared" si="32"/>
        <v>0</v>
      </c>
      <c r="BZ17" s="73">
        <f t="shared" si="32"/>
        <v>0</v>
      </c>
      <c r="CA17" s="74">
        <f t="shared" si="32"/>
        <v>0</v>
      </c>
      <c r="CB17" s="74">
        <f t="shared" si="32"/>
        <v>0</v>
      </c>
      <c r="CC17" s="74">
        <f t="shared" si="32"/>
        <v>0</v>
      </c>
      <c r="CD17" s="74">
        <f t="shared" si="32"/>
        <v>0</v>
      </c>
      <c r="CE17" s="74">
        <f t="shared" si="32"/>
        <v>0</v>
      </c>
      <c r="CF17" s="74">
        <f t="shared" si="32"/>
        <v>0</v>
      </c>
      <c r="CG17" s="74">
        <f t="shared" si="32"/>
        <v>0</v>
      </c>
      <c r="CH17" s="74">
        <f t="shared" si="32"/>
        <v>0</v>
      </c>
      <c r="CI17" s="73">
        <f t="shared" si="32"/>
        <v>0</v>
      </c>
      <c r="CJ17" s="73">
        <f t="shared" si="32"/>
        <v>0</v>
      </c>
      <c r="CK17" s="74">
        <f t="shared" si="32"/>
        <v>0</v>
      </c>
      <c r="CL17" s="74">
        <f t="shared" si="32"/>
        <v>0</v>
      </c>
      <c r="CM17" s="74">
        <f t="shared" si="32"/>
        <v>0</v>
      </c>
      <c r="CN17" s="74">
        <f t="shared" si="32"/>
        <v>0</v>
      </c>
      <c r="CO17" s="74">
        <f t="shared" si="32"/>
        <v>0</v>
      </c>
      <c r="CP17" s="74">
        <f t="shared" si="32"/>
        <v>0</v>
      </c>
      <c r="CQ17" s="74">
        <f t="shared" si="32"/>
        <v>0</v>
      </c>
      <c r="CR17" s="74">
        <f t="shared" si="32"/>
        <v>0</v>
      </c>
      <c r="CS17" s="73">
        <f t="shared" si="32"/>
        <v>0</v>
      </c>
      <c r="CT17" s="73">
        <f t="shared" si="32"/>
        <v>0</v>
      </c>
      <c r="CU17" s="74">
        <f t="shared" si="32"/>
        <v>0</v>
      </c>
      <c r="CV17" s="74">
        <f t="shared" si="32"/>
        <v>0</v>
      </c>
      <c r="CW17" s="74">
        <f t="shared" si="32"/>
        <v>0</v>
      </c>
      <c r="CX17" s="74">
        <f t="shared" si="32"/>
        <v>0</v>
      </c>
      <c r="CY17" s="74">
        <f t="shared" si="32"/>
        <v>0</v>
      </c>
      <c r="CZ17" s="74">
        <f t="shared" si="32"/>
        <v>0</v>
      </c>
      <c r="DA17" s="74">
        <f t="shared" si="32"/>
        <v>0</v>
      </c>
      <c r="DB17" s="74">
        <f t="shared" si="32"/>
        <v>0</v>
      </c>
      <c r="DC17" s="73">
        <f t="shared" si="32"/>
        <v>0</v>
      </c>
      <c r="DD17" s="73">
        <f t="shared" si="32"/>
        <v>0</v>
      </c>
      <c r="DE17" s="74">
        <f t="shared" si="32"/>
        <v>0</v>
      </c>
      <c r="DF17" s="74">
        <f t="shared" si="32"/>
        <v>0</v>
      </c>
      <c r="DG17" s="74">
        <f t="shared" si="32"/>
        <v>0</v>
      </c>
      <c r="DH17" s="74">
        <f t="shared" si="32"/>
        <v>0</v>
      </c>
      <c r="DI17" s="74">
        <f t="shared" si="32"/>
        <v>0</v>
      </c>
      <c r="DJ17" s="74">
        <f t="shared" si="32"/>
        <v>0</v>
      </c>
      <c r="DK17" s="74">
        <f t="shared" si="32"/>
        <v>0</v>
      </c>
      <c r="DL17" s="74">
        <f t="shared" si="32"/>
        <v>0</v>
      </c>
      <c r="DM17" s="73">
        <f t="shared" si="32"/>
        <v>0</v>
      </c>
      <c r="DN17" s="73">
        <f t="shared" si="32"/>
        <v>0</v>
      </c>
      <c r="DO17" s="74">
        <f t="shared" si="32"/>
        <v>0</v>
      </c>
      <c r="DP17" s="74">
        <f t="shared" si="32"/>
        <v>0</v>
      </c>
      <c r="DQ17" s="74">
        <f t="shared" si="32"/>
        <v>0</v>
      </c>
      <c r="DR17" s="74">
        <f t="shared" si="32"/>
        <v>0</v>
      </c>
      <c r="DS17" s="74">
        <f t="shared" si="32"/>
        <v>0</v>
      </c>
      <c r="DT17" s="74">
        <f t="shared" si="32"/>
        <v>0</v>
      </c>
      <c r="DU17" s="74">
        <f t="shared" si="32"/>
        <v>0</v>
      </c>
      <c r="DV17" s="74">
        <f t="shared" si="32"/>
        <v>0</v>
      </c>
    </row>
    <row r="18" ht="15.75" customHeight="1">
      <c r="A18" s="71"/>
      <c r="B18" s="75"/>
      <c r="C18" s="72" t="s">
        <v>12</v>
      </c>
      <c r="D18" s="73" t="str">
        <f t="shared" ref="D18:F18" si="33">D17/D16</f>
        <v>#DIV/0!</v>
      </c>
      <c r="E18" s="73">
        <f t="shared" si="33"/>
        <v>2500</v>
      </c>
      <c r="F18" s="73" t="str">
        <f t="shared" si="33"/>
        <v>#DIV/0!</v>
      </c>
      <c r="G18" s="61">
        <f>SUM(G32+G46+G60+G74)</f>
        <v>10000</v>
      </c>
      <c r="H18" s="61" t="str">
        <f t="shared" si="31"/>
        <v>#DIV/0!</v>
      </c>
      <c r="I18" s="73" t="str">
        <f t="shared" ref="I18:P18" si="34">SUM(I32+I46+I60+I74)</f>
        <v>#DIV/0!</v>
      </c>
      <c r="J18" s="73">
        <f t="shared" si="34"/>
        <v>10000</v>
      </c>
      <c r="K18" s="73" t="str">
        <f t="shared" si="34"/>
        <v>#DIV/0!</v>
      </c>
      <c r="L18" s="73">
        <f t="shared" si="34"/>
        <v>10000</v>
      </c>
      <c r="M18" s="73" t="str">
        <f t="shared" si="34"/>
        <v>#DIV/0!</v>
      </c>
      <c r="N18" s="73">
        <f t="shared" si="34"/>
        <v>10000</v>
      </c>
      <c r="O18" s="73" t="str">
        <f t="shared" si="34"/>
        <v>#DIV/0!</v>
      </c>
      <c r="P18" s="73">
        <f t="shared" si="34"/>
        <v>10000</v>
      </c>
      <c r="Q18" s="73" t="str">
        <f>Q17/Q16</f>
        <v>#DIV/0!</v>
      </c>
      <c r="R18" s="73">
        <f t="shared" ref="R18:Z18" si="35">SUM(R32+R46+R60+R74)</f>
        <v>10000</v>
      </c>
      <c r="S18" s="73" t="str">
        <f t="shared" si="35"/>
        <v>#DIV/0!</v>
      </c>
      <c r="T18" s="73">
        <f t="shared" si="35"/>
        <v>10000</v>
      </c>
      <c r="U18" s="73" t="str">
        <f t="shared" si="35"/>
        <v>#DIV/0!</v>
      </c>
      <c r="V18" s="73">
        <f t="shared" si="35"/>
        <v>10000</v>
      </c>
      <c r="W18" s="73" t="str">
        <f t="shared" si="35"/>
        <v>#DIV/0!</v>
      </c>
      <c r="X18" s="73">
        <f t="shared" si="35"/>
        <v>10000</v>
      </c>
      <c r="Y18" s="73" t="str">
        <f t="shared" si="35"/>
        <v>#DIV/0!</v>
      </c>
      <c r="Z18" s="73">
        <f t="shared" si="35"/>
        <v>10000</v>
      </c>
      <c r="AA18" s="73" t="str">
        <f>AA17/AA16</f>
        <v>#DIV/0!</v>
      </c>
      <c r="AB18" s="73">
        <f t="shared" ref="AB18:AJ18" si="36">SUM(AB32+AB46+AB60+AB74)</f>
        <v>10000</v>
      </c>
      <c r="AC18" s="73" t="str">
        <f t="shared" si="36"/>
        <v>#DIV/0!</v>
      </c>
      <c r="AD18" s="73">
        <f t="shared" si="36"/>
        <v>10000</v>
      </c>
      <c r="AE18" s="73" t="str">
        <f t="shared" si="36"/>
        <v>#DIV/0!</v>
      </c>
      <c r="AF18" s="73">
        <f t="shared" si="36"/>
        <v>10000</v>
      </c>
      <c r="AG18" s="73" t="str">
        <f t="shared" si="36"/>
        <v>#DIV/0!</v>
      </c>
      <c r="AH18" s="73">
        <f t="shared" si="36"/>
        <v>10000</v>
      </c>
      <c r="AI18" s="73" t="str">
        <f t="shared" si="36"/>
        <v>#DIV/0!</v>
      </c>
      <c r="AJ18" s="73">
        <f t="shared" si="36"/>
        <v>10000</v>
      </c>
      <c r="AK18" s="73" t="str">
        <f>AK17/AK16</f>
        <v>#DIV/0!</v>
      </c>
      <c r="AL18" s="73">
        <f t="shared" ref="AL18:AT18" si="37">SUM(AL32+AL46+AL60+AL74)</f>
        <v>10000</v>
      </c>
      <c r="AM18" s="73" t="str">
        <f t="shared" si="37"/>
        <v>#DIV/0!</v>
      </c>
      <c r="AN18" s="73">
        <f t="shared" si="37"/>
        <v>10000</v>
      </c>
      <c r="AO18" s="73" t="str">
        <f t="shared" si="37"/>
        <v>#DIV/0!</v>
      </c>
      <c r="AP18" s="73">
        <f t="shared" si="37"/>
        <v>10000</v>
      </c>
      <c r="AQ18" s="73" t="str">
        <f t="shared" si="37"/>
        <v>#DIV/0!</v>
      </c>
      <c r="AR18" s="73">
        <f t="shared" si="37"/>
        <v>10000</v>
      </c>
      <c r="AS18" s="73" t="str">
        <f t="shared" si="37"/>
        <v>#DIV/0!</v>
      </c>
      <c r="AT18" s="73">
        <f t="shared" si="37"/>
        <v>10000</v>
      </c>
      <c r="AU18" s="73" t="str">
        <f>AU17/AU16</f>
        <v>#DIV/0!</v>
      </c>
      <c r="AV18" s="73">
        <f t="shared" ref="AV18:BD18" si="38">SUM(AV32+AV46+AV60+AV74)</f>
        <v>10000</v>
      </c>
      <c r="AW18" s="73" t="str">
        <f t="shared" si="38"/>
        <v>#DIV/0!</v>
      </c>
      <c r="AX18" s="73">
        <f t="shared" si="38"/>
        <v>10000</v>
      </c>
      <c r="AY18" s="73" t="str">
        <f t="shared" si="38"/>
        <v>#DIV/0!</v>
      </c>
      <c r="AZ18" s="73">
        <f t="shared" si="38"/>
        <v>10000</v>
      </c>
      <c r="BA18" s="73" t="str">
        <f t="shared" si="38"/>
        <v>#DIV/0!</v>
      </c>
      <c r="BB18" s="73">
        <f t="shared" si="38"/>
        <v>10000</v>
      </c>
      <c r="BC18" s="73" t="str">
        <f t="shared" si="38"/>
        <v>#DIV/0!</v>
      </c>
      <c r="BD18" s="73">
        <f t="shared" si="38"/>
        <v>10000</v>
      </c>
      <c r="BE18" s="73" t="str">
        <f>BE17/BE16</f>
        <v>#DIV/0!</v>
      </c>
      <c r="BF18" s="76">
        <f>'Dados da Operação'!$C$5</f>
        <v>2500</v>
      </c>
      <c r="BG18" s="73" t="str">
        <f>SUM(BG32+BG46+BG60+BG74)</f>
        <v>#DIV/0!</v>
      </c>
      <c r="BH18" s="76">
        <f>'Dados da Operação'!$C$5</f>
        <v>2500</v>
      </c>
      <c r="BI18" s="73" t="str">
        <f>SUM(BI32+BI46+BI60+BI74)</f>
        <v>#DIV/0!</v>
      </c>
      <c r="BJ18" s="76">
        <f>'Dados da Operação'!$C$5</f>
        <v>2500</v>
      </c>
      <c r="BK18" s="73" t="str">
        <f>SUM(BK32+BK46+BK60+BK74)</f>
        <v>#DIV/0!</v>
      </c>
      <c r="BL18" s="76">
        <f>'Dados da Operação'!$C$5</f>
        <v>2500</v>
      </c>
      <c r="BM18" s="73" t="str">
        <f>SUM(BM32+BM46+BM60+BM74)</f>
        <v>#DIV/0!</v>
      </c>
      <c r="BN18" s="76">
        <f>'Dados da Operação'!$C$5</f>
        <v>2500</v>
      </c>
      <c r="BO18" s="73" t="str">
        <f>BO17/BO16</f>
        <v>#DIV/0!</v>
      </c>
      <c r="BP18" s="76">
        <f>'Dados da Operação'!$C$5</f>
        <v>2500</v>
      </c>
      <c r="BQ18" s="73" t="str">
        <f t="shared" ref="BQ18:BX18" si="39">SUM(BQ32+BQ46+BQ60+BQ74)</f>
        <v>#DIV/0!</v>
      </c>
      <c r="BR18" s="73">
        <f t="shared" si="39"/>
        <v>10000</v>
      </c>
      <c r="BS18" s="73" t="str">
        <f t="shared" si="39"/>
        <v>#DIV/0!</v>
      </c>
      <c r="BT18" s="73">
        <f t="shared" si="39"/>
        <v>10000</v>
      </c>
      <c r="BU18" s="73" t="str">
        <f t="shared" si="39"/>
        <v>#DIV/0!</v>
      </c>
      <c r="BV18" s="73">
        <f t="shared" si="39"/>
        <v>10000</v>
      </c>
      <c r="BW18" s="73" t="str">
        <f t="shared" si="39"/>
        <v>#DIV/0!</v>
      </c>
      <c r="BX18" s="73">
        <f t="shared" si="39"/>
        <v>10000</v>
      </c>
      <c r="BY18" s="73" t="str">
        <f>BY17/BY16</f>
        <v>#DIV/0!</v>
      </c>
      <c r="BZ18" s="76">
        <f>'Dados da Operação'!$C$5</f>
        <v>2500</v>
      </c>
      <c r="CA18" s="73" t="str">
        <f t="shared" ref="CA18:CH18" si="40">SUM(CA32+CA46+CA60+CA74)</f>
        <v>#DIV/0!</v>
      </c>
      <c r="CB18" s="73">
        <f t="shared" si="40"/>
        <v>10000</v>
      </c>
      <c r="CC18" s="73" t="str">
        <f t="shared" si="40"/>
        <v>#DIV/0!</v>
      </c>
      <c r="CD18" s="73">
        <f t="shared" si="40"/>
        <v>10000</v>
      </c>
      <c r="CE18" s="73" t="str">
        <f t="shared" si="40"/>
        <v>#DIV/0!</v>
      </c>
      <c r="CF18" s="73">
        <f t="shared" si="40"/>
        <v>10000</v>
      </c>
      <c r="CG18" s="73" t="str">
        <f t="shared" si="40"/>
        <v>#DIV/0!</v>
      </c>
      <c r="CH18" s="73">
        <f t="shared" si="40"/>
        <v>10000</v>
      </c>
      <c r="CI18" s="73" t="str">
        <f>CI17/CI16</f>
        <v>#DIV/0!</v>
      </c>
      <c r="CJ18" s="76">
        <f>'Dados da Operação'!$C$5</f>
        <v>2500</v>
      </c>
      <c r="CK18" s="73" t="str">
        <f t="shared" ref="CK18:CR18" si="41">SUM(CK32+CK46+CK60+CK74)</f>
        <v>#DIV/0!</v>
      </c>
      <c r="CL18" s="73">
        <f t="shared" si="41"/>
        <v>10000</v>
      </c>
      <c r="CM18" s="73" t="str">
        <f t="shared" si="41"/>
        <v>#DIV/0!</v>
      </c>
      <c r="CN18" s="73">
        <f t="shared" si="41"/>
        <v>10000</v>
      </c>
      <c r="CO18" s="73" t="str">
        <f t="shared" si="41"/>
        <v>#DIV/0!</v>
      </c>
      <c r="CP18" s="73">
        <f t="shared" si="41"/>
        <v>10000</v>
      </c>
      <c r="CQ18" s="73" t="str">
        <f t="shared" si="41"/>
        <v>#DIV/0!</v>
      </c>
      <c r="CR18" s="73">
        <f t="shared" si="41"/>
        <v>10000</v>
      </c>
      <c r="CS18" s="73" t="str">
        <f>CS17/CS16</f>
        <v>#DIV/0!</v>
      </c>
      <c r="CT18" s="76">
        <f>'Dados da Operação'!$C$5</f>
        <v>2500</v>
      </c>
      <c r="CU18" s="73" t="str">
        <f t="shared" ref="CU18:DB18" si="42">SUM(CU32+CU46+CU60+CU74)</f>
        <v>#DIV/0!</v>
      </c>
      <c r="CV18" s="73">
        <f t="shared" si="42"/>
        <v>10000</v>
      </c>
      <c r="CW18" s="73" t="str">
        <f t="shared" si="42"/>
        <v>#DIV/0!</v>
      </c>
      <c r="CX18" s="73">
        <f t="shared" si="42"/>
        <v>10000</v>
      </c>
      <c r="CY18" s="73" t="str">
        <f t="shared" si="42"/>
        <v>#DIV/0!</v>
      </c>
      <c r="CZ18" s="73">
        <f t="shared" si="42"/>
        <v>10000</v>
      </c>
      <c r="DA18" s="73" t="str">
        <f t="shared" si="42"/>
        <v>#DIV/0!</v>
      </c>
      <c r="DB18" s="73">
        <f t="shared" si="42"/>
        <v>10000</v>
      </c>
      <c r="DC18" s="73" t="str">
        <f>DC17/DC16</f>
        <v>#DIV/0!</v>
      </c>
      <c r="DD18" s="76">
        <f>'Dados da Operação'!$C$5</f>
        <v>2500</v>
      </c>
      <c r="DE18" s="73" t="str">
        <f t="shared" ref="DE18:DL18" si="43">SUM(DE32+DE46+DE60+DE74)</f>
        <v>#DIV/0!</v>
      </c>
      <c r="DF18" s="73">
        <f t="shared" si="43"/>
        <v>10000</v>
      </c>
      <c r="DG18" s="73" t="str">
        <f t="shared" si="43"/>
        <v>#DIV/0!</v>
      </c>
      <c r="DH18" s="73">
        <f t="shared" si="43"/>
        <v>10000</v>
      </c>
      <c r="DI18" s="73" t="str">
        <f t="shared" si="43"/>
        <v>#DIV/0!</v>
      </c>
      <c r="DJ18" s="73">
        <f t="shared" si="43"/>
        <v>10000</v>
      </c>
      <c r="DK18" s="73" t="str">
        <f t="shared" si="43"/>
        <v>#DIV/0!</v>
      </c>
      <c r="DL18" s="73">
        <f t="shared" si="43"/>
        <v>10000</v>
      </c>
      <c r="DM18" s="73" t="str">
        <f>DM17/DM16</f>
        <v>#DIV/0!</v>
      </c>
      <c r="DN18" s="76">
        <f>'Dados da Operação'!$C$5</f>
        <v>2500</v>
      </c>
      <c r="DO18" s="73" t="str">
        <f t="shared" ref="DO18:DV18" si="44">SUM(DO32+DO46+DO60+DO74)</f>
        <v>#DIV/0!</v>
      </c>
      <c r="DP18" s="73">
        <f t="shared" si="44"/>
        <v>10000</v>
      </c>
      <c r="DQ18" s="73" t="str">
        <f t="shared" si="44"/>
        <v>#DIV/0!</v>
      </c>
      <c r="DR18" s="73">
        <f t="shared" si="44"/>
        <v>10000</v>
      </c>
      <c r="DS18" s="73" t="str">
        <f t="shared" si="44"/>
        <v>#DIV/0!</v>
      </c>
      <c r="DT18" s="73">
        <f t="shared" si="44"/>
        <v>10000</v>
      </c>
      <c r="DU18" s="73" t="str">
        <f t="shared" si="44"/>
        <v>#DIV/0!</v>
      </c>
      <c r="DV18" s="73">
        <f t="shared" si="44"/>
        <v>10000</v>
      </c>
    </row>
    <row r="19" ht="28.5" customHeight="1">
      <c r="A19" s="35"/>
      <c r="B19" s="42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</row>
    <row r="20" ht="15.75" customHeight="1">
      <c r="A20" s="35"/>
      <c r="B20" s="77" t="s">
        <v>108</v>
      </c>
      <c r="C20" s="78" t="s">
        <v>95</v>
      </c>
      <c r="D20" s="79">
        <f t="shared" ref="D20:E20" si="45">SUM(F20+Q20+AA20+AK20+AU20+BE20+BO20+BY20+CI20+CS20+DC20+DM20)</f>
        <v>0</v>
      </c>
      <c r="E20" s="80">
        <f t="shared" si="45"/>
        <v>248.015873</v>
      </c>
      <c r="F20" s="81">
        <f>SUM(I20+K20+M20+O20)</f>
        <v>0</v>
      </c>
      <c r="G20" s="82">
        <f>G22/G21</f>
        <v>0</v>
      </c>
      <c r="H20" s="61" t="str">
        <f>F20/G20</f>
        <v>#DIV/0!</v>
      </c>
      <c r="I20" s="83"/>
      <c r="J20" s="79">
        <f>G20/4</f>
        <v>0</v>
      </c>
      <c r="K20" s="83"/>
      <c r="L20" s="79">
        <f>G20/4</f>
        <v>0</v>
      </c>
      <c r="M20" s="83"/>
      <c r="N20" s="79">
        <f>G20/4</f>
        <v>0</v>
      </c>
      <c r="O20" s="83"/>
      <c r="P20" s="79">
        <f>G20/4</f>
        <v>0</v>
      </c>
      <c r="Q20" s="79">
        <f>SUM(S20+U20+W20+Y20)</f>
        <v>0</v>
      </c>
      <c r="R20" s="82"/>
      <c r="S20" s="84"/>
      <c r="T20" s="79">
        <f>R20/4</f>
        <v>0</v>
      </c>
      <c r="U20" s="84"/>
      <c r="V20" s="79">
        <f>R20/4</f>
        <v>0</v>
      </c>
      <c r="W20" s="84"/>
      <c r="X20" s="79">
        <f>R20/4</f>
        <v>0</v>
      </c>
      <c r="Y20" s="84"/>
      <c r="Z20" s="79">
        <f>R20/4</f>
        <v>0</v>
      </c>
      <c r="AA20" s="79">
        <f>SUM(AC20+AE20+AG20+AI20)</f>
        <v>0</v>
      </c>
      <c r="AB20" s="82"/>
      <c r="AC20" s="84"/>
      <c r="AD20" s="79">
        <f>AB20/4</f>
        <v>0</v>
      </c>
      <c r="AE20" s="84"/>
      <c r="AF20" s="79">
        <f>AB20/4</f>
        <v>0</v>
      </c>
      <c r="AG20" s="84"/>
      <c r="AH20" s="79">
        <f>AB20/4</f>
        <v>0</v>
      </c>
      <c r="AI20" s="84"/>
      <c r="AJ20" s="79">
        <f>AB20/4</f>
        <v>0</v>
      </c>
      <c r="AK20" s="79">
        <f>SUM(AM20+AO20+AQ20+AS20)</f>
        <v>0</v>
      </c>
      <c r="AL20" s="82"/>
      <c r="AM20" s="84"/>
      <c r="AN20" s="79">
        <f>AL20/4</f>
        <v>0</v>
      </c>
      <c r="AO20" s="84"/>
      <c r="AP20" s="79">
        <f>AL20/4</f>
        <v>0</v>
      </c>
      <c r="AQ20" s="84"/>
      <c r="AR20" s="79">
        <f>AL20/4</f>
        <v>0</v>
      </c>
      <c r="AS20" s="84"/>
      <c r="AT20" s="79">
        <f>AL20/4</f>
        <v>0</v>
      </c>
      <c r="AU20" s="79">
        <f>SUM(AW20+AY20+BA20+BC20)</f>
        <v>0</v>
      </c>
      <c r="AV20" s="82"/>
      <c r="AW20" s="84"/>
      <c r="AX20" s="79">
        <f>AV20/4</f>
        <v>0</v>
      </c>
      <c r="AY20" s="84"/>
      <c r="AZ20" s="79">
        <f>AV20/4</f>
        <v>0</v>
      </c>
      <c r="BA20" s="84"/>
      <c r="BB20" s="79">
        <f>AV20/4</f>
        <v>0</v>
      </c>
      <c r="BC20" s="84"/>
      <c r="BD20" s="79">
        <f>AV20/4</f>
        <v>0</v>
      </c>
      <c r="BE20" s="79">
        <f>SUM(BG20+BI20+BK20+BM20)</f>
        <v>0</v>
      </c>
      <c r="BF20" s="68">
        <f>BF22/BF21</f>
        <v>248.015873</v>
      </c>
      <c r="BG20" s="84"/>
      <c r="BH20" s="79">
        <f>BF20/4</f>
        <v>62.00396825</v>
      </c>
      <c r="BI20" s="84"/>
      <c r="BJ20" s="79">
        <f>BF20/4</f>
        <v>62.00396825</v>
      </c>
      <c r="BK20" s="84"/>
      <c r="BL20" s="79">
        <f>BF20/4</f>
        <v>62.00396825</v>
      </c>
      <c r="BM20" s="84"/>
      <c r="BN20" s="79">
        <f>BF20/4</f>
        <v>62.00396825</v>
      </c>
      <c r="BO20" s="79">
        <f>SUM(BQ20+BS20+BU20+BW20)</f>
        <v>0</v>
      </c>
      <c r="BP20" s="82"/>
      <c r="BQ20" s="84"/>
      <c r="BR20" s="79">
        <f>BP20/4</f>
        <v>0</v>
      </c>
      <c r="BS20" s="84"/>
      <c r="BT20" s="79">
        <f>BP20/4</f>
        <v>0</v>
      </c>
      <c r="BU20" s="84"/>
      <c r="BV20" s="79">
        <f>BP20/4</f>
        <v>0</v>
      </c>
      <c r="BW20" s="84"/>
      <c r="BX20" s="79">
        <f>BP20/4</f>
        <v>0</v>
      </c>
      <c r="BY20" s="79">
        <f>SUM(CA20+CC20+CE20+CG20)</f>
        <v>0</v>
      </c>
      <c r="BZ20" s="82"/>
      <c r="CA20" s="84"/>
      <c r="CB20" s="79">
        <f>BZ20/4</f>
        <v>0</v>
      </c>
      <c r="CC20" s="84"/>
      <c r="CD20" s="79">
        <f>BZ20/4</f>
        <v>0</v>
      </c>
      <c r="CE20" s="84"/>
      <c r="CF20" s="79">
        <f>BZ20/4</f>
        <v>0</v>
      </c>
      <c r="CG20" s="84"/>
      <c r="CH20" s="79">
        <f>BZ20/4</f>
        <v>0</v>
      </c>
      <c r="CI20" s="79">
        <f>SUM(CK20+CM20+CO20+CQ20)</f>
        <v>0</v>
      </c>
      <c r="CJ20" s="82"/>
      <c r="CK20" s="84"/>
      <c r="CL20" s="79">
        <f>CJ20/4</f>
        <v>0</v>
      </c>
      <c r="CM20" s="84"/>
      <c r="CN20" s="79">
        <f>CJ20/4</f>
        <v>0</v>
      </c>
      <c r="CO20" s="84"/>
      <c r="CP20" s="79">
        <f>CJ20/4</f>
        <v>0</v>
      </c>
      <c r="CQ20" s="84"/>
      <c r="CR20" s="79">
        <f>CJ20/4</f>
        <v>0</v>
      </c>
      <c r="CS20" s="79">
        <f>SUM(CU20+CW20+CY20+DA20)</f>
        <v>0</v>
      </c>
      <c r="CT20" s="82"/>
      <c r="CU20" s="84"/>
      <c r="CV20" s="79">
        <f>CT20/4</f>
        <v>0</v>
      </c>
      <c r="CW20" s="84"/>
      <c r="CX20" s="79">
        <f>CT20/4</f>
        <v>0</v>
      </c>
      <c r="CY20" s="84"/>
      <c r="CZ20" s="79">
        <f>CT20/4</f>
        <v>0</v>
      </c>
      <c r="DA20" s="84"/>
      <c r="DB20" s="79">
        <f>CT20/4</f>
        <v>0</v>
      </c>
      <c r="DC20" s="79">
        <f>SUM(DE20+DG20+DI20+DK20)</f>
        <v>0</v>
      </c>
      <c r="DD20" s="82"/>
      <c r="DE20" s="84"/>
      <c r="DF20" s="79">
        <f>DD20/4</f>
        <v>0</v>
      </c>
      <c r="DG20" s="84"/>
      <c r="DH20" s="79">
        <f>DD20/4</f>
        <v>0</v>
      </c>
      <c r="DI20" s="84"/>
      <c r="DJ20" s="79">
        <f>DD20/4</f>
        <v>0</v>
      </c>
      <c r="DK20" s="84"/>
      <c r="DL20" s="79">
        <f>DD20/4</f>
        <v>0</v>
      </c>
      <c r="DM20" s="79">
        <f>SUM(DO20+DQ20+DS20+DU20)</f>
        <v>0</v>
      </c>
      <c r="DN20" s="82"/>
      <c r="DO20" s="85"/>
      <c r="DP20" s="86">
        <f>DN20/4</f>
        <v>0</v>
      </c>
      <c r="DQ20" s="85"/>
      <c r="DR20" s="86">
        <f>DN20/4</f>
        <v>0</v>
      </c>
      <c r="DS20" s="85"/>
      <c r="DT20" s="86">
        <f>DN20/4</f>
        <v>0</v>
      </c>
      <c r="DU20" s="85"/>
      <c r="DV20" s="86">
        <f>DN20/4</f>
        <v>0</v>
      </c>
    </row>
    <row r="21" ht="15.75" customHeight="1">
      <c r="A21" s="87"/>
      <c r="B21" s="63"/>
      <c r="C21" s="78" t="s">
        <v>96</v>
      </c>
      <c r="D21" s="81" t="str">
        <f t="shared" ref="D21:F21" si="46">D22/D20</f>
        <v>#DIV/0!</v>
      </c>
      <c r="E21" s="81">
        <f t="shared" si="46"/>
        <v>0.15</v>
      </c>
      <c r="F21" s="81" t="str">
        <f t="shared" si="46"/>
        <v>#DIV/0!</v>
      </c>
      <c r="G21" s="88">
        <v>0.3</v>
      </c>
      <c r="H21" s="61" t="s">
        <v>97</v>
      </c>
      <c r="I21" s="81" t="str">
        <f>I22/I20</f>
        <v>#DIV/0!</v>
      </c>
      <c r="J21" s="83">
        <f>G21</f>
        <v>0.3</v>
      </c>
      <c r="K21" s="81" t="str">
        <f>K22/K20</f>
        <v>#DIV/0!</v>
      </c>
      <c r="L21" s="83">
        <f>G21</f>
        <v>0.3</v>
      </c>
      <c r="M21" s="81" t="str">
        <f>M22/M20</f>
        <v>#DIV/0!</v>
      </c>
      <c r="N21" s="83">
        <f>G21</f>
        <v>0.3</v>
      </c>
      <c r="O21" s="81" t="str">
        <f>O22/O20</f>
        <v>#DIV/0!</v>
      </c>
      <c r="P21" s="83">
        <f>G21</f>
        <v>0.3</v>
      </c>
      <c r="Q21" s="81" t="str">
        <f>Q22/Q20</f>
        <v>#DIV/0!</v>
      </c>
      <c r="R21" s="83"/>
      <c r="S21" s="81" t="str">
        <f>S22/S20</f>
        <v>#DIV/0!</v>
      </c>
      <c r="T21" s="83" t="str">
        <f>R21</f>
        <v/>
      </c>
      <c r="U21" s="81" t="str">
        <f>U22/U20</f>
        <v>#DIV/0!</v>
      </c>
      <c r="V21" s="83" t="str">
        <f>R21</f>
        <v/>
      </c>
      <c r="W21" s="81" t="str">
        <f>W22/W20</f>
        <v>#DIV/0!</v>
      </c>
      <c r="X21" s="83" t="str">
        <f>R21</f>
        <v/>
      </c>
      <c r="Y21" s="81" t="str">
        <f>Y22/Y20</f>
        <v>#DIV/0!</v>
      </c>
      <c r="Z21" s="83" t="str">
        <f>R21</f>
        <v/>
      </c>
      <c r="AA21" s="81" t="str">
        <f>AA22/AA20</f>
        <v>#DIV/0!</v>
      </c>
      <c r="AB21" s="83"/>
      <c r="AC21" s="81" t="str">
        <f>AC22/AC20</f>
        <v>#DIV/0!</v>
      </c>
      <c r="AD21" s="83" t="str">
        <f>AB21</f>
        <v/>
      </c>
      <c r="AE21" s="81" t="str">
        <f>AE22/AE20</f>
        <v>#DIV/0!</v>
      </c>
      <c r="AF21" s="83" t="str">
        <f>AB21</f>
        <v/>
      </c>
      <c r="AG21" s="81" t="str">
        <f>AG22/AG20</f>
        <v>#DIV/0!</v>
      </c>
      <c r="AH21" s="83" t="str">
        <f>AB21</f>
        <v/>
      </c>
      <c r="AI21" s="81" t="str">
        <f>AI22/AI20</f>
        <v>#DIV/0!</v>
      </c>
      <c r="AJ21" s="83" t="str">
        <f>AB21</f>
        <v/>
      </c>
      <c r="AK21" s="81" t="str">
        <f>AK22/AK20</f>
        <v>#DIV/0!</v>
      </c>
      <c r="AL21" s="83"/>
      <c r="AM21" s="81" t="str">
        <f>AM22/AM20</f>
        <v>#DIV/0!</v>
      </c>
      <c r="AN21" s="83" t="str">
        <f>AL21</f>
        <v/>
      </c>
      <c r="AO21" s="81" t="str">
        <f>AO22/AO20</f>
        <v>#DIV/0!</v>
      </c>
      <c r="AP21" s="83" t="str">
        <f>AL21</f>
        <v/>
      </c>
      <c r="AQ21" s="81" t="str">
        <f>AQ22/AQ20</f>
        <v>#DIV/0!</v>
      </c>
      <c r="AR21" s="83" t="str">
        <f>AL21</f>
        <v/>
      </c>
      <c r="AS21" s="81" t="str">
        <f>AS22/AS20</f>
        <v>#DIV/0!</v>
      </c>
      <c r="AT21" s="83" t="str">
        <f>AL21</f>
        <v/>
      </c>
      <c r="AU21" s="81" t="str">
        <f>AU22/AU20</f>
        <v>#DIV/0!</v>
      </c>
      <c r="AV21" s="83"/>
      <c r="AW21" s="81" t="str">
        <f>AW22/AW20</f>
        <v>#DIV/0!</v>
      </c>
      <c r="AX21" s="83" t="str">
        <f>AV21</f>
        <v/>
      </c>
      <c r="AY21" s="81" t="str">
        <f>AY22/AY20</f>
        <v>#DIV/0!</v>
      </c>
      <c r="AZ21" s="83" t="str">
        <f>AV21</f>
        <v/>
      </c>
      <c r="BA21" s="81" t="str">
        <f>BA22/BA20</f>
        <v>#DIV/0!</v>
      </c>
      <c r="BB21" s="83" t="str">
        <f>AV21</f>
        <v/>
      </c>
      <c r="BC21" s="81" t="str">
        <f>BC22/BC20</f>
        <v>#DIV/0!</v>
      </c>
      <c r="BD21" s="83" t="str">
        <f>AV21</f>
        <v/>
      </c>
      <c r="BE21" s="81" t="str">
        <f>BE22/BE20</f>
        <v>#DIV/0!</v>
      </c>
      <c r="BF21" s="89">
        <v>0.15</v>
      </c>
      <c r="BG21" s="81" t="str">
        <f>BG22/BG20</f>
        <v>#DIV/0!</v>
      </c>
      <c r="BH21" s="83">
        <f>BF21</f>
        <v>0.15</v>
      </c>
      <c r="BI21" s="81" t="str">
        <f>BI22/BI20</f>
        <v>#DIV/0!</v>
      </c>
      <c r="BJ21" s="83">
        <f>BF21</f>
        <v>0.15</v>
      </c>
      <c r="BK21" s="81" t="str">
        <f>BK22/BK20</f>
        <v>#DIV/0!</v>
      </c>
      <c r="BL21" s="83">
        <f>BF21</f>
        <v>0.15</v>
      </c>
      <c r="BM21" s="81" t="str">
        <f>BM22/BM20</f>
        <v>#DIV/0!</v>
      </c>
      <c r="BN21" s="83">
        <f>BF21</f>
        <v>0.15</v>
      </c>
      <c r="BO21" s="81" t="str">
        <f>BO22/BO20</f>
        <v>#DIV/0!</v>
      </c>
      <c r="BP21" s="83"/>
      <c r="BQ21" s="81" t="str">
        <f>BQ22/BQ20</f>
        <v>#DIV/0!</v>
      </c>
      <c r="BR21" s="83" t="str">
        <f>BP21</f>
        <v/>
      </c>
      <c r="BS21" s="81" t="str">
        <f>BS22/BS20</f>
        <v>#DIV/0!</v>
      </c>
      <c r="BT21" s="83" t="str">
        <f>BP21</f>
        <v/>
      </c>
      <c r="BU21" s="81" t="str">
        <f>BU22/BU20</f>
        <v>#DIV/0!</v>
      </c>
      <c r="BV21" s="83" t="str">
        <f>BP21</f>
        <v/>
      </c>
      <c r="BW21" s="81" t="str">
        <f>BW22/BW20</f>
        <v>#DIV/0!</v>
      </c>
      <c r="BX21" s="83" t="str">
        <f>BP21</f>
        <v/>
      </c>
      <c r="BY21" s="81" t="str">
        <f>BY22/BY20</f>
        <v>#DIV/0!</v>
      </c>
      <c r="BZ21" s="83"/>
      <c r="CA21" s="81" t="str">
        <f>CA22/CA20</f>
        <v>#DIV/0!</v>
      </c>
      <c r="CB21" s="83" t="str">
        <f>BZ21</f>
        <v/>
      </c>
      <c r="CC21" s="81" t="str">
        <f>CC22/CC20</f>
        <v>#DIV/0!</v>
      </c>
      <c r="CD21" s="83" t="str">
        <f>BZ21</f>
        <v/>
      </c>
      <c r="CE21" s="81" t="str">
        <f>CE22/CE20</f>
        <v>#DIV/0!</v>
      </c>
      <c r="CF21" s="83" t="str">
        <f>BZ21</f>
        <v/>
      </c>
      <c r="CG21" s="81" t="str">
        <f>CG22/CG20</f>
        <v>#DIV/0!</v>
      </c>
      <c r="CH21" s="83" t="str">
        <f>BZ21</f>
        <v/>
      </c>
      <c r="CI21" s="81" t="str">
        <f>CI22/CI20</f>
        <v>#DIV/0!</v>
      </c>
      <c r="CJ21" s="83"/>
      <c r="CK21" s="81" t="str">
        <f>CK22/CK20</f>
        <v>#DIV/0!</v>
      </c>
      <c r="CL21" s="83" t="str">
        <f>CJ21</f>
        <v/>
      </c>
      <c r="CM21" s="81" t="str">
        <f>CM22/CM20</f>
        <v>#DIV/0!</v>
      </c>
      <c r="CN21" s="83" t="str">
        <f>CJ21</f>
        <v/>
      </c>
      <c r="CO21" s="81" t="str">
        <f>CO22/CO20</f>
        <v>#DIV/0!</v>
      </c>
      <c r="CP21" s="83" t="str">
        <f>CJ21</f>
        <v/>
      </c>
      <c r="CQ21" s="81" t="str">
        <f>CQ22/CQ20</f>
        <v>#DIV/0!</v>
      </c>
      <c r="CR21" s="83" t="str">
        <f>CJ21</f>
        <v/>
      </c>
      <c r="CS21" s="81" t="str">
        <f>CS22/CS20</f>
        <v>#DIV/0!</v>
      </c>
      <c r="CT21" s="83"/>
      <c r="CU21" s="81" t="str">
        <f>CU22/CU20</f>
        <v>#DIV/0!</v>
      </c>
      <c r="CV21" s="83" t="str">
        <f>CT21</f>
        <v/>
      </c>
      <c r="CW21" s="81" t="str">
        <f>CW22/CW20</f>
        <v>#DIV/0!</v>
      </c>
      <c r="CX21" s="83" t="str">
        <f>CT21</f>
        <v/>
      </c>
      <c r="CY21" s="81" t="str">
        <f>CY22/CY20</f>
        <v>#DIV/0!</v>
      </c>
      <c r="CZ21" s="83" t="str">
        <f>CT21</f>
        <v/>
      </c>
      <c r="DA21" s="81" t="str">
        <f>DA22/DA20</f>
        <v>#DIV/0!</v>
      </c>
      <c r="DB21" s="83" t="str">
        <f>CT21</f>
        <v/>
      </c>
      <c r="DC21" s="81" t="str">
        <f>DC22/DC20</f>
        <v>#DIV/0!</v>
      </c>
      <c r="DD21" s="83"/>
      <c r="DE21" s="81" t="str">
        <f>DE22/DE20</f>
        <v>#DIV/0!</v>
      </c>
      <c r="DF21" s="83" t="str">
        <f>DD21</f>
        <v/>
      </c>
      <c r="DG21" s="81" t="str">
        <f>DG22/DG20</f>
        <v>#DIV/0!</v>
      </c>
      <c r="DH21" s="83" t="str">
        <f>DD21</f>
        <v/>
      </c>
      <c r="DI21" s="81" t="str">
        <f>DI22/DI20</f>
        <v>#DIV/0!</v>
      </c>
      <c r="DJ21" s="83" t="str">
        <f>DD21</f>
        <v/>
      </c>
      <c r="DK21" s="81" t="str">
        <f>DK22/DK20</f>
        <v>#DIV/0!</v>
      </c>
      <c r="DL21" s="83" t="str">
        <f>DD21</f>
        <v/>
      </c>
      <c r="DM21" s="81" t="str">
        <f>DM22/DM20</f>
        <v>#DIV/0!</v>
      </c>
      <c r="DN21" s="83"/>
      <c r="DO21" s="65" t="str">
        <f>DO22/DO20</f>
        <v>#DIV/0!</v>
      </c>
      <c r="DP21" s="90" t="str">
        <f>DN21</f>
        <v/>
      </c>
      <c r="DQ21" s="65" t="str">
        <f>DQ22/DQ20</f>
        <v>#DIV/0!</v>
      </c>
      <c r="DR21" s="90" t="str">
        <f>DN21</f>
        <v/>
      </c>
      <c r="DS21" s="65" t="str">
        <f>DS22/DS20</f>
        <v>#DIV/0!</v>
      </c>
      <c r="DT21" s="90" t="str">
        <f>DN21</f>
        <v/>
      </c>
      <c r="DU21" s="65" t="str">
        <f>DU22/DU20</f>
        <v>#DIV/0!</v>
      </c>
      <c r="DV21" s="90" t="str">
        <f>DN21</f>
        <v/>
      </c>
    </row>
    <row r="22" ht="15.75" customHeight="1">
      <c r="A22" s="35"/>
      <c r="B22" s="63"/>
      <c r="C22" s="78" t="s">
        <v>98</v>
      </c>
      <c r="D22" s="91">
        <f t="shared" ref="D22:E22" si="47">SUM(F22+Q22+AA22+AK22+AU22+BE22+BO22+BY22+CI22+CS22+DC22+DM22)</f>
        <v>0</v>
      </c>
      <c r="E22" s="80">
        <f t="shared" si="47"/>
        <v>37.20238095</v>
      </c>
      <c r="F22" s="81">
        <f>SUM(I22+K22+M22+O22)</f>
        <v>0</v>
      </c>
      <c r="G22" s="82">
        <f>G24/G23</f>
        <v>0</v>
      </c>
      <c r="H22" s="61" t="str">
        <f>G22/F22</f>
        <v>#DIV/0!</v>
      </c>
      <c r="I22" s="83"/>
      <c r="J22" s="79">
        <f>G22/4</f>
        <v>0</v>
      </c>
      <c r="K22" s="83"/>
      <c r="L22" s="79">
        <f>G22/4</f>
        <v>0</v>
      </c>
      <c r="M22" s="83"/>
      <c r="N22" s="79">
        <f>G22/4</f>
        <v>0</v>
      </c>
      <c r="O22" s="83"/>
      <c r="P22" s="79">
        <f>G22/4</f>
        <v>0</v>
      </c>
      <c r="Q22" s="79">
        <f>SUM(S22+U22+W22+Y22)</f>
        <v>0</v>
      </c>
      <c r="R22" s="82"/>
      <c r="S22" s="84"/>
      <c r="T22" s="79">
        <f>R22/4</f>
        <v>0</v>
      </c>
      <c r="U22" s="84"/>
      <c r="V22" s="79">
        <f>R22/4</f>
        <v>0</v>
      </c>
      <c r="W22" s="84"/>
      <c r="X22" s="79">
        <f>R22/4</f>
        <v>0</v>
      </c>
      <c r="Y22" s="84"/>
      <c r="Z22" s="79">
        <f>R22/4</f>
        <v>0</v>
      </c>
      <c r="AA22" s="79">
        <f>SUM(AC22+AE22+AG22+AI22)</f>
        <v>0</v>
      </c>
      <c r="AB22" s="82"/>
      <c r="AC22" s="84"/>
      <c r="AD22" s="79">
        <f>AB22/4</f>
        <v>0</v>
      </c>
      <c r="AE22" s="84"/>
      <c r="AF22" s="79">
        <f>AB22/4</f>
        <v>0</v>
      </c>
      <c r="AG22" s="84"/>
      <c r="AH22" s="79">
        <f>AB22/4</f>
        <v>0</v>
      </c>
      <c r="AI22" s="84"/>
      <c r="AJ22" s="79">
        <f>AB22/4</f>
        <v>0</v>
      </c>
      <c r="AK22" s="79">
        <f>SUM(AM22+AO22+AQ22+AS22)</f>
        <v>0</v>
      </c>
      <c r="AL22" s="82"/>
      <c r="AM22" s="84"/>
      <c r="AN22" s="79">
        <f>AL22/4</f>
        <v>0</v>
      </c>
      <c r="AO22" s="84"/>
      <c r="AP22" s="79">
        <f>AL22/4</f>
        <v>0</v>
      </c>
      <c r="AQ22" s="84"/>
      <c r="AR22" s="79">
        <f>AL22/4</f>
        <v>0</v>
      </c>
      <c r="AS22" s="84"/>
      <c r="AT22" s="79">
        <f>AL22/4</f>
        <v>0</v>
      </c>
      <c r="AU22" s="79">
        <f>SUM(AW22+AY22+BA22+BC22)</f>
        <v>0</v>
      </c>
      <c r="AV22" s="82"/>
      <c r="AW22" s="84"/>
      <c r="AX22" s="79">
        <f>AV22/4</f>
        <v>0</v>
      </c>
      <c r="AY22" s="84"/>
      <c r="AZ22" s="79">
        <f>AV22/4</f>
        <v>0</v>
      </c>
      <c r="BA22" s="84"/>
      <c r="BB22" s="79">
        <f>AV22/4</f>
        <v>0</v>
      </c>
      <c r="BC22" s="84"/>
      <c r="BD22" s="79">
        <f>AV22/4</f>
        <v>0</v>
      </c>
      <c r="BE22" s="79">
        <f>SUM(BG22+BI22+BK22+BM22)</f>
        <v>0</v>
      </c>
      <c r="BF22" s="68">
        <f>BF24/BF23</f>
        <v>37.20238095</v>
      </c>
      <c r="BG22" s="84"/>
      <c r="BH22" s="79">
        <f>BF22/4</f>
        <v>9.300595238</v>
      </c>
      <c r="BI22" s="84"/>
      <c r="BJ22" s="79">
        <f>BF22/4</f>
        <v>9.300595238</v>
      </c>
      <c r="BK22" s="84"/>
      <c r="BL22" s="79">
        <f>BF22/4</f>
        <v>9.300595238</v>
      </c>
      <c r="BM22" s="84"/>
      <c r="BN22" s="79">
        <f>BF22/4</f>
        <v>9.300595238</v>
      </c>
      <c r="BO22" s="79">
        <f>SUM(BQ22+BS22+BU22+BW22)</f>
        <v>0</v>
      </c>
      <c r="BP22" s="82"/>
      <c r="BQ22" s="84"/>
      <c r="BR22" s="79">
        <f>BP22/4</f>
        <v>0</v>
      </c>
      <c r="BS22" s="84"/>
      <c r="BT22" s="79">
        <f>BP22/4</f>
        <v>0</v>
      </c>
      <c r="BU22" s="84"/>
      <c r="BV22" s="79">
        <f>BP22/4</f>
        <v>0</v>
      </c>
      <c r="BW22" s="84"/>
      <c r="BX22" s="79">
        <f>BP22/4</f>
        <v>0</v>
      </c>
      <c r="BY22" s="79">
        <f>SUM(CA22+CC22+CE22+CG22)</f>
        <v>0</v>
      </c>
      <c r="BZ22" s="82"/>
      <c r="CA22" s="84"/>
      <c r="CB22" s="79">
        <f>BZ22/4</f>
        <v>0</v>
      </c>
      <c r="CC22" s="84"/>
      <c r="CD22" s="79">
        <f>BZ22/4</f>
        <v>0</v>
      </c>
      <c r="CE22" s="84"/>
      <c r="CF22" s="79">
        <f>BZ22/4</f>
        <v>0</v>
      </c>
      <c r="CG22" s="84"/>
      <c r="CH22" s="79">
        <f>BZ22/4</f>
        <v>0</v>
      </c>
      <c r="CI22" s="79">
        <f>SUM(CK22+CM22+CO22+CQ22)</f>
        <v>0</v>
      </c>
      <c r="CJ22" s="82"/>
      <c r="CK22" s="84"/>
      <c r="CL22" s="79">
        <f>CJ22/4</f>
        <v>0</v>
      </c>
      <c r="CM22" s="84"/>
      <c r="CN22" s="79">
        <f>CJ22/4</f>
        <v>0</v>
      </c>
      <c r="CO22" s="84"/>
      <c r="CP22" s="79">
        <f>CJ22/4</f>
        <v>0</v>
      </c>
      <c r="CQ22" s="84"/>
      <c r="CR22" s="79">
        <f>CJ22/4</f>
        <v>0</v>
      </c>
      <c r="CS22" s="79">
        <f>SUM(CU22+CW22+CY22+DA22)</f>
        <v>0</v>
      </c>
      <c r="CT22" s="82"/>
      <c r="CU22" s="84"/>
      <c r="CV22" s="79">
        <f>CT22/4</f>
        <v>0</v>
      </c>
      <c r="CW22" s="84"/>
      <c r="CX22" s="79">
        <f>CT22/4</f>
        <v>0</v>
      </c>
      <c r="CY22" s="84"/>
      <c r="CZ22" s="79">
        <f>CT22/4</f>
        <v>0</v>
      </c>
      <c r="DA22" s="84"/>
      <c r="DB22" s="79">
        <f>CT22/4</f>
        <v>0</v>
      </c>
      <c r="DC22" s="79">
        <f>SUM(DE22+DG22+DI22+DK22)</f>
        <v>0</v>
      </c>
      <c r="DD22" s="82"/>
      <c r="DE22" s="84"/>
      <c r="DF22" s="79">
        <f>DD22/4</f>
        <v>0</v>
      </c>
      <c r="DG22" s="84"/>
      <c r="DH22" s="79">
        <f>DD22/4</f>
        <v>0</v>
      </c>
      <c r="DI22" s="84"/>
      <c r="DJ22" s="79">
        <f>DD22/4</f>
        <v>0</v>
      </c>
      <c r="DK22" s="84"/>
      <c r="DL22" s="79">
        <f>DD22/4</f>
        <v>0</v>
      </c>
      <c r="DM22" s="79">
        <f>SUM(DO22+DQ22+DS22+DU22)</f>
        <v>0</v>
      </c>
      <c r="DN22" s="82"/>
      <c r="DO22" s="92"/>
      <c r="DP22" s="62">
        <f>DN22/4</f>
        <v>0</v>
      </c>
      <c r="DQ22" s="92"/>
      <c r="DR22" s="62">
        <f>DN22/4</f>
        <v>0</v>
      </c>
      <c r="DS22" s="92"/>
      <c r="DT22" s="62">
        <f>DN22/4</f>
        <v>0</v>
      </c>
      <c r="DU22" s="92"/>
      <c r="DV22" s="62">
        <f>DN22/4</f>
        <v>0</v>
      </c>
    </row>
    <row r="23" ht="15.75" customHeight="1">
      <c r="A23" s="87"/>
      <c r="B23" s="63"/>
      <c r="C23" s="78" t="s">
        <v>99</v>
      </c>
      <c r="D23" s="81" t="str">
        <f t="shared" ref="D23:F23" si="48">D24/D22</f>
        <v>#DIV/0!</v>
      </c>
      <c r="E23" s="81">
        <f t="shared" si="48"/>
        <v>0.2</v>
      </c>
      <c r="F23" s="81" t="str">
        <f t="shared" si="48"/>
        <v>#DIV/0!</v>
      </c>
      <c r="G23" s="88">
        <v>0.3</v>
      </c>
      <c r="H23" s="61" t="s">
        <v>97</v>
      </c>
      <c r="I23" s="81" t="str">
        <f>I24/I22</f>
        <v>#DIV/0!</v>
      </c>
      <c r="J23" s="83">
        <f>G23</f>
        <v>0.3</v>
      </c>
      <c r="K23" s="81" t="str">
        <f>K24/K22</f>
        <v>#DIV/0!</v>
      </c>
      <c r="L23" s="83">
        <f>G23</f>
        <v>0.3</v>
      </c>
      <c r="M23" s="81" t="str">
        <f>M24/M22</f>
        <v>#DIV/0!</v>
      </c>
      <c r="N23" s="83">
        <f>G23</f>
        <v>0.3</v>
      </c>
      <c r="O23" s="81" t="str">
        <f>O24/O22</f>
        <v>#DIV/0!</v>
      </c>
      <c r="P23" s="83">
        <f>G23</f>
        <v>0.3</v>
      </c>
      <c r="Q23" s="81" t="str">
        <f>Q24/Q22</f>
        <v>#DIV/0!</v>
      </c>
      <c r="R23" s="83"/>
      <c r="S23" s="81" t="str">
        <f>S24/S22</f>
        <v>#DIV/0!</v>
      </c>
      <c r="T23" s="83" t="str">
        <f>R23</f>
        <v/>
      </c>
      <c r="U23" s="81" t="str">
        <f>U24/U22</f>
        <v>#DIV/0!</v>
      </c>
      <c r="V23" s="83" t="str">
        <f>R23</f>
        <v/>
      </c>
      <c r="W23" s="81" t="str">
        <f>W24/W22</f>
        <v>#DIV/0!</v>
      </c>
      <c r="X23" s="83" t="str">
        <f>R23</f>
        <v/>
      </c>
      <c r="Y23" s="81" t="str">
        <f>Y24/Y22</f>
        <v>#DIV/0!</v>
      </c>
      <c r="Z23" s="83" t="str">
        <f>R23</f>
        <v/>
      </c>
      <c r="AA23" s="81" t="str">
        <f>AA24/AA22</f>
        <v>#DIV/0!</v>
      </c>
      <c r="AB23" s="83"/>
      <c r="AC23" s="81" t="str">
        <f>AC24/AC22</f>
        <v>#DIV/0!</v>
      </c>
      <c r="AD23" s="83" t="str">
        <f>AB23</f>
        <v/>
      </c>
      <c r="AE23" s="81" t="str">
        <f>AE24/AE22</f>
        <v>#DIV/0!</v>
      </c>
      <c r="AF23" s="83" t="str">
        <f>AB23</f>
        <v/>
      </c>
      <c r="AG23" s="81" t="str">
        <f>AG24/AG22</f>
        <v>#DIV/0!</v>
      </c>
      <c r="AH23" s="83" t="str">
        <f>AB23</f>
        <v/>
      </c>
      <c r="AI23" s="81" t="str">
        <f>AI24/AI22</f>
        <v>#DIV/0!</v>
      </c>
      <c r="AJ23" s="83" t="str">
        <f>AB23</f>
        <v/>
      </c>
      <c r="AK23" s="81" t="str">
        <f>AK24/AK22</f>
        <v>#DIV/0!</v>
      </c>
      <c r="AL23" s="83"/>
      <c r="AM23" s="81" t="str">
        <f>AM24/AM22</f>
        <v>#DIV/0!</v>
      </c>
      <c r="AN23" s="83" t="str">
        <f>AL23</f>
        <v/>
      </c>
      <c r="AO23" s="81" t="str">
        <f>AO24/AO22</f>
        <v>#DIV/0!</v>
      </c>
      <c r="AP23" s="83" t="str">
        <f>AL23</f>
        <v/>
      </c>
      <c r="AQ23" s="81" t="str">
        <f>AQ24/AQ22</f>
        <v>#DIV/0!</v>
      </c>
      <c r="AR23" s="83" t="str">
        <f>AL23</f>
        <v/>
      </c>
      <c r="AS23" s="81" t="str">
        <f>AS24/AS22</f>
        <v>#DIV/0!</v>
      </c>
      <c r="AT23" s="83" t="str">
        <f>AL23</f>
        <v/>
      </c>
      <c r="AU23" s="81" t="str">
        <f>AU24/AU22</f>
        <v>#DIV/0!</v>
      </c>
      <c r="AV23" s="83"/>
      <c r="AW23" s="81" t="str">
        <f>AW24/AW22</f>
        <v>#DIV/0!</v>
      </c>
      <c r="AX23" s="83" t="str">
        <f>AV23</f>
        <v/>
      </c>
      <c r="AY23" s="81" t="str">
        <f>AY24/AY22</f>
        <v>#DIV/0!</v>
      </c>
      <c r="AZ23" s="83" t="str">
        <f>AV23</f>
        <v/>
      </c>
      <c r="BA23" s="81" t="str">
        <f>BA24/BA22</f>
        <v>#DIV/0!</v>
      </c>
      <c r="BB23" s="83" t="str">
        <f>AV23</f>
        <v/>
      </c>
      <c r="BC23" s="81" t="str">
        <f>BC24/BC22</f>
        <v>#DIV/0!</v>
      </c>
      <c r="BD23" s="83" t="str">
        <f>AV23</f>
        <v/>
      </c>
      <c r="BE23" s="81" t="str">
        <f>BE24/BE22</f>
        <v>#DIV/0!</v>
      </c>
      <c r="BF23" s="89">
        <v>0.2</v>
      </c>
      <c r="BG23" s="81" t="str">
        <f>BG24/BG22</f>
        <v>#DIV/0!</v>
      </c>
      <c r="BH23" s="83">
        <f>BF23</f>
        <v>0.2</v>
      </c>
      <c r="BI23" s="81" t="str">
        <f>BI24/BI22</f>
        <v>#DIV/0!</v>
      </c>
      <c r="BJ23" s="83">
        <f>BF23</f>
        <v>0.2</v>
      </c>
      <c r="BK23" s="81" t="str">
        <f>BK24/BK22</f>
        <v>#DIV/0!</v>
      </c>
      <c r="BL23" s="83">
        <f>BF23</f>
        <v>0.2</v>
      </c>
      <c r="BM23" s="81" t="str">
        <f>BM24/BM22</f>
        <v>#DIV/0!</v>
      </c>
      <c r="BN23" s="83">
        <f>BF23</f>
        <v>0.2</v>
      </c>
      <c r="BO23" s="81" t="str">
        <f>BO24/BO22</f>
        <v>#DIV/0!</v>
      </c>
      <c r="BP23" s="83"/>
      <c r="BQ23" s="81" t="str">
        <f>BQ24/BQ22</f>
        <v>#DIV/0!</v>
      </c>
      <c r="BR23" s="83" t="str">
        <f>BP23</f>
        <v/>
      </c>
      <c r="BS23" s="81" t="str">
        <f>BS24/BS22</f>
        <v>#DIV/0!</v>
      </c>
      <c r="BT23" s="83" t="str">
        <f>BP23</f>
        <v/>
      </c>
      <c r="BU23" s="81" t="str">
        <f>BU24/BU22</f>
        <v>#DIV/0!</v>
      </c>
      <c r="BV23" s="83" t="str">
        <f>BP23</f>
        <v/>
      </c>
      <c r="BW23" s="81" t="str">
        <f>BW24/BW22</f>
        <v>#DIV/0!</v>
      </c>
      <c r="BX23" s="83" t="str">
        <f>BP23</f>
        <v/>
      </c>
      <c r="BY23" s="81" t="str">
        <f>BY24/BY22</f>
        <v>#DIV/0!</v>
      </c>
      <c r="BZ23" s="83"/>
      <c r="CA23" s="81" t="str">
        <f>CA24/CA22</f>
        <v>#DIV/0!</v>
      </c>
      <c r="CB23" s="83" t="str">
        <f>BZ23</f>
        <v/>
      </c>
      <c r="CC23" s="81" t="str">
        <f>CC24/CC22</f>
        <v>#DIV/0!</v>
      </c>
      <c r="CD23" s="83" t="str">
        <f>BZ23</f>
        <v/>
      </c>
      <c r="CE23" s="81" t="str">
        <f>CE24/CE22</f>
        <v>#DIV/0!</v>
      </c>
      <c r="CF23" s="83" t="str">
        <f>BZ23</f>
        <v/>
      </c>
      <c r="CG23" s="81" t="str">
        <f>CG24/CG22</f>
        <v>#DIV/0!</v>
      </c>
      <c r="CH23" s="83" t="str">
        <f>BZ23</f>
        <v/>
      </c>
      <c r="CI23" s="81" t="str">
        <f>CI24/CI22</f>
        <v>#DIV/0!</v>
      </c>
      <c r="CJ23" s="83"/>
      <c r="CK23" s="81" t="str">
        <f>CK24/CK22</f>
        <v>#DIV/0!</v>
      </c>
      <c r="CL23" s="83" t="str">
        <f>CJ23</f>
        <v/>
      </c>
      <c r="CM23" s="81" t="str">
        <f>CM24/CM22</f>
        <v>#DIV/0!</v>
      </c>
      <c r="CN23" s="83" t="str">
        <f>CJ23</f>
        <v/>
      </c>
      <c r="CO23" s="81" t="str">
        <f>CO24/CO22</f>
        <v>#DIV/0!</v>
      </c>
      <c r="CP23" s="83" t="str">
        <f>CJ23</f>
        <v/>
      </c>
      <c r="CQ23" s="81" t="str">
        <f>CQ24/CQ22</f>
        <v>#DIV/0!</v>
      </c>
      <c r="CR23" s="83" t="str">
        <f>CJ23</f>
        <v/>
      </c>
      <c r="CS23" s="81" t="str">
        <f>CS24/CS22</f>
        <v>#DIV/0!</v>
      </c>
      <c r="CT23" s="83"/>
      <c r="CU23" s="81" t="str">
        <f>CU24/CU22</f>
        <v>#DIV/0!</v>
      </c>
      <c r="CV23" s="83" t="str">
        <f>CT23</f>
        <v/>
      </c>
      <c r="CW23" s="81" t="str">
        <f>CW24/CW22</f>
        <v>#DIV/0!</v>
      </c>
      <c r="CX23" s="83" t="str">
        <f>CT23</f>
        <v/>
      </c>
      <c r="CY23" s="81" t="str">
        <f>CY24/CY22</f>
        <v>#DIV/0!</v>
      </c>
      <c r="CZ23" s="83" t="str">
        <f>CT23</f>
        <v/>
      </c>
      <c r="DA23" s="81" t="str">
        <f>DA24/DA22</f>
        <v>#DIV/0!</v>
      </c>
      <c r="DB23" s="83" t="str">
        <f>CT23</f>
        <v/>
      </c>
      <c r="DC23" s="81" t="str">
        <f>DC24/DC22</f>
        <v>#DIV/0!</v>
      </c>
      <c r="DD23" s="83"/>
      <c r="DE23" s="81" t="str">
        <f>DE24/DE22</f>
        <v>#DIV/0!</v>
      </c>
      <c r="DF23" s="83" t="str">
        <f>DD23</f>
        <v/>
      </c>
      <c r="DG23" s="81" t="str">
        <f>DG24/DG22</f>
        <v>#DIV/0!</v>
      </c>
      <c r="DH23" s="83" t="str">
        <f>DD23</f>
        <v/>
      </c>
      <c r="DI23" s="81" t="str">
        <f>DI24/DI22</f>
        <v>#DIV/0!</v>
      </c>
      <c r="DJ23" s="83" t="str">
        <f>DD23</f>
        <v/>
      </c>
      <c r="DK23" s="81" t="str">
        <f>DK24/DK22</f>
        <v>#DIV/0!</v>
      </c>
      <c r="DL23" s="83" t="str">
        <f>DD23</f>
        <v/>
      </c>
      <c r="DM23" s="81" t="str">
        <f>DM24/DM22</f>
        <v>#DIV/0!</v>
      </c>
      <c r="DN23" s="83"/>
      <c r="DO23" s="66" t="str">
        <f>DO24/DO22</f>
        <v>#DIV/0!</v>
      </c>
      <c r="DP23" s="93" t="str">
        <f>DN23</f>
        <v/>
      </c>
      <c r="DQ23" s="66" t="str">
        <f>DQ24/DQ22</f>
        <v>#DIV/0!</v>
      </c>
      <c r="DR23" s="93" t="str">
        <f>DN23</f>
        <v/>
      </c>
      <c r="DS23" s="66" t="str">
        <f>DS24/DS22</f>
        <v>#DIV/0!</v>
      </c>
      <c r="DT23" s="93" t="str">
        <f>DN23</f>
        <v/>
      </c>
      <c r="DU23" s="66" t="str">
        <f>DU24/DU22</f>
        <v>#DIV/0!</v>
      </c>
      <c r="DV23" s="93" t="str">
        <f>DN23</f>
        <v/>
      </c>
    </row>
    <row r="24" ht="15.75" customHeight="1">
      <c r="A24" s="35"/>
      <c r="B24" s="63"/>
      <c r="C24" s="78" t="s">
        <v>100</v>
      </c>
      <c r="D24" s="91">
        <f t="shared" ref="D24:E24" si="49">SUM(F24+Q24+AA24+AK24+AU24+BE24+BO24+BY24+CI24+CS24+DC24+DM24)</f>
        <v>0</v>
      </c>
      <c r="E24" s="80">
        <f t="shared" si="49"/>
        <v>7.44047619</v>
      </c>
      <c r="F24" s="81">
        <f>SUM(I24+K24+M24+O24)</f>
        <v>0</v>
      </c>
      <c r="G24" s="82">
        <f>G26/G25</f>
        <v>0</v>
      </c>
      <c r="H24" s="61" t="str">
        <f>G24/F24</f>
        <v>#DIV/0!</v>
      </c>
      <c r="I24" s="83"/>
      <c r="J24" s="79">
        <f>G24/4</f>
        <v>0</v>
      </c>
      <c r="K24" s="83"/>
      <c r="L24" s="79">
        <f>G24/4</f>
        <v>0</v>
      </c>
      <c r="M24" s="83"/>
      <c r="N24" s="79">
        <f>G24/4</f>
        <v>0</v>
      </c>
      <c r="O24" s="83"/>
      <c r="P24" s="79">
        <f>G24/4</f>
        <v>0</v>
      </c>
      <c r="Q24" s="79">
        <f>SUM(S24+U24+W24+Y24)</f>
        <v>0</v>
      </c>
      <c r="R24" s="82"/>
      <c r="S24" s="84"/>
      <c r="T24" s="79">
        <f>R24/4</f>
        <v>0</v>
      </c>
      <c r="U24" s="84"/>
      <c r="V24" s="79">
        <f>R24/4</f>
        <v>0</v>
      </c>
      <c r="W24" s="84"/>
      <c r="X24" s="79">
        <f>R24/4</f>
        <v>0</v>
      </c>
      <c r="Y24" s="84"/>
      <c r="Z24" s="79">
        <f>R24/4</f>
        <v>0</v>
      </c>
      <c r="AA24" s="79">
        <f>SUM(AC24+AE24+AG24+AI24)</f>
        <v>0</v>
      </c>
      <c r="AB24" s="82"/>
      <c r="AC24" s="84"/>
      <c r="AD24" s="79">
        <f>AB24/4</f>
        <v>0</v>
      </c>
      <c r="AE24" s="84"/>
      <c r="AF24" s="79">
        <f>AB24/4</f>
        <v>0</v>
      </c>
      <c r="AG24" s="84"/>
      <c r="AH24" s="79">
        <f>AB24/4</f>
        <v>0</v>
      </c>
      <c r="AI24" s="84"/>
      <c r="AJ24" s="79">
        <f>AB24/4</f>
        <v>0</v>
      </c>
      <c r="AK24" s="79">
        <f>SUM(AM24+AO24+AQ24+AS24)</f>
        <v>0</v>
      </c>
      <c r="AL24" s="82"/>
      <c r="AM24" s="84"/>
      <c r="AN24" s="79">
        <f>AL24/4</f>
        <v>0</v>
      </c>
      <c r="AO24" s="84"/>
      <c r="AP24" s="79">
        <f>AL24/4</f>
        <v>0</v>
      </c>
      <c r="AQ24" s="84"/>
      <c r="AR24" s="79">
        <f>AL24/4</f>
        <v>0</v>
      </c>
      <c r="AS24" s="84"/>
      <c r="AT24" s="79">
        <f>AL24/4</f>
        <v>0</v>
      </c>
      <c r="AU24" s="79">
        <f>SUM(AW24+AY24+BA24+BC24)</f>
        <v>0</v>
      </c>
      <c r="AV24" s="82"/>
      <c r="AW24" s="84"/>
      <c r="AX24" s="79">
        <f>AV24/4</f>
        <v>0</v>
      </c>
      <c r="AY24" s="84"/>
      <c r="AZ24" s="79">
        <f>AV24/4</f>
        <v>0</v>
      </c>
      <c r="BA24" s="84"/>
      <c r="BB24" s="79">
        <f>AV24/4</f>
        <v>0</v>
      </c>
      <c r="BC24" s="84"/>
      <c r="BD24" s="79">
        <f>AV24/4</f>
        <v>0</v>
      </c>
      <c r="BE24" s="79">
        <f>SUM(BG24+BI24+BK24+BM24)</f>
        <v>0</v>
      </c>
      <c r="BF24" s="68">
        <f>BF26/BF25</f>
        <v>7.44047619</v>
      </c>
      <c r="BG24" s="84"/>
      <c r="BH24" s="79">
        <f>BF24/4</f>
        <v>1.860119048</v>
      </c>
      <c r="BI24" s="84"/>
      <c r="BJ24" s="79">
        <f>BF24/4</f>
        <v>1.860119048</v>
      </c>
      <c r="BK24" s="84"/>
      <c r="BL24" s="79">
        <f>BF24/4</f>
        <v>1.860119048</v>
      </c>
      <c r="BM24" s="84"/>
      <c r="BN24" s="79">
        <f>BF24/4</f>
        <v>1.860119048</v>
      </c>
      <c r="BO24" s="79">
        <f>SUM(BQ24+BS24+BU24+BW24)</f>
        <v>0</v>
      </c>
      <c r="BP24" s="82"/>
      <c r="BQ24" s="84"/>
      <c r="BR24" s="79">
        <f>BP24/4</f>
        <v>0</v>
      </c>
      <c r="BS24" s="84"/>
      <c r="BT24" s="79">
        <f>BP24/4</f>
        <v>0</v>
      </c>
      <c r="BU24" s="84"/>
      <c r="BV24" s="79">
        <f>BP24/4</f>
        <v>0</v>
      </c>
      <c r="BW24" s="84"/>
      <c r="BX24" s="79">
        <f>BP24/4</f>
        <v>0</v>
      </c>
      <c r="BY24" s="79">
        <f>SUM(CA24+CC24+CE24+CG24)</f>
        <v>0</v>
      </c>
      <c r="BZ24" s="82"/>
      <c r="CA24" s="84"/>
      <c r="CB24" s="79">
        <f>BZ24/4</f>
        <v>0</v>
      </c>
      <c r="CC24" s="84"/>
      <c r="CD24" s="79">
        <f>BZ24/4</f>
        <v>0</v>
      </c>
      <c r="CE24" s="84"/>
      <c r="CF24" s="79">
        <f>BZ24/4</f>
        <v>0</v>
      </c>
      <c r="CG24" s="84"/>
      <c r="CH24" s="79">
        <f>BZ24/4</f>
        <v>0</v>
      </c>
      <c r="CI24" s="79">
        <f>SUM(CK24+CM24+CO24+CQ24)</f>
        <v>0</v>
      </c>
      <c r="CJ24" s="82"/>
      <c r="CK24" s="84"/>
      <c r="CL24" s="79">
        <f>CJ24/4</f>
        <v>0</v>
      </c>
      <c r="CM24" s="84"/>
      <c r="CN24" s="79">
        <f>CJ24/4</f>
        <v>0</v>
      </c>
      <c r="CO24" s="84"/>
      <c r="CP24" s="79">
        <f>CJ24/4</f>
        <v>0</v>
      </c>
      <c r="CQ24" s="84"/>
      <c r="CR24" s="79">
        <f>CJ24/4</f>
        <v>0</v>
      </c>
      <c r="CS24" s="79">
        <f>SUM(CU24+CW24+CY24+DA24)</f>
        <v>0</v>
      </c>
      <c r="CT24" s="82"/>
      <c r="CU24" s="84"/>
      <c r="CV24" s="79">
        <f>CT24/4</f>
        <v>0</v>
      </c>
      <c r="CW24" s="84"/>
      <c r="CX24" s="79">
        <f>CT24/4</f>
        <v>0</v>
      </c>
      <c r="CY24" s="84"/>
      <c r="CZ24" s="79">
        <f>CT24/4</f>
        <v>0</v>
      </c>
      <c r="DA24" s="84"/>
      <c r="DB24" s="79">
        <f>CT24/4</f>
        <v>0</v>
      </c>
      <c r="DC24" s="79">
        <f>SUM(DE24+DG24+DI24+DK24)</f>
        <v>0</v>
      </c>
      <c r="DD24" s="82"/>
      <c r="DE24" s="84"/>
      <c r="DF24" s="79">
        <f>DD24/4</f>
        <v>0</v>
      </c>
      <c r="DG24" s="84"/>
      <c r="DH24" s="79">
        <f>DD24/4</f>
        <v>0</v>
      </c>
      <c r="DI24" s="84"/>
      <c r="DJ24" s="79">
        <f>DD24/4</f>
        <v>0</v>
      </c>
      <c r="DK24" s="84"/>
      <c r="DL24" s="79">
        <f>DD24/4</f>
        <v>0</v>
      </c>
      <c r="DM24" s="79">
        <f>SUM(DO24+DQ24+DS24+DU24)</f>
        <v>0</v>
      </c>
      <c r="DN24" s="82"/>
      <c r="DO24" s="92"/>
      <c r="DP24" s="62">
        <f>DN24/4</f>
        <v>0</v>
      </c>
      <c r="DQ24" s="92"/>
      <c r="DR24" s="62">
        <f>DN24/4</f>
        <v>0</v>
      </c>
      <c r="DS24" s="92"/>
      <c r="DT24" s="62">
        <f>DN24/4</f>
        <v>0</v>
      </c>
      <c r="DU24" s="92"/>
      <c r="DV24" s="62">
        <f>DN24/4</f>
        <v>0</v>
      </c>
    </row>
    <row r="25" ht="15.75" customHeight="1">
      <c r="A25" s="87"/>
      <c r="B25" s="63"/>
      <c r="C25" s="78" t="s">
        <v>101</v>
      </c>
      <c r="D25" s="81" t="str">
        <f t="shared" ref="D25:F25" si="50">D26/D24</f>
        <v>#DIV/0!</v>
      </c>
      <c r="E25" s="81">
        <f t="shared" si="50"/>
        <v>0.8</v>
      </c>
      <c r="F25" s="81" t="str">
        <f t="shared" si="50"/>
        <v>#DIV/0!</v>
      </c>
      <c r="G25" s="88">
        <v>0.9</v>
      </c>
      <c r="H25" s="61" t="s">
        <v>97</v>
      </c>
      <c r="I25" s="81" t="str">
        <f>I26/I24</f>
        <v>#DIV/0!</v>
      </c>
      <c r="J25" s="83">
        <f>G25</f>
        <v>0.9</v>
      </c>
      <c r="K25" s="81" t="str">
        <f>K26/K24</f>
        <v>#DIV/0!</v>
      </c>
      <c r="L25" s="83">
        <f>G25</f>
        <v>0.9</v>
      </c>
      <c r="M25" s="81" t="str">
        <f>M26/M24</f>
        <v>#DIV/0!</v>
      </c>
      <c r="N25" s="83">
        <f>G25</f>
        <v>0.9</v>
      </c>
      <c r="O25" s="81" t="str">
        <f>O26/O24</f>
        <v>#DIV/0!</v>
      </c>
      <c r="P25" s="83">
        <f>G25</f>
        <v>0.9</v>
      </c>
      <c r="Q25" s="81" t="str">
        <f>Q26/Q24</f>
        <v>#DIV/0!</v>
      </c>
      <c r="R25" s="83"/>
      <c r="S25" s="81" t="str">
        <f>S26/S24</f>
        <v>#DIV/0!</v>
      </c>
      <c r="T25" s="83" t="str">
        <f>R25</f>
        <v/>
      </c>
      <c r="U25" s="81" t="str">
        <f>U26/U24</f>
        <v>#DIV/0!</v>
      </c>
      <c r="V25" s="83" t="str">
        <f>R25</f>
        <v/>
      </c>
      <c r="W25" s="81" t="str">
        <f>W26/W24</f>
        <v>#DIV/0!</v>
      </c>
      <c r="X25" s="83" t="str">
        <f>R25</f>
        <v/>
      </c>
      <c r="Y25" s="81" t="str">
        <f>Y26/Y24</f>
        <v>#DIV/0!</v>
      </c>
      <c r="Z25" s="83" t="str">
        <f>R25</f>
        <v/>
      </c>
      <c r="AA25" s="81" t="str">
        <f>AA26/AA24</f>
        <v>#DIV/0!</v>
      </c>
      <c r="AB25" s="83"/>
      <c r="AC25" s="81" t="str">
        <f>AC26/AC24</f>
        <v>#DIV/0!</v>
      </c>
      <c r="AD25" s="83" t="str">
        <f>AB25</f>
        <v/>
      </c>
      <c r="AE25" s="81" t="str">
        <f>AE26/AE24</f>
        <v>#DIV/0!</v>
      </c>
      <c r="AF25" s="83" t="str">
        <f>AB25</f>
        <v/>
      </c>
      <c r="AG25" s="81" t="str">
        <f>AG26/AG24</f>
        <v>#DIV/0!</v>
      </c>
      <c r="AH25" s="83" t="str">
        <f>AB25</f>
        <v/>
      </c>
      <c r="AI25" s="81" t="str">
        <f>AI26/AI24</f>
        <v>#DIV/0!</v>
      </c>
      <c r="AJ25" s="83" t="str">
        <f>AB25</f>
        <v/>
      </c>
      <c r="AK25" s="81" t="str">
        <f>AK26/AK24</f>
        <v>#DIV/0!</v>
      </c>
      <c r="AL25" s="83"/>
      <c r="AM25" s="81" t="str">
        <f>AM26/AM24</f>
        <v>#DIV/0!</v>
      </c>
      <c r="AN25" s="83" t="str">
        <f>AL25</f>
        <v/>
      </c>
      <c r="AO25" s="81" t="str">
        <f>AO26/AO24</f>
        <v>#DIV/0!</v>
      </c>
      <c r="AP25" s="83" t="str">
        <f>AL25</f>
        <v/>
      </c>
      <c r="AQ25" s="81" t="str">
        <f>AQ26/AQ24</f>
        <v>#DIV/0!</v>
      </c>
      <c r="AR25" s="83" t="str">
        <f>AL25</f>
        <v/>
      </c>
      <c r="AS25" s="81" t="str">
        <f>AS26/AS24</f>
        <v>#DIV/0!</v>
      </c>
      <c r="AT25" s="83" t="str">
        <f>AL25</f>
        <v/>
      </c>
      <c r="AU25" s="81" t="str">
        <f>AU26/AU24</f>
        <v>#DIV/0!</v>
      </c>
      <c r="AV25" s="83"/>
      <c r="AW25" s="81" t="str">
        <f>AW26/AW24</f>
        <v>#DIV/0!</v>
      </c>
      <c r="AX25" s="83" t="str">
        <f>AV25</f>
        <v/>
      </c>
      <c r="AY25" s="81" t="str">
        <f>AY26/AY24</f>
        <v>#DIV/0!</v>
      </c>
      <c r="AZ25" s="83" t="str">
        <f>AV25</f>
        <v/>
      </c>
      <c r="BA25" s="81" t="str">
        <f>BA26/BA24</f>
        <v>#DIV/0!</v>
      </c>
      <c r="BB25" s="83" t="str">
        <f>AV25</f>
        <v/>
      </c>
      <c r="BC25" s="81" t="str">
        <f>BC26/BC24</f>
        <v>#DIV/0!</v>
      </c>
      <c r="BD25" s="83" t="str">
        <f>AV25</f>
        <v/>
      </c>
      <c r="BE25" s="81" t="str">
        <f>BE26/BE24</f>
        <v>#DIV/0!</v>
      </c>
      <c r="BF25" s="89">
        <v>0.8</v>
      </c>
      <c r="BG25" s="81" t="str">
        <f>BG26/BG24</f>
        <v>#DIV/0!</v>
      </c>
      <c r="BH25" s="83">
        <f>BF25</f>
        <v>0.8</v>
      </c>
      <c r="BI25" s="81" t="str">
        <f>BI26/BI24</f>
        <v>#DIV/0!</v>
      </c>
      <c r="BJ25" s="83">
        <f>BF25</f>
        <v>0.8</v>
      </c>
      <c r="BK25" s="81" t="str">
        <f>BK26/BK24</f>
        <v>#DIV/0!</v>
      </c>
      <c r="BL25" s="83">
        <f>BF25</f>
        <v>0.8</v>
      </c>
      <c r="BM25" s="81" t="str">
        <f>BM26/BM24</f>
        <v>#DIV/0!</v>
      </c>
      <c r="BN25" s="83">
        <f>BF25</f>
        <v>0.8</v>
      </c>
      <c r="BO25" s="81" t="str">
        <f>BO26/BO24</f>
        <v>#DIV/0!</v>
      </c>
      <c r="BP25" s="83"/>
      <c r="BQ25" s="81" t="str">
        <f>BQ26/BQ24</f>
        <v>#DIV/0!</v>
      </c>
      <c r="BR25" s="83" t="str">
        <f>BP25</f>
        <v/>
      </c>
      <c r="BS25" s="81" t="str">
        <f>BS26/BS24</f>
        <v>#DIV/0!</v>
      </c>
      <c r="BT25" s="83" t="str">
        <f>BP25</f>
        <v/>
      </c>
      <c r="BU25" s="81" t="str">
        <f>BU26/BU24</f>
        <v>#DIV/0!</v>
      </c>
      <c r="BV25" s="83" t="str">
        <f>BP25</f>
        <v/>
      </c>
      <c r="BW25" s="81" t="str">
        <f>BW26/BW24</f>
        <v>#DIV/0!</v>
      </c>
      <c r="BX25" s="83" t="str">
        <f>BP25</f>
        <v/>
      </c>
      <c r="BY25" s="81" t="str">
        <f>BY26/BY24</f>
        <v>#DIV/0!</v>
      </c>
      <c r="BZ25" s="83"/>
      <c r="CA25" s="81" t="str">
        <f>CA26/CA24</f>
        <v>#DIV/0!</v>
      </c>
      <c r="CB25" s="83" t="str">
        <f>BZ25</f>
        <v/>
      </c>
      <c r="CC25" s="81" t="str">
        <f>CC26/CC24</f>
        <v>#DIV/0!</v>
      </c>
      <c r="CD25" s="83" t="str">
        <f>BZ25</f>
        <v/>
      </c>
      <c r="CE25" s="81" t="str">
        <f>CE26/CE24</f>
        <v>#DIV/0!</v>
      </c>
      <c r="CF25" s="83" t="str">
        <f>BZ25</f>
        <v/>
      </c>
      <c r="CG25" s="81" t="str">
        <f>CG26/CG24</f>
        <v>#DIV/0!</v>
      </c>
      <c r="CH25" s="83" t="str">
        <f>BZ25</f>
        <v/>
      </c>
      <c r="CI25" s="81" t="str">
        <f>CI26/CI24</f>
        <v>#DIV/0!</v>
      </c>
      <c r="CJ25" s="83"/>
      <c r="CK25" s="81" t="str">
        <f>CK26/CK24</f>
        <v>#DIV/0!</v>
      </c>
      <c r="CL25" s="83" t="str">
        <f>CJ25</f>
        <v/>
      </c>
      <c r="CM25" s="81" t="str">
        <f>CM26/CM24</f>
        <v>#DIV/0!</v>
      </c>
      <c r="CN25" s="83" t="str">
        <f>CJ25</f>
        <v/>
      </c>
      <c r="CO25" s="81" t="str">
        <f>CO26/CO24</f>
        <v>#DIV/0!</v>
      </c>
      <c r="CP25" s="83" t="str">
        <f>CJ25</f>
        <v/>
      </c>
      <c r="CQ25" s="81" t="str">
        <f>CQ26/CQ24</f>
        <v>#DIV/0!</v>
      </c>
      <c r="CR25" s="83" t="str">
        <f>CJ25</f>
        <v/>
      </c>
      <c r="CS25" s="81" t="str">
        <f>CS26/CS24</f>
        <v>#DIV/0!</v>
      </c>
      <c r="CT25" s="83"/>
      <c r="CU25" s="81" t="str">
        <f>CU26/CU24</f>
        <v>#DIV/0!</v>
      </c>
      <c r="CV25" s="83" t="str">
        <f>CT25</f>
        <v/>
      </c>
      <c r="CW25" s="81" t="str">
        <f>CW26/CW24</f>
        <v>#DIV/0!</v>
      </c>
      <c r="CX25" s="83" t="str">
        <f>CT25</f>
        <v/>
      </c>
      <c r="CY25" s="81" t="str">
        <f>CY26/CY24</f>
        <v>#DIV/0!</v>
      </c>
      <c r="CZ25" s="83" t="str">
        <f>CT25</f>
        <v/>
      </c>
      <c r="DA25" s="81" t="str">
        <f>DA26/DA24</f>
        <v>#DIV/0!</v>
      </c>
      <c r="DB25" s="83" t="str">
        <f>CT25</f>
        <v/>
      </c>
      <c r="DC25" s="81" t="str">
        <f>DC26/DC24</f>
        <v>#DIV/0!</v>
      </c>
      <c r="DD25" s="83"/>
      <c r="DE25" s="81" t="str">
        <f>DE26/DE24</f>
        <v>#DIV/0!</v>
      </c>
      <c r="DF25" s="83" t="str">
        <f>DD25</f>
        <v/>
      </c>
      <c r="DG25" s="81" t="str">
        <f>DG26/DG24</f>
        <v>#DIV/0!</v>
      </c>
      <c r="DH25" s="83" t="str">
        <f>DD25</f>
        <v/>
      </c>
      <c r="DI25" s="81" t="str">
        <f>DI26/DI24</f>
        <v>#DIV/0!</v>
      </c>
      <c r="DJ25" s="83" t="str">
        <f>DD25</f>
        <v/>
      </c>
      <c r="DK25" s="81" t="str">
        <f>DK26/DK24</f>
        <v>#DIV/0!</v>
      </c>
      <c r="DL25" s="83" t="str">
        <f>DD25</f>
        <v/>
      </c>
      <c r="DM25" s="81" t="str">
        <f>DM26/DM24</f>
        <v>#DIV/0!</v>
      </c>
      <c r="DN25" s="83"/>
      <c r="DO25" s="66" t="str">
        <f>DO26/DO24</f>
        <v>#DIV/0!</v>
      </c>
      <c r="DP25" s="93" t="str">
        <f>DN25</f>
        <v/>
      </c>
      <c r="DQ25" s="66" t="str">
        <f>DQ26/DQ24</f>
        <v>#DIV/0!</v>
      </c>
      <c r="DR25" s="93" t="str">
        <f>DN25</f>
        <v/>
      </c>
      <c r="DS25" s="66" t="str">
        <f>DS26/DS24</f>
        <v>#DIV/0!</v>
      </c>
      <c r="DT25" s="93" t="str">
        <f>DN25</f>
        <v/>
      </c>
      <c r="DU25" s="66" t="str">
        <f>DU26/DU24</f>
        <v>#DIV/0!</v>
      </c>
      <c r="DV25" s="93" t="str">
        <f>DN25</f>
        <v/>
      </c>
    </row>
    <row r="26" ht="15.75" customHeight="1">
      <c r="A26" s="94"/>
      <c r="B26" s="63"/>
      <c r="C26" s="95" t="s">
        <v>102</v>
      </c>
      <c r="D26" s="79">
        <f t="shared" ref="D26:E26" si="51">SUM(F26+Q26+AA26+AK26+AU26+BE26+BO26+BY26+CI26+CS26+DC26+DM26)</f>
        <v>0</v>
      </c>
      <c r="E26" s="80">
        <f t="shared" si="51"/>
        <v>5.952380952</v>
      </c>
      <c r="F26" s="81">
        <f>SUM(I26+K26+M26+O26)</f>
        <v>0</v>
      </c>
      <c r="G26" s="82">
        <f>G28/G27</f>
        <v>0</v>
      </c>
      <c r="H26" s="61" t="str">
        <f>G26/F26</f>
        <v>#DIV/0!</v>
      </c>
      <c r="I26" s="83"/>
      <c r="J26" s="79">
        <f>G26/4</f>
        <v>0</v>
      </c>
      <c r="K26" s="83"/>
      <c r="L26" s="79">
        <f>G26/4</f>
        <v>0</v>
      </c>
      <c r="M26" s="83"/>
      <c r="N26" s="79">
        <f>G26/4</f>
        <v>0</v>
      </c>
      <c r="O26" s="83"/>
      <c r="P26" s="79">
        <f>G26/4</f>
        <v>0</v>
      </c>
      <c r="Q26" s="79">
        <f>SUM(S26+U26+W26+Y26)</f>
        <v>0</v>
      </c>
      <c r="R26" s="82"/>
      <c r="S26" s="84"/>
      <c r="T26" s="79">
        <f>R26/4</f>
        <v>0</v>
      </c>
      <c r="U26" s="84"/>
      <c r="V26" s="79">
        <f>R26/4</f>
        <v>0</v>
      </c>
      <c r="W26" s="84"/>
      <c r="X26" s="79">
        <f>R26/4</f>
        <v>0</v>
      </c>
      <c r="Y26" s="84"/>
      <c r="Z26" s="79">
        <f>R26/4</f>
        <v>0</v>
      </c>
      <c r="AA26" s="79">
        <f>SUM(AC26+AE26+AG26+AI26)</f>
        <v>0</v>
      </c>
      <c r="AB26" s="82"/>
      <c r="AC26" s="84"/>
      <c r="AD26" s="79">
        <f>AB26/4</f>
        <v>0</v>
      </c>
      <c r="AE26" s="84"/>
      <c r="AF26" s="79">
        <f>AB26/4</f>
        <v>0</v>
      </c>
      <c r="AG26" s="84"/>
      <c r="AH26" s="79">
        <f>AB26/4</f>
        <v>0</v>
      </c>
      <c r="AI26" s="84"/>
      <c r="AJ26" s="79">
        <f>AB26/4</f>
        <v>0</v>
      </c>
      <c r="AK26" s="79">
        <f>SUM(AM26+AO26+AQ26+AS26)</f>
        <v>0</v>
      </c>
      <c r="AL26" s="82"/>
      <c r="AM26" s="84"/>
      <c r="AN26" s="79">
        <f>AL26/4</f>
        <v>0</v>
      </c>
      <c r="AO26" s="84"/>
      <c r="AP26" s="79">
        <f>AL26/4</f>
        <v>0</v>
      </c>
      <c r="AQ26" s="84"/>
      <c r="AR26" s="79">
        <f>AL26/4</f>
        <v>0</v>
      </c>
      <c r="AS26" s="84"/>
      <c r="AT26" s="79">
        <f>AL26/4</f>
        <v>0</v>
      </c>
      <c r="AU26" s="79">
        <f>SUM(AW26+AY26+BA26+BC26)</f>
        <v>0</v>
      </c>
      <c r="AV26" s="82"/>
      <c r="AW26" s="84"/>
      <c r="AX26" s="79">
        <f>AV26/4</f>
        <v>0</v>
      </c>
      <c r="AY26" s="84"/>
      <c r="AZ26" s="79">
        <f>AV26/4</f>
        <v>0</v>
      </c>
      <c r="BA26" s="84"/>
      <c r="BB26" s="79">
        <f>AV26/4</f>
        <v>0</v>
      </c>
      <c r="BC26" s="84"/>
      <c r="BD26" s="79">
        <f>AV26/4</f>
        <v>0</v>
      </c>
      <c r="BE26" s="79">
        <f>SUM(BG26+BI26+BK26+BM26)</f>
        <v>0</v>
      </c>
      <c r="BF26" s="68">
        <f>BF28/BF27</f>
        <v>5.952380952</v>
      </c>
      <c r="BG26" s="84"/>
      <c r="BH26" s="79">
        <f>BF26/4</f>
        <v>1.488095238</v>
      </c>
      <c r="BI26" s="84"/>
      <c r="BJ26" s="79">
        <f>BF26/4</f>
        <v>1.488095238</v>
      </c>
      <c r="BK26" s="84"/>
      <c r="BL26" s="79">
        <f>BF26/4</f>
        <v>1.488095238</v>
      </c>
      <c r="BM26" s="84"/>
      <c r="BN26" s="79">
        <f>BF26/4</f>
        <v>1.488095238</v>
      </c>
      <c r="BO26" s="79">
        <f>SUM(BQ26+BS26+BU26+BW26)</f>
        <v>0</v>
      </c>
      <c r="BP26" s="82"/>
      <c r="BQ26" s="84"/>
      <c r="BR26" s="79">
        <f>BP26/4</f>
        <v>0</v>
      </c>
      <c r="BS26" s="84"/>
      <c r="BT26" s="79">
        <f>BP26/4</f>
        <v>0</v>
      </c>
      <c r="BU26" s="84"/>
      <c r="BV26" s="79">
        <f>BP26/4</f>
        <v>0</v>
      </c>
      <c r="BW26" s="84"/>
      <c r="BX26" s="79">
        <f>BP26/4</f>
        <v>0</v>
      </c>
      <c r="BY26" s="79">
        <f>SUM(CA26+CC26+CE26+CG26)</f>
        <v>0</v>
      </c>
      <c r="BZ26" s="82"/>
      <c r="CA26" s="84"/>
      <c r="CB26" s="79">
        <f>BZ26/4</f>
        <v>0</v>
      </c>
      <c r="CC26" s="84"/>
      <c r="CD26" s="79">
        <f>BZ26/4</f>
        <v>0</v>
      </c>
      <c r="CE26" s="84"/>
      <c r="CF26" s="79">
        <f>BZ26/4</f>
        <v>0</v>
      </c>
      <c r="CG26" s="84"/>
      <c r="CH26" s="79">
        <f>BZ26/4</f>
        <v>0</v>
      </c>
      <c r="CI26" s="79">
        <f>SUM(CK26+CM26+CO26+CQ26)</f>
        <v>0</v>
      </c>
      <c r="CJ26" s="82"/>
      <c r="CK26" s="84"/>
      <c r="CL26" s="79">
        <f>CJ26/4</f>
        <v>0</v>
      </c>
      <c r="CM26" s="84"/>
      <c r="CN26" s="79">
        <f>CJ26/4</f>
        <v>0</v>
      </c>
      <c r="CO26" s="84"/>
      <c r="CP26" s="79">
        <f>CJ26/4</f>
        <v>0</v>
      </c>
      <c r="CQ26" s="84"/>
      <c r="CR26" s="79">
        <f>CJ26/4</f>
        <v>0</v>
      </c>
      <c r="CS26" s="79">
        <f>SUM(CU26+CW26+CY26+DA26)</f>
        <v>0</v>
      </c>
      <c r="CT26" s="82"/>
      <c r="CU26" s="84"/>
      <c r="CV26" s="79">
        <f>CT26/4</f>
        <v>0</v>
      </c>
      <c r="CW26" s="84"/>
      <c r="CX26" s="79">
        <f>CT26/4</f>
        <v>0</v>
      </c>
      <c r="CY26" s="84"/>
      <c r="CZ26" s="79">
        <f>CT26/4</f>
        <v>0</v>
      </c>
      <c r="DA26" s="84"/>
      <c r="DB26" s="79">
        <f>CT26/4</f>
        <v>0</v>
      </c>
      <c r="DC26" s="79">
        <f>SUM(DE26+DG26+DI26+DK26)</f>
        <v>0</v>
      </c>
      <c r="DD26" s="82"/>
      <c r="DE26" s="84"/>
      <c r="DF26" s="79">
        <f>DD26/4</f>
        <v>0</v>
      </c>
      <c r="DG26" s="84"/>
      <c r="DH26" s="79">
        <f>DD26/4</f>
        <v>0</v>
      </c>
      <c r="DI26" s="84"/>
      <c r="DJ26" s="79">
        <f>DD26/4</f>
        <v>0</v>
      </c>
      <c r="DK26" s="84"/>
      <c r="DL26" s="79">
        <f>DD26/4</f>
        <v>0</v>
      </c>
      <c r="DM26" s="79">
        <f>SUM(DO26+DQ26+DS26+DU26)</f>
        <v>0</v>
      </c>
      <c r="DN26" s="82"/>
      <c r="DO26" s="92"/>
      <c r="DP26" s="62">
        <f>DN26/4</f>
        <v>0</v>
      </c>
      <c r="DQ26" s="92"/>
      <c r="DR26" s="62">
        <f>DN26/4</f>
        <v>0</v>
      </c>
      <c r="DS26" s="92"/>
      <c r="DT26" s="62">
        <f>DN26/4</f>
        <v>0</v>
      </c>
      <c r="DU26" s="92"/>
      <c r="DV26" s="62">
        <f>DN26/4</f>
        <v>0</v>
      </c>
    </row>
    <row r="27" ht="15.75" customHeight="1">
      <c r="A27" s="87"/>
      <c r="B27" s="63"/>
      <c r="C27" s="78" t="s">
        <v>103</v>
      </c>
      <c r="D27" s="81" t="str">
        <f t="shared" ref="D27:F27" si="52">D28/D26</f>
        <v>#DIV/0!</v>
      </c>
      <c r="E27" s="81">
        <f t="shared" si="52"/>
        <v>0.7</v>
      </c>
      <c r="F27" s="81" t="str">
        <f t="shared" si="52"/>
        <v>#DIV/0!</v>
      </c>
      <c r="G27" s="88">
        <v>0.8</v>
      </c>
      <c r="H27" s="61" t="s">
        <v>97</v>
      </c>
      <c r="I27" s="81" t="str">
        <f>I28/I26</f>
        <v>#DIV/0!</v>
      </c>
      <c r="J27" s="83">
        <f>G27</f>
        <v>0.8</v>
      </c>
      <c r="K27" s="81" t="str">
        <f>K28/K26</f>
        <v>#DIV/0!</v>
      </c>
      <c r="L27" s="83">
        <f>G27</f>
        <v>0.8</v>
      </c>
      <c r="M27" s="81" t="str">
        <f>M28/M26</f>
        <v>#DIV/0!</v>
      </c>
      <c r="N27" s="83">
        <f>G27</f>
        <v>0.8</v>
      </c>
      <c r="O27" s="81" t="str">
        <f>O28/O26</f>
        <v>#DIV/0!</v>
      </c>
      <c r="P27" s="83">
        <f>G27</f>
        <v>0.8</v>
      </c>
      <c r="Q27" s="81" t="str">
        <f>Q28/Q26</f>
        <v>#DIV/0!</v>
      </c>
      <c r="R27" s="83"/>
      <c r="S27" s="81" t="str">
        <f>S28/S26</f>
        <v>#DIV/0!</v>
      </c>
      <c r="T27" s="83" t="str">
        <f>R27</f>
        <v/>
      </c>
      <c r="U27" s="81" t="str">
        <f>U28/U26</f>
        <v>#DIV/0!</v>
      </c>
      <c r="V27" s="83" t="str">
        <f>R27</f>
        <v/>
      </c>
      <c r="W27" s="81" t="str">
        <f>W28/W26</f>
        <v>#DIV/0!</v>
      </c>
      <c r="X27" s="83" t="str">
        <f>R27</f>
        <v/>
      </c>
      <c r="Y27" s="81" t="str">
        <f>Y28/Y26</f>
        <v>#DIV/0!</v>
      </c>
      <c r="Z27" s="83" t="str">
        <f>R27</f>
        <v/>
      </c>
      <c r="AA27" s="81" t="str">
        <f>AA28/AA26</f>
        <v>#DIV/0!</v>
      </c>
      <c r="AB27" s="83"/>
      <c r="AC27" s="81" t="str">
        <f>AC28/AC26</f>
        <v>#DIV/0!</v>
      </c>
      <c r="AD27" s="83" t="str">
        <f>AB27</f>
        <v/>
      </c>
      <c r="AE27" s="81" t="str">
        <f>AE28/AE26</f>
        <v>#DIV/0!</v>
      </c>
      <c r="AF27" s="83" t="str">
        <f>AB27</f>
        <v/>
      </c>
      <c r="AG27" s="81" t="str">
        <f>AG28/AG26</f>
        <v>#DIV/0!</v>
      </c>
      <c r="AH27" s="83" t="str">
        <f>AB27</f>
        <v/>
      </c>
      <c r="AI27" s="81" t="str">
        <f>AI28/AI26</f>
        <v>#DIV/0!</v>
      </c>
      <c r="AJ27" s="83" t="str">
        <f>AB27</f>
        <v/>
      </c>
      <c r="AK27" s="81" t="str">
        <f>AK28/AK26</f>
        <v>#DIV/0!</v>
      </c>
      <c r="AL27" s="83"/>
      <c r="AM27" s="81" t="str">
        <f>AM28/AM26</f>
        <v>#DIV/0!</v>
      </c>
      <c r="AN27" s="83" t="str">
        <f>AL27</f>
        <v/>
      </c>
      <c r="AO27" s="81" t="str">
        <f>AO28/AO26</f>
        <v>#DIV/0!</v>
      </c>
      <c r="AP27" s="83" t="str">
        <f>AL27</f>
        <v/>
      </c>
      <c r="AQ27" s="81" t="str">
        <f>AQ28/AQ26</f>
        <v>#DIV/0!</v>
      </c>
      <c r="AR27" s="83" t="str">
        <f>AL27</f>
        <v/>
      </c>
      <c r="AS27" s="81" t="str">
        <f>AS28/AS26</f>
        <v>#DIV/0!</v>
      </c>
      <c r="AT27" s="83" t="str">
        <f>AL27</f>
        <v/>
      </c>
      <c r="AU27" s="81" t="str">
        <f>AU28/AU26</f>
        <v>#DIV/0!</v>
      </c>
      <c r="AV27" s="83"/>
      <c r="AW27" s="81" t="str">
        <f>AW28/AW26</f>
        <v>#DIV/0!</v>
      </c>
      <c r="AX27" s="83" t="str">
        <f>AV27</f>
        <v/>
      </c>
      <c r="AY27" s="81" t="str">
        <f>AY28/AY26</f>
        <v>#DIV/0!</v>
      </c>
      <c r="AZ27" s="83" t="str">
        <f>AV27</f>
        <v/>
      </c>
      <c r="BA27" s="81" t="str">
        <f>BA28/BA26</f>
        <v>#DIV/0!</v>
      </c>
      <c r="BB27" s="83" t="str">
        <f>AV27</f>
        <v/>
      </c>
      <c r="BC27" s="81" t="str">
        <f>BC28/BC26</f>
        <v>#DIV/0!</v>
      </c>
      <c r="BD27" s="83" t="str">
        <f>AV27</f>
        <v/>
      </c>
      <c r="BE27" s="81" t="str">
        <f>BE28/BE26</f>
        <v>#DIV/0!</v>
      </c>
      <c r="BF27" s="96">
        <v>0.7</v>
      </c>
      <c r="BG27" s="81" t="str">
        <f>BG28/BG26</f>
        <v>#DIV/0!</v>
      </c>
      <c r="BH27" s="83">
        <f>BF27</f>
        <v>0.7</v>
      </c>
      <c r="BI27" s="81" t="str">
        <f>BI28/BI26</f>
        <v>#DIV/0!</v>
      </c>
      <c r="BJ27" s="83">
        <f>BF27</f>
        <v>0.7</v>
      </c>
      <c r="BK27" s="81" t="str">
        <f>BK28/BK26</f>
        <v>#DIV/0!</v>
      </c>
      <c r="BL27" s="83">
        <f>BF27</f>
        <v>0.7</v>
      </c>
      <c r="BM27" s="81" t="str">
        <f>BM28/BM26</f>
        <v>#DIV/0!</v>
      </c>
      <c r="BN27" s="83">
        <f>BF27</f>
        <v>0.7</v>
      </c>
      <c r="BO27" s="81" t="str">
        <f>BO28/BO26</f>
        <v>#DIV/0!</v>
      </c>
      <c r="BP27" s="83"/>
      <c r="BQ27" s="81" t="str">
        <f>BQ28/BQ26</f>
        <v>#DIV/0!</v>
      </c>
      <c r="BR27" s="83" t="str">
        <f>BP27</f>
        <v/>
      </c>
      <c r="BS27" s="81" t="str">
        <f>BS28/BS26</f>
        <v>#DIV/0!</v>
      </c>
      <c r="BT27" s="83" t="str">
        <f>BP27</f>
        <v/>
      </c>
      <c r="BU27" s="81" t="str">
        <f>BU28/BU26</f>
        <v>#DIV/0!</v>
      </c>
      <c r="BV27" s="83" t="str">
        <f>BP27</f>
        <v/>
      </c>
      <c r="BW27" s="81" t="str">
        <f>BW28/BW26</f>
        <v>#DIV/0!</v>
      </c>
      <c r="BX27" s="83" t="str">
        <f>BP27</f>
        <v/>
      </c>
      <c r="BY27" s="81" t="str">
        <f>BY28/BY26</f>
        <v>#DIV/0!</v>
      </c>
      <c r="BZ27" s="83"/>
      <c r="CA27" s="81" t="str">
        <f>CA28/CA26</f>
        <v>#DIV/0!</v>
      </c>
      <c r="CB27" s="83" t="str">
        <f>BZ27</f>
        <v/>
      </c>
      <c r="CC27" s="81" t="str">
        <f>CC28/CC26</f>
        <v>#DIV/0!</v>
      </c>
      <c r="CD27" s="83" t="str">
        <f>BZ27</f>
        <v/>
      </c>
      <c r="CE27" s="81" t="str">
        <f>CE28/CE26</f>
        <v>#DIV/0!</v>
      </c>
      <c r="CF27" s="83" t="str">
        <f>BZ27</f>
        <v/>
      </c>
      <c r="CG27" s="81" t="str">
        <f>CG28/CG26</f>
        <v>#DIV/0!</v>
      </c>
      <c r="CH27" s="83" t="str">
        <f>BZ27</f>
        <v/>
      </c>
      <c r="CI27" s="81" t="str">
        <f>CI28/CI26</f>
        <v>#DIV/0!</v>
      </c>
      <c r="CJ27" s="83"/>
      <c r="CK27" s="81" t="str">
        <f>CK28/CK26</f>
        <v>#DIV/0!</v>
      </c>
      <c r="CL27" s="83" t="str">
        <f>CJ27</f>
        <v/>
      </c>
      <c r="CM27" s="81" t="str">
        <f>CM28/CM26</f>
        <v>#DIV/0!</v>
      </c>
      <c r="CN27" s="83" t="str">
        <f>CJ27</f>
        <v/>
      </c>
      <c r="CO27" s="81" t="str">
        <f>CO28/CO26</f>
        <v>#DIV/0!</v>
      </c>
      <c r="CP27" s="83" t="str">
        <f>CJ27</f>
        <v/>
      </c>
      <c r="CQ27" s="81" t="str">
        <f>CQ28/CQ26</f>
        <v>#DIV/0!</v>
      </c>
      <c r="CR27" s="83" t="str">
        <f>CJ27</f>
        <v/>
      </c>
      <c r="CS27" s="81" t="str">
        <f>CS28/CS26</f>
        <v>#DIV/0!</v>
      </c>
      <c r="CT27" s="83"/>
      <c r="CU27" s="81" t="str">
        <f>CU28/CU26</f>
        <v>#DIV/0!</v>
      </c>
      <c r="CV27" s="83" t="str">
        <f>CT27</f>
        <v/>
      </c>
      <c r="CW27" s="81" t="str">
        <f>CW28/CW26</f>
        <v>#DIV/0!</v>
      </c>
      <c r="CX27" s="83" t="str">
        <f>CT27</f>
        <v/>
      </c>
      <c r="CY27" s="81" t="str">
        <f>CY28/CY26</f>
        <v>#DIV/0!</v>
      </c>
      <c r="CZ27" s="83" t="str">
        <f>CT27</f>
        <v/>
      </c>
      <c r="DA27" s="81" t="str">
        <f>DA28/DA26</f>
        <v>#DIV/0!</v>
      </c>
      <c r="DB27" s="83" t="str">
        <f>CT27</f>
        <v/>
      </c>
      <c r="DC27" s="81" t="str">
        <f>DC28/DC26</f>
        <v>#DIV/0!</v>
      </c>
      <c r="DD27" s="83"/>
      <c r="DE27" s="81" t="str">
        <f>DE28/DE26</f>
        <v>#DIV/0!</v>
      </c>
      <c r="DF27" s="83" t="str">
        <f>DD27</f>
        <v/>
      </c>
      <c r="DG27" s="81" t="str">
        <f>DG28/DG26</f>
        <v>#DIV/0!</v>
      </c>
      <c r="DH27" s="83" t="str">
        <f>DD27</f>
        <v/>
      </c>
      <c r="DI27" s="81" t="str">
        <f>DI28/DI26</f>
        <v>#DIV/0!</v>
      </c>
      <c r="DJ27" s="83" t="str">
        <f>DD27</f>
        <v/>
      </c>
      <c r="DK27" s="81" t="str">
        <f>DK28/DK26</f>
        <v>#DIV/0!</v>
      </c>
      <c r="DL27" s="83" t="str">
        <f>DD27</f>
        <v/>
      </c>
      <c r="DM27" s="81" t="str">
        <f>DM28/DM26</f>
        <v>#DIV/0!</v>
      </c>
      <c r="DN27" s="83"/>
      <c r="DO27" s="66" t="str">
        <f>DO28/DO26</f>
        <v>#DIV/0!</v>
      </c>
      <c r="DP27" s="93" t="str">
        <f>DN27</f>
        <v/>
      </c>
      <c r="DQ27" s="66" t="str">
        <f>DQ28/DQ26</f>
        <v>#DIV/0!</v>
      </c>
      <c r="DR27" s="93" t="str">
        <f>DN27</f>
        <v/>
      </c>
      <c r="DS27" s="66" t="str">
        <f>DS28/DS26</f>
        <v>#DIV/0!</v>
      </c>
      <c r="DT27" s="93" t="str">
        <f>DN27</f>
        <v/>
      </c>
      <c r="DU27" s="66" t="str">
        <f>DU28/DU26</f>
        <v>#DIV/0!</v>
      </c>
      <c r="DV27" s="93" t="str">
        <f>DN27</f>
        <v/>
      </c>
    </row>
    <row r="28" ht="15.75" customHeight="1">
      <c r="A28" s="94"/>
      <c r="B28" s="63"/>
      <c r="C28" s="97" t="s">
        <v>104</v>
      </c>
      <c r="D28" s="79">
        <f t="shared" ref="D28:E28" si="53">SUM(F28+Q28+AA28+AK28+AU28+BE28+BO28+BY28+CI28+CS28+DC28+DM28)</f>
        <v>0</v>
      </c>
      <c r="E28" s="80">
        <f t="shared" si="53"/>
        <v>4.166666667</v>
      </c>
      <c r="F28" s="81">
        <f>SUM(I28+K28+M28+O28)</f>
        <v>0</v>
      </c>
      <c r="G28" s="82">
        <f>G30/G29</f>
        <v>0</v>
      </c>
      <c r="H28" s="61" t="str">
        <f>G28/F28</f>
        <v>#DIV/0!</v>
      </c>
      <c r="I28" s="83"/>
      <c r="J28" s="79">
        <f>G28/4</f>
        <v>0</v>
      </c>
      <c r="K28" s="83"/>
      <c r="L28" s="79">
        <f>G28/4</f>
        <v>0</v>
      </c>
      <c r="M28" s="83"/>
      <c r="N28" s="79">
        <f>G28/4</f>
        <v>0</v>
      </c>
      <c r="O28" s="83"/>
      <c r="P28" s="79">
        <f>G28/4</f>
        <v>0</v>
      </c>
      <c r="Q28" s="79">
        <f>SUM(S28+U28+W28+Y28)</f>
        <v>0</v>
      </c>
      <c r="R28" s="82"/>
      <c r="S28" s="84"/>
      <c r="T28" s="79">
        <f>R28/4</f>
        <v>0</v>
      </c>
      <c r="U28" s="84"/>
      <c r="V28" s="79">
        <f>R28/4</f>
        <v>0</v>
      </c>
      <c r="W28" s="84"/>
      <c r="X28" s="79">
        <f>R28/4</f>
        <v>0</v>
      </c>
      <c r="Y28" s="84"/>
      <c r="Z28" s="79">
        <f>R28/4</f>
        <v>0</v>
      </c>
      <c r="AA28" s="79">
        <f>SUM(AC28+AE28+AG28+AI28)</f>
        <v>0</v>
      </c>
      <c r="AB28" s="82"/>
      <c r="AC28" s="84"/>
      <c r="AD28" s="79">
        <f>AB28/4</f>
        <v>0</v>
      </c>
      <c r="AE28" s="84"/>
      <c r="AF28" s="79">
        <f>AB28/4</f>
        <v>0</v>
      </c>
      <c r="AG28" s="84"/>
      <c r="AH28" s="79">
        <f>AB28/4</f>
        <v>0</v>
      </c>
      <c r="AI28" s="84"/>
      <c r="AJ28" s="79">
        <f>AB28/4</f>
        <v>0</v>
      </c>
      <c r="AK28" s="79">
        <f>SUM(AM28+AO28+AQ28+AS28)</f>
        <v>0</v>
      </c>
      <c r="AL28" s="82"/>
      <c r="AM28" s="84"/>
      <c r="AN28" s="79">
        <f>AL28/4</f>
        <v>0</v>
      </c>
      <c r="AO28" s="84"/>
      <c r="AP28" s="79">
        <f>AL28/4</f>
        <v>0</v>
      </c>
      <c r="AQ28" s="84"/>
      <c r="AR28" s="79">
        <f>AL28/4</f>
        <v>0</v>
      </c>
      <c r="AS28" s="84"/>
      <c r="AT28" s="79">
        <f>AL28/4</f>
        <v>0</v>
      </c>
      <c r="AU28" s="79">
        <f>SUM(AW28+AY28+BA28+BC28)</f>
        <v>0</v>
      </c>
      <c r="AV28" s="82"/>
      <c r="AW28" s="84"/>
      <c r="AX28" s="79">
        <f>AV28/4</f>
        <v>0</v>
      </c>
      <c r="AY28" s="84"/>
      <c r="AZ28" s="79">
        <f>AV28/4</f>
        <v>0</v>
      </c>
      <c r="BA28" s="84"/>
      <c r="BB28" s="79">
        <f>AV28/4</f>
        <v>0</v>
      </c>
      <c r="BC28" s="84"/>
      <c r="BD28" s="79">
        <f>AV28/4</f>
        <v>0</v>
      </c>
      <c r="BE28" s="79">
        <f>SUM(BG28+BI28+BK28+BM28)</f>
        <v>0</v>
      </c>
      <c r="BF28" s="68">
        <f>BF30/BF29</f>
        <v>4.166666667</v>
      </c>
      <c r="BG28" s="84"/>
      <c r="BH28" s="79">
        <f>BF28/4</f>
        <v>1.041666667</v>
      </c>
      <c r="BI28" s="84"/>
      <c r="BJ28" s="79">
        <f>BF28/4</f>
        <v>1.041666667</v>
      </c>
      <c r="BK28" s="84"/>
      <c r="BL28" s="79">
        <f>BF28/4</f>
        <v>1.041666667</v>
      </c>
      <c r="BM28" s="84"/>
      <c r="BN28" s="79">
        <f>BF28/4</f>
        <v>1.041666667</v>
      </c>
      <c r="BO28" s="79">
        <f>SUM(BQ28+BS28+BU28+BW28)</f>
        <v>0</v>
      </c>
      <c r="BP28" s="82"/>
      <c r="BQ28" s="84"/>
      <c r="BR28" s="79">
        <f>BP28/4</f>
        <v>0</v>
      </c>
      <c r="BS28" s="84"/>
      <c r="BT28" s="79">
        <f>BP28/4</f>
        <v>0</v>
      </c>
      <c r="BU28" s="84"/>
      <c r="BV28" s="79">
        <f>BP28/4</f>
        <v>0</v>
      </c>
      <c r="BW28" s="84"/>
      <c r="BX28" s="79">
        <f>BP28/4</f>
        <v>0</v>
      </c>
      <c r="BY28" s="79">
        <f>SUM(CA28+CC28+CE28+CG28)</f>
        <v>0</v>
      </c>
      <c r="BZ28" s="82"/>
      <c r="CA28" s="84"/>
      <c r="CB28" s="79">
        <f>BZ28/4</f>
        <v>0</v>
      </c>
      <c r="CC28" s="84"/>
      <c r="CD28" s="79">
        <f>BZ28/4</f>
        <v>0</v>
      </c>
      <c r="CE28" s="84"/>
      <c r="CF28" s="79">
        <f>BZ28/4</f>
        <v>0</v>
      </c>
      <c r="CG28" s="84"/>
      <c r="CH28" s="79">
        <f>BZ28/4</f>
        <v>0</v>
      </c>
      <c r="CI28" s="79">
        <f>SUM(CK28+CM28+CO28+CQ28)</f>
        <v>0</v>
      </c>
      <c r="CJ28" s="82"/>
      <c r="CK28" s="84"/>
      <c r="CL28" s="79">
        <f>CJ28/4</f>
        <v>0</v>
      </c>
      <c r="CM28" s="84"/>
      <c r="CN28" s="79">
        <f>CJ28/4</f>
        <v>0</v>
      </c>
      <c r="CO28" s="84"/>
      <c r="CP28" s="79">
        <f>CJ28/4</f>
        <v>0</v>
      </c>
      <c r="CQ28" s="84"/>
      <c r="CR28" s="79">
        <f>CJ28/4</f>
        <v>0</v>
      </c>
      <c r="CS28" s="79">
        <f>SUM(CU28+CW28+CY28+DA28)</f>
        <v>0</v>
      </c>
      <c r="CT28" s="82"/>
      <c r="CU28" s="84"/>
      <c r="CV28" s="79">
        <f>CT28/4</f>
        <v>0</v>
      </c>
      <c r="CW28" s="84"/>
      <c r="CX28" s="79">
        <f>CT28/4</f>
        <v>0</v>
      </c>
      <c r="CY28" s="84"/>
      <c r="CZ28" s="79">
        <f>CT28/4</f>
        <v>0</v>
      </c>
      <c r="DA28" s="84"/>
      <c r="DB28" s="79">
        <f>CT28/4</f>
        <v>0</v>
      </c>
      <c r="DC28" s="79">
        <f>SUM(DE28+DG28+DI28+DK28)</f>
        <v>0</v>
      </c>
      <c r="DD28" s="82"/>
      <c r="DE28" s="84"/>
      <c r="DF28" s="79">
        <f>DD28/4</f>
        <v>0</v>
      </c>
      <c r="DG28" s="84"/>
      <c r="DH28" s="79">
        <f>DD28/4</f>
        <v>0</v>
      </c>
      <c r="DI28" s="84"/>
      <c r="DJ28" s="79">
        <f>DD28/4</f>
        <v>0</v>
      </c>
      <c r="DK28" s="84"/>
      <c r="DL28" s="79">
        <f>DD28/4</f>
        <v>0</v>
      </c>
      <c r="DM28" s="79">
        <f>SUM(DO28+DQ28+DS28+DU28)</f>
        <v>0</v>
      </c>
      <c r="DN28" s="82"/>
      <c r="DO28" s="92"/>
      <c r="DP28" s="62">
        <f>DN28/4</f>
        <v>0</v>
      </c>
      <c r="DQ28" s="92"/>
      <c r="DR28" s="62">
        <f>DN28/4</f>
        <v>0</v>
      </c>
      <c r="DS28" s="92"/>
      <c r="DT28" s="62">
        <f>DN28/4</f>
        <v>0</v>
      </c>
      <c r="DU28" s="92"/>
      <c r="DV28" s="62">
        <f>DN28/4</f>
        <v>0</v>
      </c>
    </row>
    <row r="29" ht="15.75" customHeight="1">
      <c r="A29" s="87"/>
      <c r="B29" s="63"/>
      <c r="C29" s="98" t="s">
        <v>105</v>
      </c>
      <c r="D29" s="81" t="str">
        <f t="shared" ref="D29:F29" si="54">D30/D28</f>
        <v>#DIV/0!</v>
      </c>
      <c r="E29" s="81">
        <f t="shared" si="54"/>
        <v>0.4</v>
      </c>
      <c r="F29" s="81" t="str">
        <f t="shared" si="54"/>
        <v>#DIV/0!</v>
      </c>
      <c r="G29" s="88">
        <v>0.4</v>
      </c>
      <c r="H29" s="61" t="s">
        <v>97</v>
      </c>
      <c r="I29" s="81" t="str">
        <f>I30/I28</f>
        <v>#DIV/0!</v>
      </c>
      <c r="J29" s="83">
        <f>G29</f>
        <v>0.4</v>
      </c>
      <c r="K29" s="81" t="str">
        <f>K30/K28</f>
        <v>#DIV/0!</v>
      </c>
      <c r="L29" s="83">
        <f>G29</f>
        <v>0.4</v>
      </c>
      <c r="M29" s="81" t="str">
        <f>M30/M28</f>
        <v>#DIV/0!</v>
      </c>
      <c r="N29" s="83">
        <f>G29</f>
        <v>0.4</v>
      </c>
      <c r="O29" s="81" t="str">
        <f>O30/O28</f>
        <v>#DIV/0!</v>
      </c>
      <c r="P29" s="83">
        <f>G29</f>
        <v>0.4</v>
      </c>
      <c r="Q29" s="81" t="str">
        <f>Q30/Q28</f>
        <v>#DIV/0!</v>
      </c>
      <c r="R29" s="83"/>
      <c r="S29" s="81" t="str">
        <f>S30/S28</f>
        <v>#DIV/0!</v>
      </c>
      <c r="T29" s="83" t="str">
        <f>R29</f>
        <v/>
      </c>
      <c r="U29" s="81" t="str">
        <f>U30/U28</f>
        <v>#DIV/0!</v>
      </c>
      <c r="V29" s="83" t="str">
        <f>R29</f>
        <v/>
      </c>
      <c r="W29" s="81" t="str">
        <f>W30/W28</f>
        <v>#DIV/0!</v>
      </c>
      <c r="X29" s="83" t="str">
        <f>R29</f>
        <v/>
      </c>
      <c r="Y29" s="81" t="str">
        <f>Y30/Y28</f>
        <v>#DIV/0!</v>
      </c>
      <c r="Z29" s="83" t="str">
        <f>R29</f>
        <v/>
      </c>
      <c r="AA29" s="81" t="str">
        <f>AA30/AA28</f>
        <v>#DIV/0!</v>
      </c>
      <c r="AB29" s="83"/>
      <c r="AC29" s="81" t="str">
        <f>AC30/AC28</f>
        <v>#DIV/0!</v>
      </c>
      <c r="AD29" s="83" t="str">
        <f>AB29</f>
        <v/>
      </c>
      <c r="AE29" s="81" t="str">
        <f>AE30/AE28</f>
        <v>#DIV/0!</v>
      </c>
      <c r="AF29" s="83" t="str">
        <f>AB29</f>
        <v/>
      </c>
      <c r="AG29" s="81" t="str">
        <f>AG30/AG28</f>
        <v>#DIV/0!</v>
      </c>
      <c r="AH29" s="83" t="str">
        <f>AB29</f>
        <v/>
      </c>
      <c r="AI29" s="81" t="str">
        <f>AI30/AI28</f>
        <v>#DIV/0!</v>
      </c>
      <c r="AJ29" s="83" t="str">
        <f>AB29</f>
        <v/>
      </c>
      <c r="AK29" s="81" t="str">
        <f>AK30/AK28</f>
        <v>#DIV/0!</v>
      </c>
      <c r="AL29" s="83"/>
      <c r="AM29" s="81" t="str">
        <f>AM30/AM28</f>
        <v>#DIV/0!</v>
      </c>
      <c r="AN29" s="83" t="str">
        <f>AL29</f>
        <v/>
      </c>
      <c r="AO29" s="81" t="str">
        <f>AO30/AO28</f>
        <v>#DIV/0!</v>
      </c>
      <c r="AP29" s="83" t="str">
        <f>AL29</f>
        <v/>
      </c>
      <c r="AQ29" s="81" t="str">
        <f>AQ30/AQ28</f>
        <v>#DIV/0!</v>
      </c>
      <c r="AR29" s="83" t="str">
        <f>AL29</f>
        <v/>
      </c>
      <c r="AS29" s="81" t="str">
        <f>AS30/AS28</f>
        <v>#DIV/0!</v>
      </c>
      <c r="AT29" s="83" t="str">
        <f>AL29</f>
        <v/>
      </c>
      <c r="AU29" s="81" t="str">
        <f>AU30/AU28</f>
        <v>#DIV/0!</v>
      </c>
      <c r="AV29" s="83"/>
      <c r="AW29" s="81" t="str">
        <f>AW30/AW28</f>
        <v>#DIV/0!</v>
      </c>
      <c r="AX29" s="83" t="str">
        <f>AV29</f>
        <v/>
      </c>
      <c r="AY29" s="81" t="str">
        <f>AY30/AY28</f>
        <v>#DIV/0!</v>
      </c>
      <c r="AZ29" s="83" t="str">
        <f>AV29</f>
        <v/>
      </c>
      <c r="BA29" s="81" t="str">
        <f>BA30/BA28</f>
        <v>#DIV/0!</v>
      </c>
      <c r="BB29" s="83" t="str">
        <f>AV29</f>
        <v/>
      </c>
      <c r="BC29" s="81" t="str">
        <f>BC30/BC28</f>
        <v>#DIV/0!</v>
      </c>
      <c r="BD29" s="83" t="str">
        <f>AV29</f>
        <v/>
      </c>
      <c r="BE29" s="81" t="str">
        <f>BE30/BE28</f>
        <v>#DIV/0!</v>
      </c>
      <c r="BF29" s="96">
        <v>0.4</v>
      </c>
      <c r="BG29" s="81" t="str">
        <f>BG30/BG28</f>
        <v>#DIV/0!</v>
      </c>
      <c r="BH29" s="83">
        <f>BF29</f>
        <v>0.4</v>
      </c>
      <c r="BI29" s="81" t="str">
        <f>BI30/BI28</f>
        <v>#DIV/0!</v>
      </c>
      <c r="BJ29" s="83">
        <f>BF29</f>
        <v>0.4</v>
      </c>
      <c r="BK29" s="81" t="str">
        <f>BK30/BK28</f>
        <v>#DIV/0!</v>
      </c>
      <c r="BL29" s="83">
        <f>BF29</f>
        <v>0.4</v>
      </c>
      <c r="BM29" s="81" t="str">
        <f>BM30/BM28</f>
        <v>#DIV/0!</v>
      </c>
      <c r="BN29" s="83">
        <f>BF29</f>
        <v>0.4</v>
      </c>
      <c r="BO29" s="81" t="str">
        <f>BO30/BO28</f>
        <v>#DIV/0!</v>
      </c>
      <c r="BP29" s="83"/>
      <c r="BQ29" s="81" t="str">
        <f>BQ30/BQ28</f>
        <v>#DIV/0!</v>
      </c>
      <c r="BR29" s="83" t="str">
        <f>BP29</f>
        <v/>
      </c>
      <c r="BS29" s="81" t="str">
        <f>BS30/BS28</f>
        <v>#DIV/0!</v>
      </c>
      <c r="BT29" s="83" t="str">
        <f>BP29</f>
        <v/>
      </c>
      <c r="BU29" s="81" t="str">
        <f>BU30/BU28</f>
        <v>#DIV/0!</v>
      </c>
      <c r="BV29" s="83" t="str">
        <f>BP29</f>
        <v/>
      </c>
      <c r="BW29" s="81" t="str">
        <f>BW30/BW28</f>
        <v>#DIV/0!</v>
      </c>
      <c r="BX29" s="83" t="str">
        <f>BP29</f>
        <v/>
      </c>
      <c r="BY29" s="81" t="str">
        <f>BY30/BY28</f>
        <v>#DIV/0!</v>
      </c>
      <c r="BZ29" s="83"/>
      <c r="CA29" s="81" t="str">
        <f>CA30/CA28</f>
        <v>#DIV/0!</v>
      </c>
      <c r="CB29" s="83" t="str">
        <f>BZ29</f>
        <v/>
      </c>
      <c r="CC29" s="81" t="str">
        <f>CC30/CC28</f>
        <v>#DIV/0!</v>
      </c>
      <c r="CD29" s="83" t="str">
        <f>BZ29</f>
        <v/>
      </c>
      <c r="CE29" s="81" t="str">
        <f>CE30/CE28</f>
        <v>#DIV/0!</v>
      </c>
      <c r="CF29" s="83" t="str">
        <f>BZ29</f>
        <v/>
      </c>
      <c r="CG29" s="81" t="str">
        <f>CG30/CG28</f>
        <v>#DIV/0!</v>
      </c>
      <c r="CH29" s="83" t="str">
        <f>BZ29</f>
        <v/>
      </c>
      <c r="CI29" s="81" t="str">
        <f>CI30/CI28</f>
        <v>#DIV/0!</v>
      </c>
      <c r="CJ29" s="83"/>
      <c r="CK29" s="81" t="str">
        <f>CK30/CK28</f>
        <v>#DIV/0!</v>
      </c>
      <c r="CL29" s="83" t="str">
        <f>CJ29</f>
        <v/>
      </c>
      <c r="CM29" s="81" t="str">
        <f>CM30/CM28</f>
        <v>#DIV/0!</v>
      </c>
      <c r="CN29" s="83" t="str">
        <f>CJ29</f>
        <v/>
      </c>
      <c r="CO29" s="81" t="str">
        <f>CO30/CO28</f>
        <v>#DIV/0!</v>
      </c>
      <c r="CP29" s="83" t="str">
        <f>CJ29</f>
        <v/>
      </c>
      <c r="CQ29" s="81" t="str">
        <f>CQ30/CQ28</f>
        <v>#DIV/0!</v>
      </c>
      <c r="CR29" s="83" t="str">
        <f>CJ29</f>
        <v/>
      </c>
      <c r="CS29" s="81" t="str">
        <f>CS30/CS28</f>
        <v>#DIV/0!</v>
      </c>
      <c r="CT29" s="83"/>
      <c r="CU29" s="81" t="str">
        <f>CU30/CU28</f>
        <v>#DIV/0!</v>
      </c>
      <c r="CV29" s="83" t="str">
        <f>CT29</f>
        <v/>
      </c>
      <c r="CW29" s="81" t="str">
        <f>CW30/CW28</f>
        <v>#DIV/0!</v>
      </c>
      <c r="CX29" s="83" t="str">
        <f>CT29</f>
        <v/>
      </c>
      <c r="CY29" s="81" t="str">
        <f>CY30/CY28</f>
        <v>#DIV/0!</v>
      </c>
      <c r="CZ29" s="83" t="str">
        <f>CT29</f>
        <v/>
      </c>
      <c r="DA29" s="81" t="str">
        <f>DA30/DA28</f>
        <v>#DIV/0!</v>
      </c>
      <c r="DB29" s="83" t="str">
        <f>CT29</f>
        <v/>
      </c>
      <c r="DC29" s="81" t="str">
        <f>DC30/DC28</f>
        <v>#DIV/0!</v>
      </c>
      <c r="DD29" s="83"/>
      <c r="DE29" s="81" t="str">
        <f>DE30/DE28</f>
        <v>#DIV/0!</v>
      </c>
      <c r="DF29" s="83" t="str">
        <f>DD29</f>
        <v/>
      </c>
      <c r="DG29" s="81" t="str">
        <f>DG30/DG28</f>
        <v>#DIV/0!</v>
      </c>
      <c r="DH29" s="83" t="str">
        <f>DD29</f>
        <v/>
      </c>
      <c r="DI29" s="81" t="str">
        <f>DI30/DI28</f>
        <v>#DIV/0!</v>
      </c>
      <c r="DJ29" s="83" t="str">
        <f>DD29</f>
        <v/>
      </c>
      <c r="DK29" s="81" t="str">
        <f>DK30/DK28</f>
        <v>#DIV/0!</v>
      </c>
      <c r="DL29" s="83" t="str">
        <f>DD29</f>
        <v/>
      </c>
      <c r="DM29" s="81" t="str">
        <f>DM30/DM28</f>
        <v>#DIV/0!</v>
      </c>
      <c r="DN29" s="83"/>
      <c r="DO29" s="66" t="str">
        <f>DO30/DO28</f>
        <v>#DIV/0!</v>
      </c>
      <c r="DP29" s="93" t="str">
        <f>DN29</f>
        <v/>
      </c>
      <c r="DQ29" s="66" t="str">
        <f>DQ30/DQ28</f>
        <v>#DIV/0!</v>
      </c>
      <c r="DR29" s="93" t="str">
        <f>DN29</f>
        <v/>
      </c>
      <c r="DS29" s="66" t="str">
        <f>DS30/DS28</f>
        <v>#DIV/0!</v>
      </c>
      <c r="DT29" s="93" t="str">
        <f>DN29</f>
        <v/>
      </c>
      <c r="DU29" s="66" t="str">
        <f>DU30/DU28</f>
        <v>#DIV/0!</v>
      </c>
      <c r="DV29" s="93" t="str">
        <f>DN29</f>
        <v/>
      </c>
    </row>
    <row r="30" ht="15.75" customHeight="1">
      <c r="A30" s="94"/>
      <c r="B30" s="63"/>
      <c r="C30" s="97" t="s">
        <v>106</v>
      </c>
      <c r="D30" s="79">
        <f t="shared" ref="D30:E30" si="55">SUM(F30+Q30+AA30+AK30+AU30+BE30+BO30+BY30+CI30+CS30+DC30+DM30)</f>
        <v>0</v>
      </c>
      <c r="E30" s="80">
        <f t="shared" si="55"/>
        <v>1.666666667</v>
      </c>
      <c r="F30" s="99">
        <f t="shared" ref="F30:F31" si="57">SUM(I30+K30+M30+O30)</f>
        <v>0</v>
      </c>
      <c r="G30" s="82">
        <f>'Dados da Operação'!H27</f>
        <v>0</v>
      </c>
      <c r="H30" s="61" t="str">
        <f t="shared" ref="H30:H32" si="58">G30/F30</f>
        <v>#DIV/0!</v>
      </c>
      <c r="I30" s="100"/>
      <c r="J30" s="79">
        <f t="shared" ref="J30:J31" si="59">G30/4</f>
        <v>0</v>
      </c>
      <c r="K30" s="100"/>
      <c r="L30" s="79">
        <f t="shared" ref="L30:L31" si="60">G30/4</f>
        <v>0</v>
      </c>
      <c r="M30" s="100"/>
      <c r="N30" s="79">
        <f t="shared" ref="N30:N31" si="61">G30/4</f>
        <v>0</v>
      </c>
      <c r="O30" s="100"/>
      <c r="P30" s="79">
        <f t="shared" ref="P30:P31" si="62">G30/4</f>
        <v>0</v>
      </c>
      <c r="Q30" s="79">
        <f t="shared" ref="Q30:Q31" si="63">SUM(S30+U30+W30+Y30)</f>
        <v>0</v>
      </c>
      <c r="R30" s="82">
        <f>'Dados da Operação'!H36</f>
        <v>0</v>
      </c>
      <c r="S30" s="84"/>
      <c r="T30" s="79">
        <f t="shared" ref="T30:T31" si="64">R30/4</f>
        <v>0</v>
      </c>
      <c r="U30" s="84"/>
      <c r="V30" s="79">
        <f t="shared" ref="V30:V31" si="65">R30/4</f>
        <v>0</v>
      </c>
      <c r="W30" s="84"/>
      <c r="X30" s="79">
        <f t="shared" ref="X30:X31" si="66">R30/4</f>
        <v>0</v>
      </c>
      <c r="Y30" s="84"/>
      <c r="Z30" s="79">
        <f t="shared" ref="Z30:Z31" si="67">R30/4</f>
        <v>0</v>
      </c>
      <c r="AA30" s="79">
        <f t="shared" ref="AA30:AA31" si="68">SUM(AC30+AE30+AG30+AI30)</f>
        <v>0</v>
      </c>
      <c r="AB30" s="82">
        <f>'Dados da Operação'!H45</f>
        <v>0</v>
      </c>
      <c r="AC30" s="84"/>
      <c r="AD30" s="79">
        <f t="shared" ref="AD30:AD31" si="69">AB30/4</f>
        <v>0</v>
      </c>
      <c r="AE30" s="84"/>
      <c r="AF30" s="79">
        <f t="shared" ref="AF30:AF31" si="70">AB30/4</f>
        <v>0</v>
      </c>
      <c r="AG30" s="84"/>
      <c r="AH30" s="79">
        <f t="shared" ref="AH30:AH31" si="71">AB30/4</f>
        <v>0</v>
      </c>
      <c r="AI30" s="84"/>
      <c r="AJ30" s="79">
        <f t="shared" ref="AJ30:AJ31" si="72">AB30/4</f>
        <v>0</v>
      </c>
      <c r="AK30" s="79">
        <f t="shared" ref="AK30:AK31" si="73">SUM(AM30+AO30+AQ30+AS30)</f>
        <v>0</v>
      </c>
      <c r="AL30" s="82">
        <f>'Dados da Operação'!H54</f>
        <v>0</v>
      </c>
      <c r="AM30" s="84"/>
      <c r="AN30" s="79">
        <f t="shared" ref="AN30:AN31" si="74">AL30/4</f>
        <v>0</v>
      </c>
      <c r="AO30" s="84"/>
      <c r="AP30" s="79">
        <f t="shared" ref="AP30:AP31" si="75">AL30/4</f>
        <v>0</v>
      </c>
      <c r="AQ30" s="84"/>
      <c r="AR30" s="79">
        <f t="shared" ref="AR30:AR31" si="76">AL30/4</f>
        <v>0</v>
      </c>
      <c r="AS30" s="84"/>
      <c r="AT30" s="79">
        <f t="shared" ref="AT30:AT31" si="77">AL30/4</f>
        <v>0</v>
      </c>
      <c r="AU30" s="79">
        <f t="shared" ref="AU30:AU31" si="78">SUM(AW30+AY30+BA30+BC30)</f>
        <v>0</v>
      </c>
      <c r="AV30" s="82">
        <f>'Dados da Operação'!H63</f>
        <v>0</v>
      </c>
      <c r="AW30" s="84"/>
      <c r="AX30" s="79">
        <f t="shared" ref="AX30:AX31" si="79">AV30/4</f>
        <v>0</v>
      </c>
      <c r="AY30" s="84"/>
      <c r="AZ30" s="79">
        <f t="shared" ref="AZ30:AZ31" si="80">AV30/4</f>
        <v>0</v>
      </c>
      <c r="BA30" s="84"/>
      <c r="BB30" s="79">
        <f t="shared" ref="BB30:BB31" si="81">AV30/4</f>
        <v>0</v>
      </c>
      <c r="BC30" s="84"/>
      <c r="BD30" s="79">
        <f t="shared" ref="BD30:BD31" si="82">AV30/4</f>
        <v>0</v>
      </c>
      <c r="BE30" s="79">
        <f t="shared" ref="BE30:BE31" si="83">SUM(BG30+BI30+BK30+BM30)</f>
        <v>0</v>
      </c>
      <c r="BF30" s="68">
        <f>'Dados da Operação'!J4</f>
        <v>1.666666667</v>
      </c>
      <c r="BG30" s="84"/>
      <c r="BH30" s="79">
        <f t="shared" ref="BH30:BH31" si="84">BF30/4</f>
        <v>0.4166666667</v>
      </c>
      <c r="BI30" s="84"/>
      <c r="BJ30" s="79">
        <f t="shared" ref="BJ30:BJ31" si="85">BF30/4</f>
        <v>0.4166666667</v>
      </c>
      <c r="BK30" s="84"/>
      <c r="BL30" s="79">
        <f t="shared" ref="BL30:BL31" si="86">BF30/4</f>
        <v>0.4166666667</v>
      </c>
      <c r="BM30" s="84"/>
      <c r="BN30" s="79">
        <f t="shared" ref="BN30:BN31" si="87">BF30/4</f>
        <v>0.4166666667</v>
      </c>
      <c r="BO30" s="79">
        <f t="shared" ref="BO30:BO31" si="88">SUM(BQ30+BS30+BU30+BW30)</f>
        <v>0</v>
      </c>
      <c r="BP30" s="82">
        <f>'Dados da Operação'!H81</f>
        <v>0</v>
      </c>
      <c r="BQ30" s="84"/>
      <c r="BR30" s="79">
        <f t="shared" ref="BR30:BR31" si="89">BP30/4</f>
        <v>0</v>
      </c>
      <c r="BS30" s="84"/>
      <c r="BT30" s="79">
        <f t="shared" ref="BT30:BT31" si="90">BP30/4</f>
        <v>0</v>
      </c>
      <c r="BU30" s="84"/>
      <c r="BV30" s="79">
        <f t="shared" ref="BV30:BV31" si="91">BP30/4</f>
        <v>0</v>
      </c>
      <c r="BW30" s="84"/>
      <c r="BX30" s="79">
        <f t="shared" ref="BX30:BX31" si="92">BP30/4</f>
        <v>0</v>
      </c>
      <c r="BY30" s="79">
        <f t="shared" ref="BY30:BY31" si="93">SUM(CA30+CC30+CE30+CG30)</f>
        <v>0</v>
      </c>
      <c r="BZ30" s="82">
        <f>'Dados da Operação'!H90</f>
        <v>0</v>
      </c>
      <c r="CA30" s="84"/>
      <c r="CB30" s="79">
        <f t="shared" ref="CB30:CB31" si="94">BZ30/4</f>
        <v>0</v>
      </c>
      <c r="CC30" s="84"/>
      <c r="CD30" s="79">
        <f t="shared" ref="CD30:CD31" si="95">BZ30/4</f>
        <v>0</v>
      </c>
      <c r="CE30" s="84"/>
      <c r="CF30" s="79">
        <f t="shared" ref="CF30:CF31" si="96">BZ30/4</f>
        <v>0</v>
      </c>
      <c r="CG30" s="84"/>
      <c r="CH30" s="79">
        <f t="shared" ref="CH30:CH31" si="97">BZ30/4</f>
        <v>0</v>
      </c>
      <c r="CI30" s="79">
        <f t="shared" ref="CI30:CI31" si="98">SUM(CK30+CM30+CO30+CQ30)</f>
        <v>0</v>
      </c>
      <c r="CJ30" s="82">
        <f>'Dados da Operação'!H99</f>
        <v>0</v>
      </c>
      <c r="CK30" s="84"/>
      <c r="CL30" s="79">
        <f t="shared" ref="CL30:CL31" si="99">CJ30/4</f>
        <v>0</v>
      </c>
      <c r="CM30" s="84"/>
      <c r="CN30" s="79">
        <f t="shared" ref="CN30:CN31" si="100">CJ30/4</f>
        <v>0</v>
      </c>
      <c r="CO30" s="84"/>
      <c r="CP30" s="79">
        <f t="shared" ref="CP30:CP31" si="101">CJ30/4</f>
        <v>0</v>
      </c>
      <c r="CQ30" s="84"/>
      <c r="CR30" s="79">
        <f t="shared" ref="CR30:CR31" si="102">CJ30/4</f>
        <v>0</v>
      </c>
      <c r="CS30" s="79">
        <f t="shared" ref="CS30:CS31" si="103">SUM(CU30+CW30+CY30+DA30)</f>
        <v>0</v>
      </c>
      <c r="CT30" s="82">
        <f>'Dados da Operação'!H108</f>
        <v>0</v>
      </c>
      <c r="CU30" s="84"/>
      <c r="CV30" s="79">
        <f t="shared" ref="CV30:CV31" si="104">CT30/4</f>
        <v>0</v>
      </c>
      <c r="CW30" s="84"/>
      <c r="CX30" s="79">
        <f t="shared" ref="CX30:CX31" si="105">CT30/4</f>
        <v>0</v>
      </c>
      <c r="CY30" s="84"/>
      <c r="CZ30" s="79">
        <f t="shared" ref="CZ30:CZ31" si="106">CT30/4</f>
        <v>0</v>
      </c>
      <c r="DA30" s="84"/>
      <c r="DB30" s="79">
        <f t="shared" ref="DB30:DB31" si="107">CT30/4</f>
        <v>0</v>
      </c>
      <c r="DC30" s="79">
        <f t="shared" ref="DC30:DC31" si="108">SUM(DE30+DG30+DI30+DK30)</f>
        <v>0</v>
      </c>
      <c r="DD30" s="82">
        <f>'Dados da Operação'!H117</f>
        <v>0</v>
      </c>
      <c r="DE30" s="84"/>
      <c r="DF30" s="79">
        <f t="shared" ref="DF30:DF31" si="109">DD30/4</f>
        <v>0</v>
      </c>
      <c r="DG30" s="84"/>
      <c r="DH30" s="79">
        <f t="shared" ref="DH30:DH31" si="110">DD30/4</f>
        <v>0</v>
      </c>
      <c r="DI30" s="84"/>
      <c r="DJ30" s="79">
        <f t="shared" ref="DJ30:DJ31" si="111">DD30/4</f>
        <v>0</v>
      </c>
      <c r="DK30" s="84"/>
      <c r="DL30" s="79">
        <f t="shared" ref="DL30:DL31" si="112">DD30/4</f>
        <v>0</v>
      </c>
      <c r="DM30" s="79">
        <f t="shared" ref="DM30:DM31" si="113">SUM(DO30+DQ30+DS30+DU30)</f>
        <v>0</v>
      </c>
      <c r="DN30" s="82">
        <f>'Dados da Operação'!H126</f>
        <v>0</v>
      </c>
      <c r="DO30" s="92"/>
      <c r="DP30" s="62">
        <f t="shared" ref="DP30:DP31" si="114">DN30/4</f>
        <v>0</v>
      </c>
      <c r="DQ30" s="92"/>
      <c r="DR30" s="62">
        <f t="shared" ref="DR30:DR31" si="115">DN30/4</f>
        <v>0</v>
      </c>
      <c r="DS30" s="92"/>
      <c r="DT30" s="62">
        <f t="shared" ref="DT30:DT31" si="116">DN30/4</f>
        <v>0</v>
      </c>
      <c r="DU30" s="92"/>
      <c r="DV30" s="62">
        <f t="shared" ref="DV30:DV31" si="117">DN30/4</f>
        <v>0</v>
      </c>
    </row>
    <row r="31" ht="15.75" customHeight="1">
      <c r="A31" s="71"/>
      <c r="B31" s="63"/>
      <c r="C31" s="101" t="s">
        <v>107</v>
      </c>
      <c r="D31" s="102">
        <f t="shared" ref="D31:E31" si="56">SUM(F31+Q31+AA31+AK31+AU31+BE31+BO31+BY31+CI31+CS31+DC31+DM31)</f>
        <v>0</v>
      </c>
      <c r="E31" s="102">
        <f t="shared" si="56"/>
        <v>4166.666667</v>
      </c>
      <c r="F31" s="102">
        <f t="shared" si="57"/>
        <v>0</v>
      </c>
      <c r="G31" s="82">
        <f>'Dados da Operação'!G27</f>
        <v>0</v>
      </c>
      <c r="H31" s="61" t="str">
        <f t="shared" si="58"/>
        <v>#DIV/0!</v>
      </c>
      <c r="I31" s="102"/>
      <c r="J31" s="102">
        <f t="shared" si="59"/>
        <v>0</v>
      </c>
      <c r="K31" s="76"/>
      <c r="L31" s="102">
        <f t="shared" si="60"/>
        <v>0</v>
      </c>
      <c r="M31" s="76"/>
      <c r="N31" s="102">
        <f t="shared" si="61"/>
        <v>0</v>
      </c>
      <c r="O31" s="76"/>
      <c r="P31" s="102">
        <f t="shared" si="62"/>
        <v>0</v>
      </c>
      <c r="Q31" s="102">
        <f t="shared" si="63"/>
        <v>0</v>
      </c>
      <c r="R31" s="76">
        <f>'Dados da Operação'!G36</f>
        <v>0</v>
      </c>
      <c r="S31" s="76"/>
      <c r="T31" s="102">
        <f t="shared" si="64"/>
        <v>0</v>
      </c>
      <c r="U31" s="76"/>
      <c r="V31" s="102">
        <f t="shared" si="65"/>
        <v>0</v>
      </c>
      <c r="W31" s="76"/>
      <c r="X31" s="102">
        <f t="shared" si="66"/>
        <v>0</v>
      </c>
      <c r="Y31" s="76"/>
      <c r="Z31" s="102">
        <f t="shared" si="67"/>
        <v>0</v>
      </c>
      <c r="AA31" s="102">
        <f t="shared" si="68"/>
        <v>0</v>
      </c>
      <c r="AB31" s="76">
        <f>'Dados da Operação'!G45</f>
        <v>0</v>
      </c>
      <c r="AC31" s="76"/>
      <c r="AD31" s="102">
        <f t="shared" si="69"/>
        <v>0</v>
      </c>
      <c r="AE31" s="76"/>
      <c r="AF31" s="102">
        <f t="shared" si="70"/>
        <v>0</v>
      </c>
      <c r="AG31" s="76"/>
      <c r="AH31" s="102">
        <f t="shared" si="71"/>
        <v>0</v>
      </c>
      <c r="AI31" s="76"/>
      <c r="AJ31" s="102">
        <f t="shared" si="72"/>
        <v>0</v>
      </c>
      <c r="AK31" s="102">
        <f t="shared" si="73"/>
        <v>0</v>
      </c>
      <c r="AL31" s="76">
        <f>'Dados da Operação'!G54</f>
        <v>0</v>
      </c>
      <c r="AM31" s="76"/>
      <c r="AN31" s="102">
        <f t="shared" si="74"/>
        <v>0</v>
      </c>
      <c r="AO31" s="76"/>
      <c r="AP31" s="102">
        <f t="shared" si="75"/>
        <v>0</v>
      </c>
      <c r="AQ31" s="76"/>
      <c r="AR31" s="102">
        <f t="shared" si="76"/>
        <v>0</v>
      </c>
      <c r="AS31" s="76"/>
      <c r="AT31" s="102">
        <f t="shared" si="77"/>
        <v>0</v>
      </c>
      <c r="AU31" s="102">
        <f t="shared" si="78"/>
        <v>0</v>
      </c>
      <c r="AV31" s="76">
        <f>'Dados da Operação'!G63</f>
        <v>0</v>
      </c>
      <c r="AW31" s="76"/>
      <c r="AX31" s="102">
        <f t="shared" si="79"/>
        <v>0</v>
      </c>
      <c r="AY31" s="76"/>
      <c r="AZ31" s="102">
        <f t="shared" si="80"/>
        <v>0</v>
      </c>
      <c r="BA31" s="76"/>
      <c r="BB31" s="102">
        <f t="shared" si="81"/>
        <v>0</v>
      </c>
      <c r="BC31" s="76"/>
      <c r="BD31" s="102">
        <f t="shared" si="82"/>
        <v>0</v>
      </c>
      <c r="BE31" s="102">
        <f t="shared" si="83"/>
        <v>0</v>
      </c>
      <c r="BF31" s="73">
        <f>BF32*BF30</f>
        <v>4166.666667</v>
      </c>
      <c r="BG31" s="76"/>
      <c r="BH31" s="102">
        <f t="shared" si="84"/>
        <v>1041.666667</v>
      </c>
      <c r="BI31" s="76"/>
      <c r="BJ31" s="102">
        <f t="shared" si="85"/>
        <v>1041.666667</v>
      </c>
      <c r="BK31" s="76"/>
      <c r="BL31" s="102">
        <f t="shared" si="86"/>
        <v>1041.666667</v>
      </c>
      <c r="BM31" s="76"/>
      <c r="BN31" s="102">
        <f t="shared" si="87"/>
        <v>1041.666667</v>
      </c>
      <c r="BO31" s="102">
        <f t="shared" si="88"/>
        <v>0</v>
      </c>
      <c r="BP31" s="76">
        <f>'Dados da Operação'!G81</f>
        <v>0</v>
      </c>
      <c r="BQ31" s="76"/>
      <c r="BR31" s="102">
        <f t="shared" si="89"/>
        <v>0</v>
      </c>
      <c r="BS31" s="76"/>
      <c r="BT31" s="102">
        <f t="shared" si="90"/>
        <v>0</v>
      </c>
      <c r="BU31" s="76"/>
      <c r="BV31" s="102">
        <f t="shared" si="91"/>
        <v>0</v>
      </c>
      <c r="BW31" s="76"/>
      <c r="BX31" s="102">
        <f t="shared" si="92"/>
        <v>0</v>
      </c>
      <c r="BY31" s="102">
        <f t="shared" si="93"/>
        <v>0</v>
      </c>
      <c r="BZ31" s="76">
        <f>'Dados da Operação'!G90</f>
        <v>0</v>
      </c>
      <c r="CA31" s="76"/>
      <c r="CB31" s="102">
        <f t="shared" si="94"/>
        <v>0</v>
      </c>
      <c r="CC31" s="76"/>
      <c r="CD31" s="102">
        <f t="shared" si="95"/>
        <v>0</v>
      </c>
      <c r="CE31" s="76"/>
      <c r="CF31" s="102">
        <f t="shared" si="96"/>
        <v>0</v>
      </c>
      <c r="CG31" s="76"/>
      <c r="CH31" s="102">
        <f t="shared" si="97"/>
        <v>0</v>
      </c>
      <c r="CI31" s="102">
        <f t="shared" si="98"/>
        <v>0</v>
      </c>
      <c r="CJ31" s="76">
        <f>'Dados da Operação'!G99</f>
        <v>0</v>
      </c>
      <c r="CK31" s="76"/>
      <c r="CL31" s="102">
        <f t="shared" si="99"/>
        <v>0</v>
      </c>
      <c r="CM31" s="76"/>
      <c r="CN31" s="102">
        <f t="shared" si="100"/>
        <v>0</v>
      </c>
      <c r="CO31" s="76"/>
      <c r="CP31" s="102">
        <f t="shared" si="101"/>
        <v>0</v>
      </c>
      <c r="CQ31" s="76"/>
      <c r="CR31" s="102">
        <f t="shared" si="102"/>
        <v>0</v>
      </c>
      <c r="CS31" s="102">
        <f t="shared" si="103"/>
        <v>0</v>
      </c>
      <c r="CT31" s="76">
        <f>'Dados da Operação'!G108</f>
        <v>0</v>
      </c>
      <c r="CU31" s="76"/>
      <c r="CV31" s="102">
        <f t="shared" si="104"/>
        <v>0</v>
      </c>
      <c r="CW31" s="76"/>
      <c r="CX31" s="102">
        <f t="shared" si="105"/>
        <v>0</v>
      </c>
      <c r="CY31" s="76"/>
      <c r="CZ31" s="102">
        <f t="shared" si="106"/>
        <v>0</v>
      </c>
      <c r="DA31" s="76"/>
      <c r="DB31" s="102">
        <f t="shared" si="107"/>
        <v>0</v>
      </c>
      <c r="DC31" s="102">
        <f t="shared" si="108"/>
        <v>0</v>
      </c>
      <c r="DD31" s="76">
        <f>'Dados da Operação'!G117</f>
        <v>0</v>
      </c>
      <c r="DE31" s="76"/>
      <c r="DF31" s="102">
        <f t="shared" si="109"/>
        <v>0</v>
      </c>
      <c r="DG31" s="76"/>
      <c r="DH31" s="102">
        <f t="shared" si="110"/>
        <v>0</v>
      </c>
      <c r="DI31" s="76"/>
      <c r="DJ31" s="102">
        <f t="shared" si="111"/>
        <v>0</v>
      </c>
      <c r="DK31" s="76"/>
      <c r="DL31" s="102">
        <f t="shared" si="112"/>
        <v>0</v>
      </c>
      <c r="DM31" s="102">
        <f t="shared" si="113"/>
        <v>0</v>
      </c>
      <c r="DN31" s="76">
        <f>'Dados da Operação'!G126</f>
        <v>0</v>
      </c>
      <c r="DO31" s="103"/>
      <c r="DP31" s="74">
        <f t="shared" si="114"/>
        <v>0</v>
      </c>
      <c r="DQ31" s="103"/>
      <c r="DR31" s="74">
        <f t="shared" si="115"/>
        <v>0</v>
      </c>
      <c r="DS31" s="103"/>
      <c r="DT31" s="74">
        <f t="shared" si="116"/>
        <v>0</v>
      </c>
      <c r="DU31" s="103"/>
      <c r="DV31" s="74">
        <f t="shared" si="117"/>
        <v>0</v>
      </c>
    </row>
    <row r="32">
      <c r="A32" s="71"/>
      <c r="B32" s="104"/>
      <c r="C32" s="101" t="s">
        <v>12</v>
      </c>
      <c r="D32" s="102" t="str">
        <f t="shared" ref="D32:F32" si="118">D31/D30</f>
        <v>#DIV/0!</v>
      </c>
      <c r="E32" s="102">
        <f t="shared" si="118"/>
        <v>2500</v>
      </c>
      <c r="F32" s="102" t="str">
        <f t="shared" si="118"/>
        <v>#DIV/0!</v>
      </c>
      <c r="G32" s="82">
        <f>'Dados da Operação'!$C$5</f>
        <v>2500</v>
      </c>
      <c r="H32" s="61" t="str">
        <f t="shared" si="58"/>
        <v>#DIV/0!</v>
      </c>
      <c r="I32" s="102" t="str">
        <f>I31/I30</f>
        <v>#DIV/0!</v>
      </c>
      <c r="J32" s="76">
        <f>G32</f>
        <v>2500</v>
      </c>
      <c r="K32" s="102" t="str">
        <f>K31/K30</f>
        <v>#DIV/0!</v>
      </c>
      <c r="L32" s="76">
        <f>G32</f>
        <v>2500</v>
      </c>
      <c r="M32" s="102" t="str">
        <f>M31/M30</f>
        <v>#DIV/0!</v>
      </c>
      <c r="N32" s="76">
        <f>G32</f>
        <v>2500</v>
      </c>
      <c r="O32" s="102" t="str">
        <f>O31/O30</f>
        <v>#DIV/0!</v>
      </c>
      <c r="P32" s="76">
        <f>G32</f>
        <v>2500</v>
      </c>
      <c r="Q32" s="102" t="str">
        <f>Q31/Q30</f>
        <v>#DIV/0!</v>
      </c>
      <c r="R32" s="76">
        <f>'Dados da Operação'!$C$5</f>
        <v>2500</v>
      </c>
      <c r="S32" s="102" t="str">
        <f>S31/S30</f>
        <v>#DIV/0!</v>
      </c>
      <c r="T32" s="76">
        <f>R32</f>
        <v>2500</v>
      </c>
      <c r="U32" s="102" t="str">
        <f>U31/U30</f>
        <v>#DIV/0!</v>
      </c>
      <c r="V32" s="76">
        <f>R32</f>
        <v>2500</v>
      </c>
      <c r="W32" s="102" t="str">
        <f>W31/W30</f>
        <v>#DIV/0!</v>
      </c>
      <c r="X32" s="76">
        <f>R32</f>
        <v>2500</v>
      </c>
      <c r="Y32" s="102" t="str">
        <f>Y31/Y30</f>
        <v>#DIV/0!</v>
      </c>
      <c r="Z32" s="76">
        <f>R32</f>
        <v>2500</v>
      </c>
      <c r="AA32" s="102" t="str">
        <f>AA31/AA30</f>
        <v>#DIV/0!</v>
      </c>
      <c r="AB32" s="76">
        <f>'Dados da Operação'!$C$5</f>
        <v>2500</v>
      </c>
      <c r="AC32" s="102" t="str">
        <f>AC31/AC30</f>
        <v>#DIV/0!</v>
      </c>
      <c r="AD32" s="76">
        <f>AB32</f>
        <v>2500</v>
      </c>
      <c r="AE32" s="102" t="str">
        <f>AE31/AE30</f>
        <v>#DIV/0!</v>
      </c>
      <c r="AF32" s="76">
        <f>AB32</f>
        <v>2500</v>
      </c>
      <c r="AG32" s="102" t="str">
        <f>AG31/AG30</f>
        <v>#DIV/0!</v>
      </c>
      <c r="AH32" s="76">
        <f>AB32</f>
        <v>2500</v>
      </c>
      <c r="AI32" s="102" t="str">
        <f>AI31/AI30</f>
        <v>#DIV/0!</v>
      </c>
      <c r="AJ32" s="76">
        <f>AB32</f>
        <v>2500</v>
      </c>
      <c r="AK32" s="102" t="str">
        <f>AK31/AK30</f>
        <v>#DIV/0!</v>
      </c>
      <c r="AL32" s="76">
        <f>'Dados da Operação'!$C$5</f>
        <v>2500</v>
      </c>
      <c r="AM32" s="102" t="str">
        <f>AM31/AM30</f>
        <v>#DIV/0!</v>
      </c>
      <c r="AN32" s="76">
        <f>AL32</f>
        <v>2500</v>
      </c>
      <c r="AO32" s="102" t="str">
        <f>AO31/AO30</f>
        <v>#DIV/0!</v>
      </c>
      <c r="AP32" s="76">
        <f>AL32</f>
        <v>2500</v>
      </c>
      <c r="AQ32" s="102" t="str">
        <f>AQ31/AQ30</f>
        <v>#DIV/0!</v>
      </c>
      <c r="AR32" s="76">
        <f>AL32</f>
        <v>2500</v>
      </c>
      <c r="AS32" s="102" t="str">
        <f>AS31/AS30</f>
        <v>#DIV/0!</v>
      </c>
      <c r="AT32" s="76">
        <f>AL32</f>
        <v>2500</v>
      </c>
      <c r="AU32" s="102" t="str">
        <f>AU31/AU30</f>
        <v>#DIV/0!</v>
      </c>
      <c r="AV32" s="76">
        <f>'Dados da Operação'!$C$5</f>
        <v>2500</v>
      </c>
      <c r="AW32" s="102" t="str">
        <f>AW31/AW30</f>
        <v>#DIV/0!</v>
      </c>
      <c r="AX32" s="76">
        <f>AV32</f>
        <v>2500</v>
      </c>
      <c r="AY32" s="102" t="str">
        <f>AY31/AY30</f>
        <v>#DIV/0!</v>
      </c>
      <c r="AZ32" s="76">
        <f>AV32</f>
        <v>2500</v>
      </c>
      <c r="BA32" s="102" t="str">
        <f>BA31/BA30</f>
        <v>#DIV/0!</v>
      </c>
      <c r="BB32" s="76">
        <f>AV32</f>
        <v>2500</v>
      </c>
      <c r="BC32" s="102" t="str">
        <f>BC31/BC30</f>
        <v>#DIV/0!</v>
      </c>
      <c r="BD32" s="76">
        <f>AV32</f>
        <v>2500</v>
      </c>
      <c r="BE32" s="102" t="str">
        <f>BE31/BE30</f>
        <v>#DIV/0!</v>
      </c>
      <c r="BF32" s="76">
        <f>'Dados da Operação'!$C$5</f>
        <v>2500</v>
      </c>
      <c r="BG32" s="102" t="str">
        <f>BG31/BG30</f>
        <v>#DIV/0!</v>
      </c>
      <c r="BH32" s="76">
        <f>BF32</f>
        <v>2500</v>
      </c>
      <c r="BI32" s="102" t="str">
        <f>BI31/BI30</f>
        <v>#DIV/0!</v>
      </c>
      <c r="BJ32" s="76">
        <f>BF32</f>
        <v>2500</v>
      </c>
      <c r="BK32" s="102" t="str">
        <f>BK31/BK30</f>
        <v>#DIV/0!</v>
      </c>
      <c r="BL32" s="76">
        <f>BF32</f>
        <v>2500</v>
      </c>
      <c r="BM32" s="102" t="str">
        <f>BM31/BM30</f>
        <v>#DIV/0!</v>
      </c>
      <c r="BN32" s="76">
        <f>BF32</f>
        <v>2500</v>
      </c>
      <c r="BO32" s="102" t="str">
        <f>BO31/BO30</f>
        <v>#DIV/0!</v>
      </c>
      <c r="BP32" s="76">
        <f>'Dados da Operação'!$C$5</f>
        <v>2500</v>
      </c>
      <c r="BQ32" s="102" t="str">
        <f>BQ31/BQ30</f>
        <v>#DIV/0!</v>
      </c>
      <c r="BR32" s="76">
        <f>BP32</f>
        <v>2500</v>
      </c>
      <c r="BS32" s="102" t="str">
        <f>BS31/BS30</f>
        <v>#DIV/0!</v>
      </c>
      <c r="BT32" s="76">
        <f>BP32</f>
        <v>2500</v>
      </c>
      <c r="BU32" s="102" t="str">
        <f>BU31/BU30</f>
        <v>#DIV/0!</v>
      </c>
      <c r="BV32" s="76">
        <f>BP32</f>
        <v>2500</v>
      </c>
      <c r="BW32" s="102" t="str">
        <f>BW31/BW30</f>
        <v>#DIV/0!</v>
      </c>
      <c r="BX32" s="76">
        <f>BP32</f>
        <v>2500</v>
      </c>
      <c r="BY32" s="102" t="str">
        <f>BY31/BY30</f>
        <v>#DIV/0!</v>
      </c>
      <c r="BZ32" s="76">
        <f>'Dados da Operação'!$C$5</f>
        <v>2500</v>
      </c>
      <c r="CA32" s="102" t="str">
        <f>CA31/CA30</f>
        <v>#DIV/0!</v>
      </c>
      <c r="CB32" s="76">
        <f>BZ32</f>
        <v>2500</v>
      </c>
      <c r="CC32" s="102" t="str">
        <f>CC31/CC30</f>
        <v>#DIV/0!</v>
      </c>
      <c r="CD32" s="76">
        <f>BZ32</f>
        <v>2500</v>
      </c>
      <c r="CE32" s="102" t="str">
        <f>CE31/CE30</f>
        <v>#DIV/0!</v>
      </c>
      <c r="CF32" s="76">
        <f>BZ32</f>
        <v>2500</v>
      </c>
      <c r="CG32" s="102" t="str">
        <f>CG31/CG30</f>
        <v>#DIV/0!</v>
      </c>
      <c r="CH32" s="76">
        <f>BZ32</f>
        <v>2500</v>
      </c>
      <c r="CI32" s="102" t="str">
        <f>CI31/CI30</f>
        <v>#DIV/0!</v>
      </c>
      <c r="CJ32" s="76">
        <f>'Dados da Operação'!$C$5</f>
        <v>2500</v>
      </c>
      <c r="CK32" s="102" t="str">
        <f>CK31/CK30</f>
        <v>#DIV/0!</v>
      </c>
      <c r="CL32" s="76">
        <f>CJ32</f>
        <v>2500</v>
      </c>
      <c r="CM32" s="102" t="str">
        <f>CM31/CM30</f>
        <v>#DIV/0!</v>
      </c>
      <c r="CN32" s="76">
        <f>CJ32</f>
        <v>2500</v>
      </c>
      <c r="CO32" s="102" t="str">
        <f>CO31/CO30</f>
        <v>#DIV/0!</v>
      </c>
      <c r="CP32" s="76">
        <f>CJ32</f>
        <v>2500</v>
      </c>
      <c r="CQ32" s="102" t="str">
        <f>CQ31/CQ30</f>
        <v>#DIV/0!</v>
      </c>
      <c r="CR32" s="76">
        <f>CJ32</f>
        <v>2500</v>
      </c>
      <c r="CS32" s="102" t="str">
        <f>CS31/CS30</f>
        <v>#DIV/0!</v>
      </c>
      <c r="CT32" s="76">
        <f>'Dados da Operação'!$C$5</f>
        <v>2500</v>
      </c>
      <c r="CU32" s="102" t="str">
        <f>CU31/CU30</f>
        <v>#DIV/0!</v>
      </c>
      <c r="CV32" s="76">
        <f>CT32</f>
        <v>2500</v>
      </c>
      <c r="CW32" s="102" t="str">
        <f>CW31/CW30</f>
        <v>#DIV/0!</v>
      </c>
      <c r="CX32" s="76">
        <f>CT32</f>
        <v>2500</v>
      </c>
      <c r="CY32" s="102" t="str">
        <f>CY31/CY30</f>
        <v>#DIV/0!</v>
      </c>
      <c r="CZ32" s="76">
        <f>CT32</f>
        <v>2500</v>
      </c>
      <c r="DA32" s="102" t="str">
        <f>DA31/DA30</f>
        <v>#DIV/0!</v>
      </c>
      <c r="DB32" s="76">
        <f>CT32</f>
        <v>2500</v>
      </c>
      <c r="DC32" s="102" t="str">
        <f>DC31/DC30</f>
        <v>#DIV/0!</v>
      </c>
      <c r="DD32" s="76">
        <f>'Dados da Operação'!$C$5</f>
        <v>2500</v>
      </c>
      <c r="DE32" s="102" t="str">
        <f>DE31/DE30</f>
        <v>#DIV/0!</v>
      </c>
      <c r="DF32" s="76">
        <f>DD32</f>
        <v>2500</v>
      </c>
      <c r="DG32" s="102" t="str">
        <f>DG31/DG30</f>
        <v>#DIV/0!</v>
      </c>
      <c r="DH32" s="76">
        <f>DD32</f>
        <v>2500</v>
      </c>
      <c r="DI32" s="102" t="str">
        <f>DI31/DI30</f>
        <v>#DIV/0!</v>
      </c>
      <c r="DJ32" s="76">
        <f>DD32</f>
        <v>2500</v>
      </c>
      <c r="DK32" s="102" t="str">
        <f>DK31/DK30</f>
        <v>#DIV/0!</v>
      </c>
      <c r="DL32" s="76">
        <f>DD32</f>
        <v>2500</v>
      </c>
      <c r="DM32" s="102" t="str">
        <f>DM31/DM30</f>
        <v>#DIV/0!</v>
      </c>
      <c r="DN32" s="76">
        <f>'Dados da Operação'!$C$5</f>
        <v>2500</v>
      </c>
      <c r="DO32" s="73" t="str">
        <f>DO31/DO30</f>
        <v>#DIV/0!</v>
      </c>
      <c r="DP32" s="105">
        <f>DN32</f>
        <v>2500</v>
      </c>
      <c r="DQ32" s="73" t="str">
        <f>DQ31/DQ30</f>
        <v>#DIV/0!</v>
      </c>
      <c r="DR32" s="105">
        <f>DN32</f>
        <v>2500</v>
      </c>
      <c r="DS32" s="73" t="str">
        <f>DS31/DS30</f>
        <v>#DIV/0!</v>
      </c>
      <c r="DT32" s="105">
        <f>DN32</f>
        <v>2500</v>
      </c>
      <c r="DU32" s="73" t="str">
        <f>DU31/DU30</f>
        <v>#DIV/0!</v>
      </c>
      <c r="DV32" s="105">
        <f>DN32</f>
        <v>2500</v>
      </c>
    </row>
    <row r="33" ht="41.25" hidden="1" customHeight="1">
      <c r="A33" s="35"/>
      <c r="B33" s="42"/>
      <c r="C33" s="38"/>
      <c r="D33" s="38"/>
      <c r="E33" s="38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  <c r="CQ33" s="107"/>
      <c r="CR33" s="107"/>
      <c r="CS33" s="107"/>
      <c r="CT33" s="107"/>
      <c r="CU33" s="107"/>
      <c r="CV33" s="107"/>
      <c r="CW33" s="107"/>
      <c r="CX33" s="107"/>
      <c r="CY33" s="107"/>
      <c r="CZ33" s="107"/>
      <c r="DA33" s="107"/>
      <c r="DB33" s="107"/>
      <c r="DC33" s="107"/>
      <c r="DD33" s="107"/>
      <c r="DE33" s="107"/>
      <c r="DF33" s="107"/>
      <c r="DG33" s="107"/>
      <c r="DH33" s="107"/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</row>
    <row r="34" ht="15.75" hidden="1" customHeight="1">
      <c r="A34" s="35"/>
      <c r="B34" s="108" t="s">
        <v>109</v>
      </c>
      <c r="C34" s="78" t="s">
        <v>110</v>
      </c>
      <c r="D34" s="79">
        <f t="shared" ref="D34:E34" si="119">SUM(F34+Q34+AA34+AK34+AU34+BE34+BO34+BY34+CI34+CS34+DC34+DM34)</f>
        <v>0</v>
      </c>
      <c r="E34" s="91">
        <f t="shared" si="119"/>
        <v>0</v>
      </c>
      <c r="F34" s="81">
        <f>SUM(I34+K34+M34+O34)</f>
        <v>0</v>
      </c>
      <c r="G34" s="82">
        <f>G36/G35</f>
        <v>0</v>
      </c>
      <c r="H34" s="61" t="str">
        <f>F34/G34</f>
        <v>#DIV/0!</v>
      </c>
      <c r="I34" s="83"/>
      <c r="J34" s="79">
        <f>G34/4</f>
        <v>0</v>
      </c>
      <c r="K34" s="83"/>
      <c r="L34" s="79">
        <f>G34/4</f>
        <v>0</v>
      </c>
      <c r="M34" s="83"/>
      <c r="N34" s="79">
        <f>G34/4</f>
        <v>0</v>
      </c>
      <c r="O34" s="83"/>
      <c r="P34" s="79">
        <f>G34/4</f>
        <v>0</v>
      </c>
      <c r="Q34" s="79">
        <f>SUM(S34+U34+W34+Y34)</f>
        <v>0</v>
      </c>
      <c r="R34" s="82">
        <f>R36/R35</f>
        <v>0</v>
      </c>
      <c r="S34" s="84"/>
      <c r="T34" s="79">
        <f>R34/4</f>
        <v>0</v>
      </c>
      <c r="U34" s="84"/>
      <c r="V34" s="79">
        <f>R34/4</f>
        <v>0</v>
      </c>
      <c r="W34" s="84"/>
      <c r="X34" s="79">
        <f>R34/4</f>
        <v>0</v>
      </c>
      <c r="Y34" s="84"/>
      <c r="Z34" s="79">
        <f>R34/4</f>
        <v>0</v>
      </c>
      <c r="AA34" s="79">
        <f>SUM(AC34+AE34+AG34+AI34)</f>
        <v>0</v>
      </c>
      <c r="AB34" s="82">
        <f>AB36/AB35</f>
        <v>0</v>
      </c>
      <c r="AC34" s="84"/>
      <c r="AD34" s="79">
        <f>AB34/4</f>
        <v>0</v>
      </c>
      <c r="AE34" s="84"/>
      <c r="AF34" s="79">
        <f>AB34/4</f>
        <v>0</v>
      </c>
      <c r="AG34" s="84"/>
      <c r="AH34" s="79">
        <f>AB34/4</f>
        <v>0</v>
      </c>
      <c r="AI34" s="84"/>
      <c r="AJ34" s="79">
        <f>AB34/4</f>
        <v>0</v>
      </c>
      <c r="AK34" s="79">
        <f>SUM(AM34+AO34+AQ34+AS34)</f>
        <v>0</v>
      </c>
      <c r="AL34" s="82">
        <f>AL36/AL35</f>
        <v>0</v>
      </c>
      <c r="AM34" s="84"/>
      <c r="AN34" s="79">
        <f>AL34/4</f>
        <v>0</v>
      </c>
      <c r="AO34" s="84"/>
      <c r="AP34" s="79">
        <f>AL34/4</f>
        <v>0</v>
      </c>
      <c r="AQ34" s="84"/>
      <c r="AR34" s="79">
        <f>AL34/4</f>
        <v>0</v>
      </c>
      <c r="AS34" s="84"/>
      <c r="AT34" s="79">
        <f>AL34/4</f>
        <v>0</v>
      </c>
      <c r="AU34" s="79">
        <f>SUM(AW34+AY34+BA34+BC34)</f>
        <v>0</v>
      </c>
      <c r="AV34" s="82">
        <f>AV36/AV35</f>
        <v>0</v>
      </c>
      <c r="AW34" s="84"/>
      <c r="AX34" s="79">
        <f>AV34/4</f>
        <v>0</v>
      </c>
      <c r="AY34" s="84"/>
      <c r="AZ34" s="79">
        <f>AV34/4</f>
        <v>0</v>
      </c>
      <c r="BA34" s="84"/>
      <c r="BB34" s="79">
        <f>AV34/4</f>
        <v>0</v>
      </c>
      <c r="BC34" s="84"/>
      <c r="BD34" s="79">
        <f>AV34/4</f>
        <v>0</v>
      </c>
      <c r="BE34" s="79">
        <f>SUM(BG34+BI34+BK34+BM34)</f>
        <v>0</v>
      </c>
      <c r="BF34" s="82">
        <f>BF36/BF35</f>
        <v>0</v>
      </c>
      <c r="BG34" s="109"/>
      <c r="BH34" s="79">
        <f>BF34/4</f>
        <v>0</v>
      </c>
      <c r="BI34" s="84"/>
      <c r="BJ34" s="79">
        <f>BF34/4</f>
        <v>0</v>
      </c>
      <c r="BK34" s="84"/>
      <c r="BL34" s="79">
        <f>BF34/4</f>
        <v>0</v>
      </c>
      <c r="BM34" s="84"/>
      <c r="BN34" s="79">
        <f>BF34/4</f>
        <v>0</v>
      </c>
      <c r="BO34" s="79">
        <f>SUM(BQ34+BS34+BU34+BW34)</f>
        <v>0</v>
      </c>
      <c r="BP34" s="82">
        <f>BP36/BP35</f>
        <v>0</v>
      </c>
      <c r="BQ34" s="84"/>
      <c r="BR34" s="79">
        <f>BP34/4</f>
        <v>0</v>
      </c>
      <c r="BS34" s="84"/>
      <c r="BT34" s="79">
        <f>BP34/4</f>
        <v>0</v>
      </c>
      <c r="BU34" s="84"/>
      <c r="BV34" s="79">
        <f>BP34/4</f>
        <v>0</v>
      </c>
      <c r="BW34" s="84"/>
      <c r="BX34" s="79">
        <f>BP34/4</f>
        <v>0</v>
      </c>
      <c r="BY34" s="79">
        <f>SUM(CA34+CC34+CE34+CG34)</f>
        <v>0</v>
      </c>
      <c r="BZ34" s="82">
        <f>BZ36/BZ35</f>
        <v>0</v>
      </c>
      <c r="CA34" s="84"/>
      <c r="CB34" s="79">
        <f>BZ34/4</f>
        <v>0</v>
      </c>
      <c r="CC34" s="84"/>
      <c r="CD34" s="79">
        <f>BZ34/4</f>
        <v>0</v>
      </c>
      <c r="CE34" s="84"/>
      <c r="CF34" s="79">
        <f>BZ34/4</f>
        <v>0</v>
      </c>
      <c r="CG34" s="84"/>
      <c r="CH34" s="79">
        <f>BZ34/4</f>
        <v>0</v>
      </c>
      <c r="CI34" s="79">
        <f>SUM(CK34+CM34+CO34+CQ34)</f>
        <v>0</v>
      </c>
      <c r="CJ34" s="82">
        <f>CJ36/CJ35</f>
        <v>0</v>
      </c>
      <c r="CK34" s="84"/>
      <c r="CL34" s="79">
        <f>CJ34/4</f>
        <v>0</v>
      </c>
      <c r="CM34" s="84"/>
      <c r="CN34" s="79">
        <f>CJ34/4</f>
        <v>0</v>
      </c>
      <c r="CO34" s="84"/>
      <c r="CP34" s="79">
        <f>CJ34/4</f>
        <v>0</v>
      </c>
      <c r="CQ34" s="84"/>
      <c r="CR34" s="79">
        <f>CJ34/4</f>
        <v>0</v>
      </c>
      <c r="CS34" s="79">
        <f>SUM(CU34+CW34+CY34+DA34)</f>
        <v>0</v>
      </c>
      <c r="CT34" s="82">
        <f>CT36/CT35</f>
        <v>0</v>
      </c>
      <c r="CU34" s="84"/>
      <c r="CV34" s="79">
        <f>CT34/4</f>
        <v>0</v>
      </c>
      <c r="CW34" s="84"/>
      <c r="CX34" s="79">
        <f>CT34/4</f>
        <v>0</v>
      </c>
      <c r="CY34" s="84"/>
      <c r="CZ34" s="79">
        <f>CT34/4</f>
        <v>0</v>
      </c>
      <c r="DA34" s="84"/>
      <c r="DB34" s="79">
        <f>CT34/4</f>
        <v>0</v>
      </c>
      <c r="DC34" s="79">
        <f>SUM(DE34+DG34+DI34+DK34)</f>
        <v>0</v>
      </c>
      <c r="DD34" s="82">
        <f>DD36/DD35</f>
        <v>0</v>
      </c>
      <c r="DE34" s="84"/>
      <c r="DF34" s="79">
        <f>DD34/4</f>
        <v>0</v>
      </c>
      <c r="DG34" s="84"/>
      <c r="DH34" s="79">
        <f>DD34/4</f>
        <v>0</v>
      </c>
      <c r="DI34" s="84"/>
      <c r="DJ34" s="79">
        <f>DD34/4</f>
        <v>0</v>
      </c>
      <c r="DK34" s="84"/>
      <c r="DL34" s="79">
        <f>DD34/4</f>
        <v>0</v>
      </c>
      <c r="DM34" s="79">
        <f>SUM(DO34+DQ34+DS34+DU34)</f>
        <v>0</v>
      </c>
      <c r="DN34" s="82">
        <f>DN36/DN35</f>
        <v>0</v>
      </c>
      <c r="DO34" s="92"/>
      <c r="DP34" s="62">
        <f>DN34/4</f>
        <v>0</v>
      </c>
      <c r="DQ34" s="92"/>
      <c r="DR34" s="62">
        <f>DN34/4</f>
        <v>0</v>
      </c>
      <c r="DS34" s="92"/>
      <c r="DT34" s="62">
        <f>DN34/4</f>
        <v>0</v>
      </c>
      <c r="DU34" s="92"/>
      <c r="DV34" s="62">
        <f>DN34/4</f>
        <v>0</v>
      </c>
    </row>
    <row r="35" ht="15.75" hidden="1" customHeight="1">
      <c r="A35" s="35"/>
      <c r="B35" s="110"/>
      <c r="C35" s="111" t="s">
        <v>96</v>
      </c>
      <c r="D35" s="91" t="str">
        <f t="shared" ref="D35:F35" si="120">D36/D34</f>
        <v>#DIV/0!</v>
      </c>
      <c r="E35" s="91" t="str">
        <f t="shared" si="120"/>
        <v>#DIV/0!</v>
      </c>
      <c r="F35" s="81" t="str">
        <f t="shared" si="120"/>
        <v>#DIV/0!</v>
      </c>
      <c r="G35" s="88">
        <v>0.6</v>
      </c>
      <c r="H35" s="61" t="s">
        <v>97</v>
      </c>
      <c r="I35" s="81" t="str">
        <f>I36/I34</f>
        <v>#DIV/0!</v>
      </c>
      <c r="J35" s="83">
        <f>G35</f>
        <v>0.6</v>
      </c>
      <c r="K35" s="81" t="str">
        <f>K36/K34</f>
        <v>#DIV/0!</v>
      </c>
      <c r="L35" s="83">
        <f>G35</f>
        <v>0.6</v>
      </c>
      <c r="M35" s="81" t="str">
        <f>M36/M34</f>
        <v>#DIV/0!</v>
      </c>
      <c r="N35" s="83">
        <f>G35</f>
        <v>0.6</v>
      </c>
      <c r="O35" s="81" t="str">
        <f>O36/O34</f>
        <v>#DIV/0!</v>
      </c>
      <c r="P35" s="83">
        <f>G35</f>
        <v>0.6</v>
      </c>
      <c r="Q35" s="81" t="str">
        <f>Q36/Q34</f>
        <v>#DIV/0!</v>
      </c>
      <c r="R35" s="88">
        <v>0.6</v>
      </c>
      <c r="S35" s="81" t="str">
        <f>S36/S34</f>
        <v>#DIV/0!</v>
      </c>
      <c r="T35" s="83">
        <f>R35</f>
        <v>0.6</v>
      </c>
      <c r="U35" s="81" t="str">
        <f>U36/U34</f>
        <v>#DIV/0!</v>
      </c>
      <c r="V35" s="83">
        <f>R35</f>
        <v>0.6</v>
      </c>
      <c r="W35" s="81" t="str">
        <f>W36/W34</f>
        <v>#DIV/0!</v>
      </c>
      <c r="X35" s="83">
        <f>R35</f>
        <v>0.6</v>
      </c>
      <c r="Y35" s="81" t="str">
        <f>Y36/Y34</f>
        <v>#DIV/0!</v>
      </c>
      <c r="Z35" s="83">
        <f>R35</f>
        <v>0.6</v>
      </c>
      <c r="AA35" s="81" t="str">
        <f>AA36/AA34</f>
        <v>#DIV/0!</v>
      </c>
      <c r="AB35" s="88">
        <v>0.6</v>
      </c>
      <c r="AC35" s="81" t="str">
        <f>AC36/AC34</f>
        <v>#DIV/0!</v>
      </c>
      <c r="AD35" s="83">
        <f>AB35</f>
        <v>0.6</v>
      </c>
      <c r="AE35" s="81" t="str">
        <f>AE36/AE34</f>
        <v>#DIV/0!</v>
      </c>
      <c r="AF35" s="83">
        <f>AB35</f>
        <v>0.6</v>
      </c>
      <c r="AG35" s="81" t="str">
        <f>AG36/AG34</f>
        <v>#DIV/0!</v>
      </c>
      <c r="AH35" s="83">
        <f>AB35</f>
        <v>0.6</v>
      </c>
      <c r="AI35" s="81" t="str">
        <f>AI36/AI34</f>
        <v>#DIV/0!</v>
      </c>
      <c r="AJ35" s="83">
        <f>AB35</f>
        <v>0.6</v>
      </c>
      <c r="AK35" s="81" t="str">
        <f>AK36/AK34</f>
        <v>#DIV/0!</v>
      </c>
      <c r="AL35" s="88">
        <v>0.6</v>
      </c>
      <c r="AM35" s="81" t="str">
        <f>AM36/AM34</f>
        <v>#DIV/0!</v>
      </c>
      <c r="AN35" s="83">
        <f>AL35</f>
        <v>0.6</v>
      </c>
      <c r="AO35" s="81" t="str">
        <f>AO36/AO34</f>
        <v>#DIV/0!</v>
      </c>
      <c r="AP35" s="83">
        <f>AL35</f>
        <v>0.6</v>
      </c>
      <c r="AQ35" s="81" t="str">
        <f>AQ36/AQ34</f>
        <v>#DIV/0!</v>
      </c>
      <c r="AR35" s="83">
        <f>AL35</f>
        <v>0.6</v>
      </c>
      <c r="AS35" s="81" t="str">
        <f>AS36/AS34</f>
        <v>#DIV/0!</v>
      </c>
      <c r="AT35" s="83">
        <f>AL35</f>
        <v>0.6</v>
      </c>
      <c r="AU35" s="81" t="str">
        <f>AU36/AU34</f>
        <v>#DIV/0!</v>
      </c>
      <c r="AV35" s="88">
        <v>0.6</v>
      </c>
      <c r="AW35" s="81" t="str">
        <f>AW36/AW34</f>
        <v>#DIV/0!</v>
      </c>
      <c r="AX35" s="83">
        <f>AV35</f>
        <v>0.6</v>
      </c>
      <c r="AY35" s="81" t="str">
        <f>AY36/AY34</f>
        <v>#DIV/0!</v>
      </c>
      <c r="AZ35" s="83">
        <f>AV35</f>
        <v>0.6</v>
      </c>
      <c r="BA35" s="81" t="str">
        <f>BA36/BA34</f>
        <v>#DIV/0!</v>
      </c>
      <c r="BB35" s="83">
        <f>AV35</f>
        <v>0.6</v>
      </c>
      <c r="BC35" s="81" t="str">
        <f>BC36/BC34</f>
        <v>#DIV/0!</v>
      </c>
      <c r="BD35" s="83">
        <f>AV35</f>
        <v>0.6</v>
      </c>
      <c r="BE35" s="81" t="str">
        <f>BE36/BE34</f>
        <v>#DIV/0!</v>
      </c>
      <c r="BF35" s="112">
        <v>0.25</v>
      </c>
      <c r="BG35" s="81" t="str">
        <f>BG36/BG34</f>
        <v>#DIV/0!</v>
      </c>
      <c r="BH35" s="83">
        <f>BF35</f>
        <v>0.25</v>
      </c>
      <c r="BI35" s="81" t="str">
        <f>BI36/BI34</f>
        <v>#DIV/0!</v>
      </c>
      <c r="BJ35" s="83">
        <f>BF35</f>
        <v>0.25</v>
      </c>
      <c r="BK35" s="81" t="str">
        <f>BK36/BK34</f>
        <v>#DIV/0!</v>
      </c>
      <c r="BL35" s="83">
        <f>BF35</f>
        <v>0.25</v>
      </c>
      <c r="BM35" s="81" t="str">
        <f>BM36/BM34</f>
        <v>#DIV/0!</v>
      </c>
      <c r="BN35" s="83">
        <f>BF35</f>
        <v>0.25</v>
      </c>
      <c r="BO35" s="81" t="str">
        <f>BO36/BO34</f>
        <v>#DIV/0!</v>
      </c>
      <c r="BP35" s="88">
        <v>0.6</v>
      </c>
      <c r="BQ35" s="81" t="str">
        <f>BQ36/BQ34</f>
        <v>#DIV/0!</v>
      </c>
      <c r="BR35" s="83">
        <f>BP35</f>
        <v>0.6</v>
      </c>
      <c r="BS35" s="81" t="str">
        <f>BS36/BS34</f>
        <v>#DIV/0!</v>
      </c>
      <c r="BT35" s="83">
        <f>BP35</f>
        <v>0.6</v>
      </c>
      <c r="BU35" s="81" t="str">
        <f>BU36/BU34</f>
        <v>#DIV/0!</v>
      </c>
      <c r="BV35" s="83">
        <f>BP35</f>
        <v>0.6</v>
      </c>
      <c r="BW35" s="81" t="str">
        <f>BW36/BW34</f>
        <v>#DIV/0!</v>
      </c>
      <c r="BX35" s="83">
        <f>BP35</f>
        <v>0.6</v>
      </c>
      <c r="BY35" s="81" t="str">
        <f>BY36/BY34</f>
        <v>#DIV/0!</v>
      </c>
      <c r="BZ35" s="88">
        <v>0.6</v>
      </c>
      <c r="CA35" s="81" t="str">
        <f>CA36/CA34</f>
        <v>#DIV/0!</v>
      </c>
      <c r="CB35" s="83">
        <f>BZ35</f>
        <v>0.6</v>
      </c>
      <c r="CC35" s="81" t="str">
        <f>CC36/CC34</f>
        <v>#DIV/0!</v>
      </c>
      <c r="CD35" s="83">
        <f>BZ35</f>
        <v>0.6</v>
      </c>
      <c r="CE35" s="81" t="str">
        <f>CE36/CE34</f>
        <v>#DIV/0!</v>
      </c>
      <c r="CF35" s="83">
        <f>BZ35</f>
        <v>0.6</v>
      </c>
      <c r="CG35" s="81" t="str">
        <f>CG36/CG34</f>
        <v>#DIV/0!</v>
      </c>
      <c r="CH35" s="83">
        <f>BZ35</f>
        <v>0.6</v>
      </c>
      <c r="CI35" s="81" t="str">
        <f>CI36/CI34</f>
        <v>#DIV/0!</v>
      </c>
      <c r="CJ35" s="88">
        <v>0.6</v>
      </c>
      <c r="CK35" s="81" t="str">
        <f>CK36/CK34</f>
        <v>#DIV/0!</v>
      </c>
      <c r="CL35" s="83">
        <f>CJ35</f>
        <v>0.6</v>
      </c>
      <c r="CM35" s="81" t="str">
        <f>CM36/CM34</f>
        <v>#DIV/0!</v>
      </c>
      <c r="CN35" s="83">
        <f>CJ35</f>
        <v>0.6</v>
      </c>
      <c r="CO35" s="81" t="str">
        <f>CO36/CO34</f>
        <v>#DIV/0!</v>
      </c>
      <c r="CP35" s="83">
        <f>CJ35</f>
        <v>0.6</v>
      </c>
      <c r="CQ35" s="81" t="str">
        <f>CQ36/CQ34</f>
        <v>#DIV/0!</v>
      </c>
      <c r="CR35" s="83">
        <f>CJ35</f>
        <v>0.6</v>
      </c>
      <c r="CS35" s="81" t="str">
        <f>CS36/CS34</f>
        <v>#DIV/0!</v>
      </c>
      <c r="CT35" s="88">
        <v>0.6</v>
      </c>
      <c r="CU35" s="81" t="str">
        <f>CU36/CU34</f>
        <v>#DIV/0!</v>
      </c>
      <c r="CV35" s="83">
        <f>CT35</f>
        <v>0.6</v>
      </c>
      <c r="CW35" s="81" t="str">
        <f>CW36/CW34</f>
        <v>#DIV/0!</v>
      </c>
      <c r="CX35" s="83">
        <f>CT35</f>
        <v>0.6</v>
      </c>
      <c r="CY35" s="81" t="str">
        <f>CY36/CY34</f>
        <v>#DIV/0!</v>
      </c>
      <c r="CZ35" s="83">
        <f>CT35</f>
        <v>0.6</v>
      </c>
      <c r="DA35" s="81" t="str">
        <f>DA36/DA34</f>
        <v>#DIV/0!</v>
      </c>
      <c r="DB35" s="83">
        <f>CT35</f>
        <v>0.6</v>
      </c>
      <c r="DC35" s="81" t="str">
        <f>DC36/DC34</f>
        <v>#DIV/0!</v>
      </c>
      <c r="DD35" s="88">
        <v>0.6</v>
      </c>
      <c r="DE35" s="81" t="str">
        <f>DE36/DE34</f>
        <v>#DIV/0!</v>
      </c>
      <c r="DF35" s="83">
        <f>DD35</f>
        <v>0.6</v>
      </c>
      <c r="DG35" s="81" t="str">
        <f>DG36/DG34</f>
        <v>#DIV/0!</v>
      </c>
      <c r="DH35" s="83">
        <f>DD35</f>
        <v>0.6</v>
      </c>
      <c r="DI35" s="81" t="str">
        <f>DI36/DI34</f>
        <v>#DIV/0!</v>
      </c>
      <c r="DJ35" s="83">
        <f>DD35</f>
        <v>0.6</v>
      </c>
      <c r="DK35" s="81" t="str">
        <f>DK36/DK34</f>
        <v>#DIV/0!</v>
      </c>
      <c r="DL35" s="83">
        <f>DD35</f>
        <v>0.6</v>
      </c>
      <c r="DM35" s="81" t="str">
        <f>DM36/DM34</f>
        <v>#DIV/0!</v>
      </c>
      <c r="DN35" s="88">
        <v>0.6</v>
      </c>
      <c r="DO35" s="65" t="str">
        <f>DO36/DO34</f>
        <v>#DIV/0!</v>
      </c>
      <c r="DP35" s="93">
        <f>DN35</f>
        <v>0.6</v>
      </c>
      <c r="DQ35" s="66" t="str">
        <f>DQ36/DQ34</f>
        <v>#DIV/0!</v>
      </c>
      <c r="DR35" s="93">
        <f>DN35</f>
        <v>0.6</v>
      </c>
      <c r="DS35" s="66" t="str">
        <f>DS36/DS34</f>
        <v>#DIV/0!</v>
      </c>
      <c r="DT35" s="93">
        <f>DN35</f>
        <v>0.6</v>
      </c>
      <c r="DU35" s="66" t="str">
        <f>DU36/DU34</f>
        <v>#DIV/0!</v>
      </c>
      <c r="DV35" s="93">
        <f>DN35</f>
        <v>0.6</v>
      </c>
    </row>
    <row r="36" ht="15.75" hidden="1" customHeight="1">
      <c r="A36" s="35"/>
      <c r="B36" s="110"/>
      <c r="C36" s="78" t="s">
        <v>98</v>
      </c>
      <c r="D36" s="91">
        <f t="shared" ref="D36:E36" si="121">SUM(F36+Q36+AA36+AK36+AU36+BE36+BO36+BY36+CI36+CS36+DC36+DM36)</f>
        <v>0</v>
      </c>
      <c r="E36" s="91">
        <f t="shared" si="121"/>
        <v>0</v>
      </c>
      <c r="F36" s="81">
        <f>SUM(I36+K36+M36+O36)</f>
        <v>0</v>
      </c>
      <c r="G36" s="82">
        <f>G38/G37</f>
        <v>0</v>
      </c>
      <c r="H36" s="61" t="str">
        <f>G36/F36</f>
        <v>#DIV/0!</v>
      </c>
      <c r="I36" s="83"/>
      <c r="J36" s="79">
        <f>G36/4</f>
        <v>0</v>
      </c>
      <c r="K36" s="83"/>
      <c r="L36" s="79">
        <f>G36/4</f>
        <v>0</v>
      </c>
      <c r="M36" s="83"/>
      <c r="N36" s="79">
        <f>G36/4</f>
        <v>0</v>
      </c>
      <c r="O36" s="83"/>
      <c r="P36" s="79">
        <f>G36/4</f>
        <v>0</v>
      </c>
      <c r="Q36" s="79">
        <f>SUM(S36+U36+W36+Y36)</f>
        <v>0</v>
      </c>
      <c r="R36" s="82">
        <f>R38/R37</f>
        <v>0</v>
      </c>
      <c r="S36" s="84"/>
      <c r="T36" s="79">
        <f>R36/4</f>
        <v>0</v>
      </c>
      <c r="U36" s="84"/>
      <c r="V36" s="79">
        <f>R36/4</f>
        <v>0</v>
      </c>
      <c r="W36" s="84"/>
      <c r="X36" s="79">
        <f>R36/4</f>
        <v>0</v>
      </c>
      <c r="Y36" s="84"/>
      <c r="Z36" s="79">
        <f>R36/4</f>
        <v>0</v>
      </c>
      <c r="AA36" s="79">
        <f>SUM(AC36+AE36+AG36+AI36)</f>
        <v>0</v>
      </c>
      <c r="AB36" s="82">
        <f>AB38/AB37</f>
        <v>0</v>
      </c>
      <c r="AC36" s="84"/>
      <c r="AD36" s="79">
        <f>AB36/4</f>
        <v>0</v>
      </c>
      <c r="AE36" s="84"/>
      <c r="AF36" s="79">
        <f>AB36/4</f>
        <v>0</v>
      </c>
      <c r="AG36" s="84"/>
      <c r="AH36" s="79">
        <f>AB36/4</f>
        <v>0</v>
      </c>
      <c r="AI36" s="84"/>
      <c r="AJ36" s="79">
        <f>AB36/4</f>
        <v>0</v>
      </c>
      <c r="AK36" s="79">
        <f>SUM(AM36+AO36+AQ36+AS36)</f>
        <v>0</v>
      </c>
      <c r="AL36" s="82">
        <f>AL38/AL37</f>
        <v>0</v>
      </c>
      <c r="AM36" s="84"/>
      <c r="AN36" s="79">
        <f>AL36/4</f>
        <v>0</v>
      </c>
      <c r="AO36" s="84"/>
      <c r="AP36" s="79">
        <f>AL36/4</f>
        <v>0</v>
      </c>
      <c r="AQ36" s="84"/>
      <c r="AR36" s="79">
        <f>AL36/4</f>
        <v>0</v>
      </c>
      <c r="AS36" s="84"/>
      <c r="AT36" s="79">
        <f>AL36/4</f>
        <v>0</v>
      </c>
      <c r="AU36" s="79">
        <f>SUM(AW36+AY36+BA36+BC36)</f>
        <v>0</v>
      </c>
      <c r="AV36" s="82">
        <f>AV38/AV37</f>
        <v>0</v>
      </c>
      <c r="AW36" s="84"/>
      <c r="AX36" s="79">
        <f>AV36/4</f>
        <v>0</v>
      </c>
      <c r="AY36" s="84"/>
      <c r="AZ36" s="79">
        <f>AV36/4</f>
        <v>0</v>
      </c>
      <c r="BA36" s="84"/>
      <c r="BB36" s="79">
        <f>AV36/4</f>
        <v>0</v>
      </c>
      <c r="BC36" s="84"/>
      <c r="BD36" s="79">
        <f>AV36/4</f>
        <v>0</v>
      </c>
      <c r="BE36" s="79">
        <f>SUM(BG36+BI36+BK36+BM36)</f>
        <v>0</v>
      </c>
      <c r="BF36" s="82">
        <f>BF38/BF37</f>
        <v>0</v>
      </c>
      <c r="BG36" s="109"/>
      <c r="BH36" s="79">
        <f>BF36/4</f>
        <v>0</v>
      </c>
      <c r="BI36" s="84"/>
      <c r="BJ36" s="79">
        <f>BF36/4</f>
        <v>0</v>
      </c>
      <c r="BK36" s="84"/>
      <c r="BL36" s="79">
        <f>BF36/4</f>
        <v>0</v>
      </c>
      <c r="BM36" s="84"/>
      <c r="BN36" s="79">
        <f>BF36/4</f>
        <v>0</v>
      </c>
      <c r="BO36" s="79">
        <f>SUM(BQ36+BS36+BU36+BW36)</f>
        <v>0</v>
      </c>
      <c r="BP36" s="82">
        <f>BP38/BP37</f>
        <v>0</v>
      </c>
      <c r="BQ36" s="84"/>
      <c r="BR36" s="79">
        <f>BP36/4</f>
        <v>0</v>
      </c>
      <c r="BS36" s="84"/>
      <c r="BT36" s="79">
        <f>BP36/4</f>
        <v>0</v>
      </c>
      <c r="BU36" s="84"/>
      <c r="BV36" s="79">
        <f>BP36/4</f>
        <v>0</v>
      </c>
      <c r="BW36" s="84"/>
      <c r="BX36" s="79">
        <f>BP36/4</f>
        <v>0</v>
      </c>
      <c r="BY36" s="79">
        <f>SUM(CA36+CC36+CE36+CG36)</f>
        <v>0</v>
      </c>
      <c r="BZ36" s="82">
        <f>BZ38/BZ37</f>
        <v>0</v>
      </c>
      <c r="CA36" s="84"/>
      <c r="CB36" s="79">
        <f>BZ36/4</f>
        <v>0</v>
      </c>
      <c r="CC36" s="84"/>
      <c r="CD36" s="79">
        <f>BZ36/4</f>
        <v>0</v>
      </c>
      <c r="CE36" s="84"/>
      <c r="CF36" s="79">
        <f>BZ36/4</f>
        <v>0</v>
      </c>
      <c r="CG36" s="84"/>
      <c r="CH36" s="79">
        <f>BZ36/4</f>
        <v>0</v>
      </c>
      <c r="CI36" s="79">
        <f>SUM(CK36+CM36+CO36+CQ36)</f>
        <v>0</v>
      </c>
      <c r="CJ36" s="82">
        <f>CJ38/CJ37</f>
        <v>0</v>
      </c>
      <c r="CK36" s="84"/>
      <c r="CL36" s="79">
        <f>CJ36/4</f>
        <v>0</v>
      </c>
      <c r="CM36" s="84"/>
      <c r="CN36" s="79">
        <f>CJ36/4</f>
        <v>0</v>
      </c>
      <c r="CO36" s="84"/>
      <c r="CP36" s="79">
        <f>CJ36/4</f>
        <v>0</v>
      </c>
      <c r="CQ36" s="84"/>
      <c r="CR36" s="79">
        <f>CJ36/4</f>
        <v>0</v>
      </c>
      <c r="CS36" s="79">
        <f>SUM(CU36+CW36+CY36+DA36)</f>
        <v>0</v>
      </c>
      <c r="CT36" s="82">
        <f>CT38/CT37</f>
        <v>0</v>
      </c>
      <c r="CU36" s="84"/>
      <c r="CV36" s="79">
        <f>CT36/4</f>
        <v>0</v>
      </c>
      <c r="CW36" s="84"/>
      <c r="CX36" s="79">
        <f>CT36/4</f>
        <v>0</v>
      </c>
      <c r="CY36" s="84"/>
      <c r="CZ36" s="79">
        <f>CT36/4</f>
        <v>0</v>
      </c>
      <c r="DA36" s="84"/>
      <c r="DB36" s="79">
        <f>CT36/4</f>
        <v>0</v>
      </c>
      <c r="DC36" s="79">
        <f>SUM(DE36+DG36+DI36+DK36)</f>
        <v>0</v>
      </c>
      <c r="DD36" s="82">
        <f>DD38/DD37</f>
        <v>0</v>
      </c>
      <c r="DE36" s="84"/>
      <c r="DF36" s="79">
        <f>DD36/4</f>
        <v>0</v>
      </c>
      <c r="DG36" s="84"/>
      <c r="DH36" s="79">
        <f>DD36/4</f>
        <v>0</v>
      </c>
      <c r="DI36" s="84"/>
      <c r="DJ36" s="79">
        <f>DD36/4</f>
        <v>0</v>
      </c>
      <c r="DK36" s="84"/>
      <c r="DL36" s="79">
        <f>DD36/4</f>
        <v>0</v>
      </c>
      <c r="DM36" s="79">
        <f>SUM(DO36+DQ36+DS36+DU36)</f>
        <v>0</v>
      </c>
      <c r="DN36" s="82">
        <f>DN38/DN37</f>
        <v>0</v>
      </c>
      <c r="DO36" s="92"/>
      <c r="DP36" s="62">
        <f>DN36/4</f>
        <v>0</v>
      </c>
      <c r="DQ36" s="92"/>
      <c r="DR36" s="62">
        <f>DN36/4</f>
        <v>0</v>
      </c>
      <c r="DS36" s="92"/>
      <c r="DT36" s="62">
        <f>DN36/4</f>
        <v>0</v>
      </c>
      <c r="DU36" s="92"/>
      <c r="DV36" s="62">
        <f>DN36/4</f>
        <v>0</v>
      </c>
    </row>
    <row r="37" ht="15.75" hidden="1" customHeight="1">
      <c r="A37" s="35"/>
      <c r="B37" s="110"/>
      <c r="C37" s="111" t="s">
        <v>99</v>
      </c>
      <c r="D37" s="91" t="str">
        <f t="shared" ref="D37:F37" si="122">D38/D36</f>
        <v>#DIV/0!</v>
      </c>
      <c r="E37" s="91" t="str">
        <f t="shared" si="122"/>
        <v>#DIV/0!</v>
      </c>
      <c r="F37" s="81" t="str">
        <f t="shared" si="122"/>
        <v>#DIV/0!</v>
      </c>
      <c r="G37" s="88">
        <v>0.4</v>
      </c>
      <c r="H37" s="61" t="s">
        <v>97</v>
      </c>
      <c r="I37" s="81" t="str">
        <f>I38/I36</f>
        <v>#DIV/0!</v>
      </c>
      <c r="J37" s="83">
        <f>G37</f>
        <v>0.4</v>
      </c>
      <c r="K37" s="81" t="str">
        <f>K38/K36</f>
        <v>#DIV/0!</v>
      </c>
      <c r="L37" s="83">
        <f>G37</f>
        <v>0.4</v>
      </c>
      <c r="M37" s="81" t="str">
        <f>M38/M36</f>
        <v>#DIV/0!</v>
      </c>
      <c r="N37" s="83">
        <f>G37</f>
        <v>0.4</v>
      </c>
      <c r="O37" s="81" t="str">
        <f>O38/O36</f>
        <v>#DIV/0!</v>
      </c>
      <c r="P37" s="83">
        <f>G37</f>
        <v>0.4</v>
      </c>
      <c r="Q37" s="81" t="str">
        <f>Q38/Q36</f>
        <v>#DIV/0!</v>
      </c>
      <c r="R37" s="88">
        <v>0.4</v>
      </c>
      <c r="S37" s="81" t="str">
        <f>S38/S36</f>
        <v>#DIV/0!</v>
      </c>
      <c r="T37" s="83">
        <f>R37</f>
        <v>0.4</v>
      </c>
      <c r="U37" s="81" t="str">
        <f>U38/U36</f>
        <v>#DIV/0!</v>
      </c>
      <c r="V37" s="83">
        <f>R37</f>
        <v>0.4</v>
      </c>
      <c r="W37" s="81" t="str">
        <f>W38/W36</f>
        <v>#DIV/0!</v>
      </c>
      <c r="X37" s="83">
        <f>R37</f>
        <v>0.4</v>
      </c>
      <c r="Y37" s="81" t="str">
        <f>Y38/Y36</f>
        <v>#DIV/0!</v>
      </c>
      <c r="Z37" s="83">
        <f>R37</f>
        <v>0.4</v>
      </c>
      <c r="AA37" s="81" t="str">
        <f>AA38/AA36</f>
        <v>#DIV/0!</v>
      </c>
      <c r="AB37" s="88">
        <v>0.4</v>
      </c>
      <c r="AC37" s="81" t="str">
        <f>AC38/AC36</f>
        <v>#DIV/0!</v>
      </c>
      <c r="AD37" s="83">
        <f>AB37</f>
        <v>0.4</v>
      </c>
      <c r="AE37" s="81" t="str">
        <f>AE38/AE36</f>
        <v>#DIV/0!</v>
      </c>
      <c r="AF37" s="83">
        <f>AB37</f>
        <v>0.4</v>
      </c>
      <c r="AG37" s="81" t="str">
        <f>AG38/AG36</f>
        <v>#DIV/0!</v>
      </c>
      <c r="AH37" s="83">
        <f>AB37</f>
        <v>0.4</v>
      </c>
      <c r="AI37" s="81" t="str">
        <f>AI38/AI36</f>
        <v>#DIV/0!</v>
      </c>
      <c r="AJ37" s="83">
        <f>AB37</f>
        <v>0.4</v>
      </c>
      <c r="AK37" s="81" t="str">
        <f>AK38/AK36</f>
        <v>#DIV/0!</v>
      </c>
      <c r="AL37" s="88">
        <v>0.4</v>
      </c>
      <c r="AM37" s="81" t="str">
        <f>AM38/AM36</f>
        <v>#DIV/0!</v>
      </c>
      <c r="AN37" s="83">
        <f>AL37</f>
        <v>0.4</v>
      </c>
      <c r="AO37" s="81" t="str">
        <f>AO38/AO36</f>
        <v>#DIV/0!</v>
      </c>
      <c r="AP37" s="83">
        <f>AL37</f>
        <v>0.4</v>
      </c>
      <c r="AQ37" s="81" t="str">
        <f>AQ38/AQ36</f>
        <v>#DIV/0!</v>
      </c>
      <c r="AR37" s="83">
        <f>AL37</f>
        <v>0.4</v>
      </c>
      <c r="AS37" s="81" t="str">
        <f>AS38/AS36</f>
        <v>#DIV/0!</v>
      </c>
      <c r="AT37" s="83">
        <f>AL37</f>
        <v>0.4</v>
      </c>
      <c r="AU37" s="81" t="str">
        <f>AU38/AU36</f>
        <v>#DIV/0!</v>
      </c>
      <c r="AV37" s="88">
        <v>0.4</v>
      </c>
      <c r="AW37" s="81" t="str">
        <f>AW38/AW36</f>
        <v>#DIV/0!</v>
      </c>
      <c r="AX37" s="83">
        <f>AV37</f>
        <v>0.4</v>
      </c>
      <c r="AY37" s="81" t="str">
        <f>AY38/AY36</f>
        <v>#DIV/0!</v>
      </c>
      <c r="AZ37" s="83">
        <f>AV37</f>
        <v>0.4</v>
      </c>
      <c r="BA37" s="81" t="str">
        <f>BA38/BA36</f>
        <v>#DIV/0!</v>
      </c>
      <c r="BB37" s="83">
        <f>AV37</f>
        <v>0.4</v>
      </c>
      <c r="BC37" s="81" t="str">
        <f>BC38/BC36</f>
        <v>#DIV/0!</v>
      </c>
      <c r="BD37" s="83">
        <f>AV37</f>
        <v>0.4</v>
      </c>
      <c r="BE37" s="81" t="str">
        <f>BE38/BE36</f>
        <v>#DIV/0!</v>
      </c>
      <c r="BF37" s="112">
        <v>0.3</v>
      </c>
      <c r="BG37" s="81" t="str">
        <f>BG38/BG36</f>
        <v>#DIV/0!</v>
      </c>
      <c r="BH37" s="83">
        <f>BF37</f>
        <v>0.3</v>
      </c>
      <c r="BI37" s="81" t="str">
        <f>BI38/BI36</f>
        <v>#DIV/0!</v>
      </c>
      <c r="BJ37" s="83">
        <f>BF37</f>
        <v>0.3</v>
      </c>
      <c r="BK37" s="81" t="str">
        <f>BK38/BK36</f>
        <v>#DIV/0!</v>
      </c>
      <c r="BL37" s="83">
        <f>BF37</f>
        <v>0.3</v>
      </c>
      <c r="BM37" s="81" t="str">
        <f>BM38/BM36</f>
        <v>#DIV/0!</v>
      </c>
      <c r="BN37" s="83">
        <f>BF37</f>
        <v>0.3</v>
      </c>
      <c r="BO37" s="81" t="str">
        <f>BO38/BO36</f>
        <v>#DIV/0!</v>
      </c>
      <c r="BP37" s="88">
        <v>0.4</v>
      </c>
      <c r="BQ37" s="81" t="str">
        <f>BQ38/BQ36</f>
        <v>#DIV/0!</v>
      </c>
      <c r="BR37" s="83">
        <f>BP37</f>
        <v>0.4</v>
      </c>
      <c r="BS37" s="81" t="str">
        <f>BS38/BS36</f>
        <v>#DIV/0!</v>
      </c>
      <c r="BT37" s="83">
        <f>BP37</f>
        <v>0.4</v>
      </c>
      <c r="BU37" s="81" t="str">
        <f>BU38/BU36</f>
        <v>#DIV/0!</v>
      </c>
      <c r="BV37" s="83">
        <f>BP37</f>
        <v>0.4</v>
      </c>
      <c r="BW37" s="81" t="str">
        <f>BW38/BW36</f>
        <v>#DIV/0!</v>
      </c>
      <c r="BX37" s="83">
        <f>BP37</f>
        <v>0.4</v>
      </c>
      <c r="BY37" s="81" t="str">
        <f>BY38/BY36</f>
        <v>#DIV/0!</v>
      </c>
      <c r="BZ37" s="88">
        <v>0.4</v>
      </c>
      <c r="CA37" s="81" t="str">
        <f>CA38/CA36</f>
        <v>#DIV/0!</v>
      </c>
      <c r="CB37" s="83">
        <f>BZ37</f>
        <v>0.4</v>
      </c>
      <c r="CC37" s="81" t="str">
        <f>CC38/CC36</f>
        <v>#DIV/0!</v>
      </c>
      <c r="CD37" s="83">
        <f>BZ37</f>
        <v>0.4</v>
      </c>
      <c r="CE37" s="81" t="str">
        <f>CE38/CE36</f>
        <v>#DIV/0!</v>
      </c>
      <c r="CF37" s="83">
        <f>BZ37</f>
        <v>0.4</v>
      </c>
      <c r="CG37" s="81" t="str">
        <f>CG38/CG36</f>
        <v>#DIV/0!</v>
      </c>
      <c r="CH37" s="83">
        <f>BZ37</f>
        <v>0.4</v>
      </c>
      <c r="CI37" s="81" t="str">
        <f>CI38/CI36</f>
        <v>#DIV/0!</v>
      </c>
      <c r="CJ37" s="88">
        <v>0.4</v>
      </c>
      <c r="CK37" s="81" t="str">
        <f>CK38/CK36</f>
        <v>#DIV/0!</v>
      </c>
      <c r="CL37" s="83">
        <f>CJ37</f>
        <v>0.4</v>
      </c>
      <c r="CM37" s="81" t="str">
        <f>CM38/CM36</f>
        <v>#DIV/0!</v>
      </c>
      <c r="CN37" s="83">
        <f>CJ37</f>
        <v>0.4</v>
      </c>
      <c r="CO37" s="81" t="str">
        <f>CO38/CO36</f>
        <v>#DIV/0!</v>
      </c>
      <c r="CP37" s="83">
        <f>CJ37</f>
        <v>0.4</v>
      </c>
      <c r="CQ37" s="81" t="str">
        <f>CQ38/CQ36</f>
        <v>#DIV/0!</v>
      </c>
      <c r="CR37" s="83">
        <f>CJ37</f>
        <v>0.4</v>
      </c>
      <c r="CS37" s="81" t="str">
        <f>CS38/CS36</f>
        <v>#DIV/0!</v>
      </c>
      <c r="CT37" s="88">
        <v>0.4</v>
      </c>
      <c r="CU37" s="81" t="str">
        <f>CU38/CU36</f>
        <v>#DIV/0!</v>
      </c>
      <c r="CV37" s="83">
        <f>CT37</f>
        <v>0.4</v>
      </c>
      <c r="CW37" s="81" t="str">
        <f>CW38/CW36</f>
        <v>#DIV/0!</v>
      </c>
      <c r="CX37" s="83">
        <f>CT37</f>
        <v>0.4</v>
      </c>
      <c r="CY37" s="81" t="str">
        <f>CY38/CY36</f>
        <v>#DIV/0!</v>
      </c>
      <c r="CZ37" s="83">
        <f>CT37</f>
        <v>0.4</v>
      </c>
      <c r="DA37" s="81" t="str">
        <f>DA38/DA36</f>
        <v>#DIV/0!</v>
      </c>
      <c r="DB37" s="83">
        <f>CT37</f>
        <v>0.4</v>
      </c>
      <c r="DC37" s="81" t="str">
        <f>DC38/DC36</f>
        <v>#DIV/0!</v>
      </c>
      <c r="DD37" s="88">
        <v>0.4</v>
      </c>
      <c r="DE37" s="81" t="str">
        <f>DE38/DE36</f>
        <v>#DIV/0!</v>
      </c>
      <c r="DF37" s="83">
        <f>DD37</f>
        <v>0.4</v>
      </c>
      <c r="DG37" s="81" t="str">
        <f>DG38/DG36</f>
        <v>#DIV/0!</v>
      </c>
      <c r="DH37" s="83">
        <f>DD37</f>
        <v>0.4</v>
      </c>
      <c r="DI37" s="81" t="str">
        <f>DI38/DI36</f>
        <v>#DIV/0!</v>
      </c>
      <c r="DJ37" s="83">
        <f>DD37</f>
        <v>0.4</v>
      </c>
      <c r="DK37" s="81" t="str">
        <f>DK38/DK36</f>
        <v>#DIV/0!</v>
      </c>
      <c r="DL37" s="83">
        <f>DD37</f>
        <v>0.4</v>
      </c>
      <c r="DM37" s="81" t="str">
        <f>DM38/DM36</f>
        <v>#DIV/0!</v>
      </c>
      <c r="DN37" s="88">
        <v>0.4</v>
      </c>
      <c r="DO37" s="66" t="str">
        <f>DO38/DO36</f>
        <v>#DIV/0!</v>
      </c>
      <c r="DP37" s="93">
        <f>DN37</f>
        <v>0.4</v>
      </c>
      <c r="DQ37" s="66" t="str">
        <f>DQ38/DQ36</f>
        <v>#DIV/0!</v>
      </c>
      <c r="DR37" s="93">
        <f>DN37</f>
        <v>0.4</v>
      </c>
      <c r="DS37" s="66" t="str">
        <f>DS38/DS36</f>
        <v>#DIV/0!</v>
      </c>
      <c r="DT37" s="93">
        <f>DN37</f>
        <v>0.4</v>
      </c>
      <c r="DU37" s="66" t="str">
        <f>DU38/DU36</f>
        <v>#DIV/0!</v>
      </c>
      <c r="DV37" s="93">
        <f>DN37</f>
        <v>0.4</v>
      </c>
    </row>
    <row r="38" ht="15.75" hidden="1" customHeight="1">
      <c r="A38" s="94"/>
      <c r="B38" s="110"/>
      <c r="C38" s="78" t="s">
        <v>100</v>
      </c>
      <c r="D38" s="91">
        <f t="shared" ref="D38:E38" si="123">SUM(F38+Q38+AA38+AK38+AU38+BE38+BO38+BY38+CI38+CS38+DC38+DM38)</f>
        <v>0</v>
      </c>
      <c r="E38" s="91">
        <f t="shared" si="123"/>
        <v>0</v>
      </c>
      <c r="F38" s="81">
        <f>SUM(I38+K38+M38+O38)</f>
        <v>0</v>
      </c>
      <c r="G38" s="82">
        <f>G40/G39</f>
        <v>0</v>
      </c>
      <c r="H38" s="61" t="str">
        <f>G38/F38</f>
        <v>#DIV/0!</v>
      </c>
      <c r="I38" s="83"/>
      <c r="J38" s="79">
        <f>G38/4</f>
        <v>0</v>
      </c>
      <c r="K38" s="83"/>
      <c r="L38" s="79">
        <f>G38/4</f>
        <v>0</v>
      </c>
      <c r="M38" s="83"/>
      <c r="N38" s="79">
        <f>G38/4</f>
        <v>0</v>
      </c>
      <c r="O38" s="83"/>
      <c r="P38" s="79">
        <f>G38/4</f>
        <v>0</v>
      </c>
      <c r="Q38" s="79">
        <f>SUM(S38+U38+W38+Y38)</f>
        <v>0</v>
      </c>
      <c r="R38" s="82">
        <f>R40/R39</f>
        <v>0</v>
      </c>
      <c r="S38" s="84"/>
      <c r="T38" s="79">
        <f>R38/4</f>
        <v>0</v>
      </c>
      <c r="U38" s="84"/>
      <c r="V38" s="79">
        <f>R38/4</f>
        <v>0</v>
      </c>
      <c r="W38" s="84"/>
      <c r="X38" s="79">
        <f>R38/4</f>
        <v>0</v>
      </c>
      <c r="Y38" s="84"/>
      <c r="Z38" s="79">
        <f>R38/4</f>
        <v>0</v>
      </c>
      <c r="AA38" s="79">
        <f>SUM(AC38+AE38+AG38+AI38)</f>
        <v>0</v>
      </c>
      <c r="AB38" s="82">
        <f>AB40/AB39</f>
        <v>0</v>
      </c>
      <c r="AC38" s="84"/>
      <c r="AD38" s="79">
        <f>AB38/4</f>
        <v>0</v>
      </c>
      <c r="AE38" s="84"/>
      <c r="AF38" s="79">
        <f>AB38/4</f>
        <v>0</v>
      </c>
      <c r="AG38" s="84"/>
      <c r="AH38" s="79">
        <f>AB38/4</f>
        <v>0</v>
      </c>
      <c r="AI38" s="84"/>
      <c r="AJ38" s="79">
        <f>AB38/4</f>
        <v>0</v>
      </c>
      <c r="AK38" s="79">
        <f>SUM(AM38+AO38+AQ38+AS38)</f>
        <v>0</v>
      </c>
      <c r="AL38" s="82">
        <f>AL40/AL39</f>
        <v>0</v>
      </c>
      <c r="AM38" s="84"/>
      <c r="AN38" s="79">
        <f>AL38/4</f>
        <v>0</v>
      </c>
      <c r="AO38" s="84"/>
      <c r="AP38" s="79">
        <f>AL38/4</f>
        <v>0</v>
      </c>
      <c r="AQ38" s="84"/>
      <c r="AR38" s="79">
        <f>AL38/4</f>
        <v>0</v>
      </c>
      <c r="AS38" s="84"/>
      <c r="AT38" s="79">
        <f>AL38/4</f>
        <v>0</v>
      </c>
      <c r="AU38" s="79">
        <f>SUM(AW38+AY38+BA38+BC38)</f>
        <v>0</v>
      </c>
      <c r="AV38" s="82">
        <f>AV40/AV39</f>
        <v>0</v>
      </c>
      <c r="AW38" s="84"/>
      <c r="AX38" s="79">
        <f>AV38/4</f>
        <v>0</v>
      </c>
      <c r="AY38" s="84"/>
      <c r="AZ38" s="79">
        <f>AV38/4</f>
        <v>0</v>
      </c>
      <c r="BA38" s="84"/>
      <c r="BB38" s="79">
        <f>AV38/4</f>
        <v>0</v>
      </c>
      <c r="BC38" s="84"/>
      <c r="BD38" s="79">
        <f>AV38/4</f>
        <v>0</v>
      </c>
      <c r="BE38" s="79">
        <f>SUM(BG38+BI38+BK38+BM38)</f>
        <v>0</v>
      </c>
      <c r="BF38" s="82">
        <f>BF40/BF39</f>
        <v>0</v>
      </c>
      <c r="BG38" s="84"/>
      <c r="BH38" s="79">
        <f>BF38/4</f>
        <v>0</v>
      </c>
      <c r="BI38" s="84"/>
      <c r="BJ38" s="79">
        <f>BF38/4</f>
        <v>0</v>
      </c>
      <c r="BK38" s="84"/>
      <c r="BL38" s="79">
        <f>BF38/4</f>
        <v>0</v>
      </c>
      <c r="BM38" s="84"/>
      <c r="BN38" s="79">
        <f>BF38/4</f>
        <v>0</v>
      </c>
      <c r="BO38" s="79">
        <f>SUM(BQ38+BS38+BU38+BW38)</f>
        <v>0</v>
      </c>
      <c r="BP38" s="82">
        <f>BP40/BP39</f>
        <v>0</v>
      </c>
      <c r="BQ38" s="84"/>
      <c r="BR38" s="79">
        <f>BP38/4</f>
        <v>0</v>
      </c>
      <c r="BS38" s="84"/>
      <c r="BT38" s="79">
        <f>BP38/4</f>
        <v>0</v>
      </c>
      <c r="BU38" s="84"/>
      <c r="BV38" s="79">
        <f>BP38/4</f>
        <v>0</v>
      </c>
      <c r="BW38" s="84"/>
      <c r="BX38" s="79">
        <f>BP38/4</f>
        <v>0</v>
      </c>
      <c r="BY38" s="79">
        <f>SUM(CA38+CC38+CE38+CG38)</f>
        <v>0</v>
      </c>
      <c r="BZ38" s="82">
        <f>BZ40/BZ39</f>
        <v>0</v>
      </c>
      <c r="CA38" s="84"/>
      <c r="CB38" s="79">
        <f>BZ38/4</f>
        <v>0</v>
      </c>
      <c r="CC38" s="84"/>
      <c r="CD38" s="79">
        <f>BZ38/4</f>
        <v>0</v>
      </c>
      <c r="CE38" s="84"/>
      <c r="CF38" s="79">
        <f>BZ38/4</f>
        <v>0</v>
      </c>
      <c r="CG38" s="84"/>
      <c r="CH38" s="79">
        <f>BZ38/4</f>
        <v>0</v>
      </c>
      <c r="CI38" s="79">
        <f>SUM(CK38+CM38+CO38+CQ38)</f>
        <v>0</v>
      </c>
      <c r="CJ38" s="82">
        <f>CJ40/CJ39</f>
        <v>0</v>
      </c>
      <c r="CK38" s="84"/>
      <c r="CL38" s="79">
        <f>CJ38/4</f>
        <v>0</v>
      </c>
      <c r="CM38" s="84"/>
      <c r="CN38" s="79">
        <f>CJ38/4</f>
        <v>0</v>
      </c>
      <c r="CO38" s="84"/>
      <c r="CP38" s="79">
        <f>CJ38/4</f>
        <v>0</v>
      </c>
      <c r="CQ38" s="84"/>
      <c r="CR38" s="79">
        <f>CJ38/4</f>
        <v>0</v>
      </c>
      <c r="CS38" s="79">
        <f>SUM(CU38+CW38+CY38+DA38)</f>
        <v>0</v>
      </c>
      <c r="CT38" s="82">
        <f>CT40/CT39</f>
        <v>0</v>
      </c>
      <c r="CU38" s="84"/>
      <c r="CV38" s="79">
        <f>CT38/4</f>
        <v>0</v>
      </c>
      <c r="CW38" s="84"/>
      <c r="CX38" s="79">
        <f>CT38/4</f>
        <v>0</v>
      </c>
      <c r="CY38" s="84"/>
      <c r="CZ38" s="79">
        <f>CT38/4</f>
        <v>0</v>
      </c>
      <c r="DA38" s="84"/>
      <c r="DB38" s="79">
        <f>CT38/4</f>
        <v>0</v>
      </c>
      <c r="DC38" s="79">
        <f>SUM(DE38+DG38+DI38+DK38)</f>
        <v>0</v>
      </c>
      <c r="DD38" s="82">
        <f>DD40/DD39</f>
        <v>0</v>
      </c>
      <c r="DE38" s="84"/>
      <c r="DF38" s="79">
        <f>DD38/4</f>
        <v>0</v>
      </c>
      <c r="DG38" s="84"/>
      <c r="DH38" s="79">
        <f>DD38/4</f>
        <v>0</v>
      </c>
      <c r="DI38" s="84"/>
      <c r="DJ38" s="79">
        <f>DD38/4</f>
        <v>0</v>
      </c>
      <c r="DK38" s="84"/>
      <c r="DL38" s="79">
        <f>DD38/4</f>
        <v>0</v>
      </c>
      <c r="DM38" s="79">
        <f>SUM(DO38+DQ38+DS38+DU38)</f>
        <v>0</v>
      </c>
      <c r="DN38" s="82">
        <f>DN40/DN39</f>
        <v>0</v>
      </c>
      <c r="DO38" s="92"/>
      <c r="DP38" s="62">
        <f>DN38/4</f>
        <v>0</v>
      </c>
      <c r="DQ38" s="92"/>
      <c r="DR38" s="62">
        <f>DN38/4</f>
        <v>0</v>
      </c>
      <c r="DS38" s="92"/>
      <c r="DT38" s="62">
        <f>DN38/4</f>
        <v>0</v>
      </c>
      <c r="DU38" s="92"/>
      <c r="DV38" s="62">
        <f>DN38/4</f>
        <v>0</v>
      </c>
    </row>
    <row r="39" ht="15.75" hidden="1" customHeight="1">
      <c r="A39" s="35"/>
      <c r="B39" s="110"/>
      <c r="C39" s="111" t="s">
        <v>101</v>
      </c>
      <c r="D39" s="91" t="str">
        <f t="shared" ref="D39:F39" si="124">D40/D38</f>
        <v>#DIV/0!</v>
      </c>
      <c r="E39" s="91" t="str">
        <f t="shared" si="124"/>
        <v>#DIV/0!</v>
      </c>
      <c r="F39" s="81" t="str">
        <f t="shared" si="124"/>
        <v>#DIV/0!</v>
      </c>
      <c r="G39" s="88">
        <v>0.9</v>
      </c>
      <c r="H39" s="61" t="s">
        <v>97</v>
      </c>
      <c r="I39" s="81" t="str">
        <f>I40/I38</f>
        <v>#DIV/0!</v>
      </c>
      <c r="J39" s="83">
        <f>G39</f>
        <v>0.9</v>
      </c>
      <c r="K39" s="81" t="str">
        <f>K40/K38</f>
        <v>#DIV/0!</v>
      </c>
      <c r="L39" s="83">
        <f>G39</f>
        <v>0.9</v>
      </c>
      <c r="M39" s="81" t="str">
        <f>M40/M38</f>
        <v>#DIV/0!</v>
      </c>
      <c r="N39" s="83">
        <f>G39</f>
        <v>0.9</v>
      </c>
      <c r="O39" s="81" t="str">
        <f>O40/O38</f>
        <v>#DIV/0!</v>
      </c>
      <c r="P39" s="83">
        <f>G39</f>
        <v>0.9</v>
      </c>
      <c r="Q39" s="81" t="str">
        <f>Q40/Q38</f>
        <v>#DIV/0!</v>
      </c>
      <c r="R39" s="88">
        <v>0.9</v>
      </c>
      <c r="S39" s="81" t="str">
        <f>S40/S38</f>
        <v>#DIV/0!</v>
      </c>
      <c r="T39" s="83">
        <f>R39</f>
        <v>0.9</v>
      </c>
      <c r="U39" s="81" t="str">
        <f>U40/U38</f>
        <v>#DIV/0!</v>
      </c>
      <c r="V39" s="83">
        <f>R39</f>
        <v>0.9</v>
      </c>
      <c r="W39" s="81" t="str">
        <f>W40/W38</f>
        <v>#DIV/0!</v>
      </c>
      <c r="X39" s="83">
        <f>R39</f>
        <v>0.9</v>
      </c>
      <c r="Y39" s="81" t="str">
        <f>Y40/Y38</f>
        <v>#DIV/0!</v>
      </c>
      <c r="Z39" s="83">
        <f>R39</f>
        <v>0.9</v>
      </c>
      <c r="AA39" s="81" t="str">
        <f>AA40/AA38</f>
        <v>#DIV/0!</v>
      </c>
      <c r="AB39" s="88">
        <v>0.9</v>
      </c>
      <c r="AC39" s="81" t="str">
        <f>AC40/AC38</f>
        <v>#DIV/0!</v>
      </c>
      <c r="AD39" s="83">
        <f>AB39</f>
        <v>0.9</v>
      </c>
      <c r="AE39" s="81" t="str">
        <f>AE40/AE38</f>
        <v>#DIV/0!</v>
      </c>
      <c r="AF39" s="83">
        <f>AB39</f>
        <v>0.9</v>
      </c>
      <c r="AG39" s="81" t="str">
        <f>AG40/AG38</f>
        <v>#DIV/0!</v>
      </c>
      <c r="AH39" s="83">
        <f>AB39</f>
        <v>0.9</v>
      </c>
      <c r="AI39" s="81" t="str">
        <f>AI40/AI38</f>
        <v>#DIV/0!</v>
      </c>
      <c r="AJ39" s="83">
        <f>AB39</f>
        <v>0.9</v>
      </c>
      <c r="AK39" s="81" t="str">
        <f>AK40/AK38</f>
        <v>#DIV/0!</v>
      </c>
      <c r="AL39" s="88">
        <v>0.9</v>
      </c>
      <c r="AM39" s="81" t="str">
        <f>AM40/AM38</f>
        <v>#DIV/0!</v>
      </c>
      <c r="AN39" s="83">
        <f>AL39</f>
        <v>0.9</v>
      </c>
      <c r="AO39" s="81" t="str">
        <f>AO40/AO38</f>
        <v>#DIV/0!</v>
      </c>
      <c r="AP39" s="83">
        <f>AL39</f>
        <v>0.9</v>
      </c>
      <c r="AQ39" s="81" t="str">
        <f>AQ40/AQ38</f>
        <v>#DIV/0!</v>
      </c>
      <c r="AR39" s="83">
        <f>AL39</f>
        <v>0.9</v>
      </c>
      <c r="AS39" s="81" t="str">
        <f>AS40/AS38</f>
        <v>#DIV/0!</v>
      </c>
      <c r="AT39" s="83">
        <f>AL39</f>
        <v>0.9</v>
      </c>
      <c r="AU39" s="81" t="str">
        <f>AU40/AU38</f>
        <v>#DIV/0!</v>
      </c>
      <c r="AV39" s="88">
        <v>0.9</v>
      </c>
      <c r="AW39" s="81" t="str">
        <f>AW40/AW38</f>
        <v>#DIV/0!</v>
      </c>
      <c r="AX39" s="83">
        <f>AV39</f>
        <v>0.9</v>
      </c>
      <c r="AY39" s="81" t="str">
        <f>AY40/AY38</f>
        <v>#DIV/0!</v>
      </c>
      <c r="AZ39" s="83">
        <f>AV39</f>
        <v>0.9</v>
      </c>
      <c r="BA39" s="81" t="str">
        <f>BA40/BA38</f>
        <v>#DIV/0!</v>
      </c>
      <c r="BB39" s="83">
        <f>AV39</f>
        <v>0.9</v>
      </c>
      <c r="BC39" s="81" t="str">
        <f>BC40/BC38</f>
        <v>#DIV/0!</v>
      </c>
      <c r="BD39" s="83">
        <f>AV39</f>
        <v>0.9</v>
      </c>
      <c r="BE39" s="81" t="str">
        <f>BE40/BE38</f>
        <v>#DIV/0!</v>
      </c>
      <c r="BF39" s="112">
        <v>0.8</v>
      </c>
      <c r="BG39" s="81" t="str">
        <f>BG40/BG38</f>
        <v>#DIV/0!</v>
      </c>
      <c r="BH39" s="83">
        <f>BF39</f>
        <v>0.8</v>
      </c>
      <c r="BI39" s="81" t="str">
        <f>BI40/BI38</f>
        <v>#DIV/0!</v>
      </c>
      <c r="BJ39" s="83">
        <f>BF39</f>
        <v>0.8</v>
      </c>
      <c r="BK39" s="81" t="str">
        <f>BK40/BK38</f>
        <v>#DIV/0!</v>
      </c>
      <c r="BL39" s="83">
        <f>BF39</f>
        <v>0.8</v>
      </c>
      <c r="BM39" s="81" t="str">
        <f>BM40/BM38</f>
        <v>#DIV/0!</v>
      </c>
      <c r="BN39" s="83">
        <f>BF39</f>
        <v>0.8</v>
      </c>
      <c r="BO39" s="81" t="str">
        <f>BO40/BO38</f>
        <v>#DIV/0!</v>
      </c>
      <c r="BP39" s="88">
        <v>0.9</v>
      </c>
      <c r="BQ39" s="81" t="str">
        <f>BQ40/BQ38</f>
        <v>#DIV/0!</v>
      </c>
      <c r="BR39" s="83">
        <f>BP39</f>
        <v>0.9</v>
      </c>
      <c r="BS39" s="81" t="str">
        <f>BS40/BS38</f>
        <v>#DIV/0!</v>
      </c>
      <c r="BT39" s="83">
        <f>BP39</f>
        <v>0.9</v>
      </c>
      <c r="BU39" s="81" t="str">
        <f>BU40/BU38</f>
        <v>#DIV/0!</v>
      </c>
      <c r="BV39" s="83">
        <f>BP39</f>
        <v>0.9</v>
      </c>
      <c r="BW39" s="81" t="str">
        <f>BW40/BW38</f>
        <v>#DIV/0!</v>
      </c>
      <c r="BX39" s="83">
        <f>BP39</f>
        <v>0.9</v>
      </c>
      <c r="BY39" s="81" t="str">
        <f>BY40/BY38</f>
        <v>#DIV/0!</v>
      </c>
      <c r="BZ39" s="88">
        <v>0.9</v>
      </c>
      <c r="CA39" s="81" t="str">
        <f>CA40/CA38</f>
        <v>#DIV/0!</v>
      </c>
      <c r="CB39" s="83">
        <f>BZ39</f>
        <v>0.9</v>
      </c>
      <c r="CC39" s="81" t="str">
        <f>CC40/CC38</f>
        <v>#DIV/0!</v>
      </c>
      <c r="CD39" s="83">
        <f>BZ39</f>
        <v>0.9</v>
      </c>
      <c r="CE39" s="81" t="str">
        <f>CE40/CE38</f>
        <v>#DIV/0!</v>
      </c>
      <c r="CF39" s="83">
        <f>BZ39</f>
        <v>0.9</v>
      </c>
      <c r="CG39" s="81" t="str">
        <f>CG40/CG38</f>
        <v>#DIV/0!</v>
      </c>
      <c r="CH39" s="83">
        <f>BZ39</f>
        <v>0.9</v>
      </c>
      <c r="CI39" s="81" t="str">
        <f>CI40/CI38</f>
        <v>#DIV/0!</v>
      </c>
      <c r="CJ39" s="88">
        <v>0.9</v>
      </c>
      <c r="CK39" s="81" t="str">
        <f>CK40/CK38</f>
        <v>#DIV/0!</v>
      </c>
      <c r="CL39" s="83">
        <f>CJ39</f>
        <v>0.9</v>
      </c>
      <c r="CM39" s="81" t="str">
        <f>CM40/CM38</f>
        <v>#DIV/0!</v>
      </c>
      <c r="CN39" s="83">
        <f>CJ39</f>
        <v>0.9</v>
      </c>
      <c r="CO39" s="81" t="str">
        <f>CO40/CO38</f>
        <v>#DIV/0!</v>
      </c>
      <c r="CP39" s="83">
        <f>CJ39</f>
        <v>0.9</v>
      </c>
      <c r="CQ39" s="81" t="str">
        <f>CQ40/CQ38</f>
        <v>#DIV/0!</v>
      </c>
      <c r="CR39" s="83">
        <f>CJ39</f>
        <v>0.9</v>
      </c>
      <c r="CS39" s="81" t="str">
        <f>CS40/CS38</f>
        <v>#DIV/0!</v>
      </c>
      <c r="CT39" s="88">
        <v>0.9</v>
      </c>
      <c r="CU39" s="81" t="str">
        <f>CU40/CU38</f>
        <v>#DIV/0!</v>
      </c>
      <c r="CV39" s="83">
        <f>CT39</f>
        <v>0.9</v>
      </c>
      <c r="CW39" s="81" t="str">
        <f>CW40/CW38</f>
        <v>#DIV/0!</v>
      </c>
      <c r="CX39" s="83">
        <f>CT39</f>
        <v>0.9</v>
      </c>
      <c r="CY39" s="81" t="str">
        <f>CY40/CY38</f>
        <v>#DIV/0!</v>
      </c>
      <c r="CZ39" s="83">
        <f>CT39</f>
        <v>0.9</v>
      </c>
      <c r="DA39" s="81" t="str">
        <f>DA40/DA38</f>
        <v>#DIV/0!</v>
      </c>
      <c r="DB39" s="83">
        <f>CT39</f>
        <v>0.9</v>
      </c>
      <c r="DC39" s="81" t="str">
        <f>DC40/DC38</f>
        <v>#DIV/0!</v>
      </c>
      <c r="DD39" s="88">
        <v>0.9</v>
      </c>
      <c r="DE39" s="81" t="str">
        <f>DE40/DE38</f>
        <v>#DIV/0!</v>
      </c>
      <c r="DF39" s="83">
        <f>DD39</f>
        <v>0.9</v>
      </c>
      <c r="DG39" s="81" t="str">
        <f>DG40/DG38</f>
        <v>#DIV/0!</v>
      </c>
      <c r="DH39" s="83">
        <f>DD39</f>
        <v>0.9</v>
      </c>
      <c r="DI39" s="81" t="str">
        <f>DI40/DI38</f>
        <v>#DIV/0!</v>
      </c>
      <c r="DJ39" s="83">
        <f>DD39</f>
        <v>0.9</v>
      </c>
      <c r="DK39" s="81" t="str">
        <f>DK40/DK38</f>
        <v>#DIV/0!</v>
      </c>
      <c r="DL39" s="83">
        <f>DD39</f>
        <v>0.9</v>
      </c>
      <c r="DM39" s="81" t="str">
        <f>DM40/DM38</f>
        <v>#DIV/0!</v>
      </c>
      <c r="DN39" s="88">
        <v>0.9</v>
      </c>
      <c r="DO39" s="66" t="str">
        <f>DO40/DO38</f>
        <v>#DIV/0!</v>
      </c>
      <c r="DP39" s="93">
        <f>DN39</f>
        <v>0.9</v>
      </c>
      <c r="DQ39" s="66" t="str">
        <f>DQ40/DQ38</f>
        <v>#DIV/0!</v>
      </c>
      <c r="DR39" s="93">
        <f>DN39</f>
        <v>0.9</v>
      </c>
      <c r="DS39" s="66" t="str">
        <f>DS40/DS38</f>
        <v>#DIV/0!</v>
      </c>
      <c r="DT39" s="93">
        <f>DN39</f>
        <v>0.9</v>
      </c>
      <c r="DU39" s="66" t="str">
        <f>DU40/DU38</f>
        <v>#DIV/0!</v>
      </c>
      <c r="DV39" s="93">
        <f>DN39</f>
        <v>0.9</v>
      </c>
    </row>
    <row r="40" ht="15.75" hidden="1" customHeight="1">
      <c r="A40" s="71"/>
      <c r="B40" s="110"/>
      <c r="C40" s="95" t="s">
        <v>102</v>
      </c>
      <c r="D40" s="79">
        <f t="shared" ref="D40:E40" si="125">SUM(F40+Q40+AA40+AK40+AU40+BE40+BO40+BY40+CI40+CS40+DC40+DM40)</f>
        <v>0</v>
      </c>
      <c r="E40" s="91">
        <f t="shared" si="125"/>
        <v>0</v>
      </c>
      <c r="F40" s="81">
        <f>SUM(I40+K40+M40+O40)</f>
        <v>0</v>
      </c>
      <c r="G40" s="82">
        <f>G42/G41</f>
        <v>0</v>
      </c>
      <c r="H40" s="61" t="str">
        <f>G40/F40</f>
        <v>#DIV/0!</v>
      </c>
      <c r="I40" s="83"/>
      <c r="J40" s="79">
        <f>G40/4</f>
        <v>0</v>
      </c>
      <c r="K40" s="83"/>
      <c r="L40" s="79">
        <f>G40/4</f>
        <v>0</v>
      </c>
      <c r="M40" s="83"/>
      <c r="N40" s="79">
        <f>G40/4</f>
        <v>0</v>
      </c>
      <c r="O40" s="83"/>
      <c r="P40" s="79">
        <f>G40/4</f>
        <v>0</v>
      </c>
      <c r="Q40" s="79">
        <f>SUM(S40+U40+W40+Y40)</f>
        <v>0</v>
      </c>
      <c r="R40" s="82">
        <f>R42/R41</f>
        <v>0</v>
      </c>
      <c r="S40" s="84"/>
      <c r="T40" s="79">
        <f>R40/4</f>
        <v>0</v>
      </c>
      <c r="U40" s="84"/>
      <c r="V40" s="79">
        <f>R40/4</f>
        <v>0</v>
      </c>
      <c r="W40" s="84"/>
      <c r="X40" s="79">
        <f>R40/4</f>
        <v>0</v>
      </c>
      <c r="Y40" s="84"/>
      <c r="Z40" s="79">
        <f>R40/4</f>
        <v>0</v>
      </c>
      <c r="AA40" s="79">
        <f>SUM(AC40+AE40+AG40+AI40)</f>
        <v>0</v>
      </c>
      <c r="AB40" s="82">
        <f>AB42/AB41</f>
        <v>0</v>
      </c>
      <c r="AC40" s="84"/>
      <c r="AD40" s="79">
        <f>AB40/4</f>
        <v>0</v>
      </c>
      <c r="AE40" s="84"/>
      <c r="AF40" s="79">
        <f>AB40/4</f>
        <v>0</v>
      </c>
      <c r="AG40" s="84"/>
      <c r="AH40" s="79">
        <f>AB40/4</f>
        <v>0</v>
      </c>
      <c r="AI40" s="84"/>
      <c r="AJ40" s="79">
        <f>AB40/4</f>
        <v>0</v>
      </c>
      <c r="AK40" s="79">
        <f>SUM(AM40+AO40+AQ40+AS40)</f>
        <v>0</v>
      </c>
      <c r="AL40" s="82">
        <f>AL42/AL41</f>
        <v>0</v>
      </c>
      <c r="AM40" s="84"/>
      <c r="AN40" s="79">
        <f>AL40/4</f>
        <v>0</v>
      </c>
      <c r="AO40" s="84"/>
      <c r="AP40" s="79">
        <f>AL40/4</f>
        <v>0</v>
      </c>
      <c r="AQ40" s="84"/>
      <c r="AR40" s="79">
        <f>AL40/4</f>
        <v>0</v>
      </c>
      <c r="AS40" s="84"/>
      <c r="AT40" s="79">
        <f>AL40/4</f>
        <v>0</v>
      </c>
      <c r="AU40" s="79">
        <f>SUM(AW40+AY40+BA40+BC40)</f>
        <v>0</v>
      </c>
      <c r="AV40" s="82">
        <f>AV42/AV41</f>
        <v>0</v>
      </c>
      <c r="AW40" s="84"/>
      <c r="AX40" s="79">
        <f>AV40/4</f>
        <v>0</v>
      </c>
      <c r="AY40" s="84"/>
      <c r="AZ40" s="79">
        <f>AV40/4</f>
        <v>0</v>
      </c>
      <c r="BA40" s="84"/>
      <c r="BB40" s="79">
        <f>AV40/4</f>
        <v>0</v>
      </c>
      <c r="BC40" s="84"/>
      <c r="BD40" s="79">
        <f>AV40/4</f>
        <v>0</v>
      </c>
      <c r="BE40" s="79">
        <f>SUM(BG40+BI40+BK40+BM40)</f>
        <v>0</v>
      </c>
      <c r="BF40" s="82">
        <f>BF42/BF41</f>
        <v>0</v>
      </c>
      <c r="BG40" s="84"/>
      <c r="BH40" s="79">
        <f>BF40/4</f>
        <v>0</v>
      </c>
      <c r="BI40" s="84"/>
      <c r="BJ40" s="79">
        <f>BF40/4</f>
        <v>0</v>
      </c>
      <c r="BK40" s="84"/>
      <c r="BL40" s="79">
        <f>BF40/4</f>
        <v>0</v>
      </c>
      <c r="BM40" s="84"/>
      <c r="BN40" s="79">
        <f>BF40/4</f>
        <v>0</v>
      </c>
      <c r="BO40" s="79">
        <f>SUM(BQ40+BS40+BU40+BW40)</f>
        <v>0</v>
      </c>
      <c r="BP40" s="82">
        <f>BP42/BP41</f>
        <v>0</v>
      </c>
      <c r="BQ40" s="84"/>
      <c r="BR40" s="79">
        <f>BP40/4</f>
        <v>0</v>
      </c>
      <c r="BS40" s="84"/>
      <c r="BT40" s="79">
        <f>BP40/4</f>
        <v>0</v>
      </c>
      <c r="BU40" s="84"/>
      <c r="BV40" s="79">
        <f>BP40/4</f>
        <v>0</v>
      </c>
      <c r="BW40" s="84"/>
      <c r="BX40" s="79">
        <f>BP40/4</f>
        <v>0</v>
      </c>
      <c r="BY40" s="79">
        <f>SUM(CA40+CC40+CE40+CG40)</f>
        <v>0</v>
      </c>
      <c r="BZ40" s="82">
        <f>BZ42/BZ41</f>
        <v>0</v>
      </c>
      <c r="CA40" s="84"/>
      <c r="CB40" s="79">
        <f>BZ40/4</f>
        <v>0</v>
      </c>
      <c r="CC40" s="84"/>
      <c r="CD40" s="79">
        <f>BZ40/4</f>
        <v>0</v>
      </c>
      <c r="CE40" s="84"/>
      <c r="CF40" s="79">
        <f>BZ40/4</f>
        <v>0</v>
      </c>
      <c r="CG40" s="84"/>
      <c r="CH40" s="79">
        <f>BZ40/4</f>
        <v>0</v>
      </c>
      <c r="CI40" s="79">
        <f>SUM(CK40+CM40+CO40+CQ40)</f>
        <v>0</v>
      </c>
      <c r="CJ40" s="82">
        <f>CJ42/CJ41</f>
        <v>0</v>
      </c>
      <c r="CK40" s="84"/>
      <c r="CL40" s="79">
        <f>CJ40/4</f>
        <v>0</v>
      </c>
      <c r="CM40" s="84"/>
      <c r="CN40" s="79">
        <f>CJ40/4</f>
        <v>0</v>
      </c>
      <c r="CO40" s="84"/>
      <c r="CP40" s="79">
        <f>CJ40/4</f>
        <v>0</v>
      </c>
      <c r="CQ40" s="84"/>
      <c r="CR40" s="79">
        <f>CJ40/4</f>
        <v>0</v>
      </c>
      <c r="CS40" s="79">
        <f>SUM(CU40+CW40+CY40+DA40)</f>
        <v>0</v>
      </c>
      <c r="CT40" s="82">
        <f>CT42/CT41</f>
        <v>0</v>
      </c>
      <c r="CU40" s="84"/>
      <c r="CV40" s="79">
        <f>CT40/4</f>
        <v>0</v>
      </c>
      <c r="CW40" s="84"/>
      <c r="CX40" s="79">
        <f>CT40/4</f>
        <v>0</v>
      </c>
      <c r="CY40" s="84"/>
      <c r="CZ40" s="79">
        <f>CT40/4</f>
        <v>0</v>
      </c>
      <c r="DA40" s="84"/>
      <c r="DB40" s="79">
        <f>CT40/4</f>
        <v>0</v>
      </c>
      <c r="DC40" s="79">
        <f>SUM(DE40+DG40+DI40+DK40)</f>
        <v>0</v>
      </c>
      <c r="DD40" s="82">
        <f>DD42/DD41</f>
        <v>0</v>
      </c>
      <c r="DE40" s="84"/>
      <c r="DF40" s="79">
        <f>DD40/4</f>
        <v>0</v>
      </c>
      <c r="DG40" s="84"/>
      <c r="DH40" s="79">
        <f>DD40/4</f>
        <v>0</v>
      </c>
      <c r="DI40" s="84"/>
      <c r="DJ40" s="79">
        <f>DD40/4</f>
        <v>0</v>
      </c>
      <c r="DK40" s="84"/>
      <c r="DL40" s="79">
        <f>DD40/4</f>
        <v>0</v>
      </c>
      <c r="DM40" s="79">
        <f>SUM(DO40+DQ40+DS40+DU40)</f>
        <v>0</v>
      </c>
      <c r="DN40" s="82">
        <f>DN42/DN41</f>
        <v>0</v>
      </c>
      <c r="DO40" s="92"/>
      <c r="DP40" s="62">
        <f>DN40/4</f>
        <v>0</v>
      </c>
      <c r="DQ40" s="92"/>
      <c r="DR40" s="62">
        <f>DN40/4</f>
        <v>0</v>
      </c>
      <c r="DS40" s="92"/>
      <c r="DT40" s="62">
        <f>DN40/4</f>
        <v>0</v>
      </c>
      <c r="DU40" s="92"/>
      <c r="DV40" s="62">
        <f>DN40/4</f>
        <v>0</v>
      </c>
    </row>
    <row r="41" ht="15.75" hidden="1" customHeight="1">
      <c r="A41" s="35"/>
      <c r="B41" s="110"/>
      <c r="C41" s="111" t="s">
        <v>103</v>
      </c>
      <c r="D41" s="91" t="str">
        <f t="shared" ref="D41:F41" si="126">D42/D40</f>
        <v>#DIV/0!</v>
      </c>
      <c r="E41" s="91" t="str">
        <f t="shared" si="126"/>
        <v>#DIV/0!</v>
      </c>
      <c r="F41" s="81" t="str">
        <f t="shared" si="126"/>
        <v>#DIV/0!</v>
      </c>
      <c r="G41" s="88">
        <v>0.7</v>
      </c>
      <c r="H41" s="61" t="s">
        <v>97</v>
      </c>
      <c r="I41" s="81" t="str">
        <f>I42/I40</f>
        <v>#DIV/0!</v>
      </c>
      <c r="J41" s="83">
        <f>G41</f>
        <v>0.7</v>
      </c>
      <c r="K41" s="81" t="str">
        <f>K42/K40</f>
        <v>#DIV/0!</v>
      </c>
      <c r="L41" s="83">
        <f>G41</f>
        <v>0.7</v>
      </c>
      <c r="M41" s="81" t="str">
        <f>M42/M40</f>
        <v>#DIV/0!</v>
      </c>
      <c r="N41" s="83">
        <f>G41</f>
        <v>0.7</v>
      </c>
      <c r="O41" s="81" t="str">
        <f>O42/O40</f>
        <v>#DIV/0!</v>
      </c>
      <c r="P41" s="83">
        <f>G41</f>
        <v>0.7</v>
      </c>
      <c r="Q41" s="81" t="str">
        <f>Q42/Q40</f>
        <v>#DIV/0!</v>
      </c>
      <c r="R41" s="88">
        <v>0.7</v>
      </c>
      <c r="S41" s="81" t="str">
        <f>S42/S40</f>
        <v>#DIV/0!</v>
      </c>
      <c r="T41" s="83">
        <f>R41</f>
        <v>0.7</v>
      </c>
      <c r="U41" s="81" t="str">
        <f>U42/U40</f>
        <v>#DIV/0!</v>
      </c>
      <c r="V41" s="83">
        <f>R41</f>
        <v>0.7</v>
      </c>
      <c r="W41" s="81" t="str">
        <f>W42/W40</f>
        <v>#DIV/0!</v>
      </c>
      <c r="X41" s="83">
        <f>R41</f>
        <v>0.7</v>
      </c>
      <c r="Y41" s="81" t="str">
        <f>Y42/Y40</f>
        <v>#DIV/0!</v>
      </c>
      <c r="Z41" s="83">
        <f>R41</f>
        <v>0.7</v>
      </c>
      <c r="AA41" s="81" t="str">
        <f>AA42/AA40</f>
        <v>#DIV/0!</v>
      </c>
      <c r="AB41" s="88">
        <v>0.7</v>
      </c>
      <c r="AC41" s="81" t="str">
        <f>AC42/AC40</f>
        <v>#DIV/0!</v>
      </c>
      <c r="AD41" s="83">
        <f>AB41</f>
        <v>0.7</v>
      </c>
      <c r="AE41" s="81" t="str">
        <f>AE42/AE40</f>
        <v>#DIV/0!</v>
      </c>
      <c r="AF41" s="83">
        <f>AB41</f>
        <v>0.7</v>
      </c>
      <c r="AG41" s="81" t="str">
        <f>AG42/AG40</f>
        <v>#DIV/0!</v>
      </c>
      <c r="AH41" s="83">
        <f>AB41</f>
        <v>0.7</v>
      </c>
      <c r="AI41" s="81" t="str">
        <f>AI42/AI40</f>
        <v>#DIV/0!</v>
      </c>
      <c r="AJ41" s="83">
        <f>AB41</f>
        <v>0.7</v>
      </c>
      <c r="AK41" s="81" t="str">
        <f>AK42/AK40</f>
        <v>#DIV/0!</v>
      </c>
      <c r="AL41" s="88">
        <v>0.7</v>
      </c>
      <c r="AM41" s="81" t="str">
        <f>AM42/AM40</f>
        <v>#DIV/0!</v>
      </c>
      <c r="AN41" s="83">
        <f>AL41</f>
        <v>0.7</v>
      </c>
      <c r="AO41" s="81" t="str">
        <f>AO42/AO40</f>
        <v>#DIV/0!</v>
      </c>
      <c r="AP41" s="83">
        <f>AL41</f>
        <v>0.7</v>
      </c>
      <c r="AQ41" s="81" t="str">
        <f>AQ42/AQ40</f>
        <v>#DIV/0!</v>
      </c>
      <c r="AR41" s="83">
        <f>AL41</f>
        <v>0.7</v>
      </c>
      <c r="AS41" s="81" t="str">
        <f>AS42/AS40</f>
        <v>#DIV/0!</v>
      </c>
      <c r="AT41" s="83">
        <f>AL41</f>
        <v>0.7</v>
      </c>
      <c r="AU41" s="81" t="str">
        <f>AU42/AU40</f>
        <v>#DIV/0!</v>
      </c>
      <c r="AV41" s="88">
        <v>0.7</v>
      </c>
      <c r="AW41" s="81" t="str">
        <f>AW42/AW40</f>
        <v>#DIV/0!</v>
      </c>
      <c r="AX41" s="83">
        <f>AV41</f>
        <v>0.7</v>
      </c>
      <c r="AY41" s="81" t="str">
        <f>AY42/AY40</f>
        <v>#DIV/0!</v>
      </c>
      <c r="AZ41" s="83">
        <f>AV41</f>
        <v>0.7</v>
      </c>
      <c r="BA41" s="81" t="str">
        <f>BA42/BA40</f>
        <v>#DIV/0!</v>
      </c>
      <c r="BB41" s="83">
        <f>AV41</f>
        <v>0.7</v>
      </c>
      <c r="BC41" s="81" t="str">
        <f>BC42/BC40</f>
        <v>#DIV/0!</v>
      </c>
      <c r="BD41" s="83">
        <f>AV41</f>
        <v>0.7</v>
      </c>
      <c r="BE41" s="81" t="str">
        <f>BE42/BE40</f>
        <v>#DIV/0!</v>
      </c>
      <c r="BF41" s="88">
        <v>0.7</v>
      </c>
      <c r="BG41" s="81" t="str">
        <f>BG42/BG40</f>
        <v>#DIV/0!</v>
      </c>
      <c r="BH41" s="83">
        <f>BF41</f>
        <v>0.7</v>
      </c>
      <c r="BI41" s="81" t="str">
        <f>BI42/BI40</f>
        <v>#DIV/0!</v>
      </c>
      <c r="BJ41" s="83">
        <f>BF41</f>
        <v>0.7</v>
      </c>
      <c r="BK41" s="81" t="str">
        <f>BK42/BK40</f>
        <v>#DIV/0!</v>
      </c>
      <c r="BL41" s="83">
        <f>BF41</f>
        <v>0.7</v>
      </c>
      <c r="BM41" s="81" t="str">
        <f>BM42/BM40</f>
        <v>#DIV/0!</v>
      </c>
      <c r="BN41" s="83">
        <f>BF41</f>
        <v>0.7</v>
      </c>
      <c r="BO41" s="81" t="str">
        <f>BO42/BO40</f>
        <v>#DIV/0!</v>
      </c>
      <c r="BP41" s="88">
        <v>0.7</v>
      </c>
      <c r="BQ41" s="81" t="str">
        <f>BQ42/BQ40</f>
        <v>#DIV/0!</v>
      </c>
      <c r="BR41" s="83">
        <f>BP41</f>
        <v>0.7</v>
      </c>
      <c r="BS41" s="81" t="str">
        <f>BS42/BS40</f>
        <v>#DIV/0!</v>
      </c>
      <c r="BT41" s="83">
        <f>BP41</f>
        <v>0.7</v>
      </c>
      <c r="BU41" s="81" t="str">
        <f>BU42/BU40</f>
        <v>#DIV/0!</v>
      </c>
      <c r="BV41" s="83">
        <f>BP41</f>
        <v>0.7</v>
      </c>
      <c r="BW41" s="81" t="str">
        <f>BW42/BW40</f>
        <v>#DIV/0!</v>
      </c>
      <c r="BX41" s="83">
        <f>BP41</f>
        <v>0.7</v>
      </c>
      <c r="BY41" s="81" t="str">
        <f>BY42/BY40</f>
        <v>#DIV/0!</v>
      </c>
      <c r="BZ41" s="88">
        <v>0.7</v>
      </c>
      <c r="CA41" s="81" t="str">
        <f>CA42/CA40</f>
        <v>#DIV/0!</v>
      </c>
      <c r="CB41" s="83">
        <f>BZ41</f>
        <v>0.7</v>
      </c>
      <c r="CC41" s="81" t="str">
        <f>CC42/CC40</f>
        <v>#DIV/0!</v>
      </c>
      <c r="CD41" s="83">
        <f>BZ41</f>
        <v>0.7</v>
      </c>
      <c r="CE41" s="81" t="str">
        <f>CE42/CE40</f>
        <v>#DIV/0!</v>
      </c>
      <c r="CF41" s="83">
        <f>BZ41</f>
        <v>0.7</v>
      </c>
      <c r="CG41" s="81" t="str">
        <f>CG42/CG40</f>
        <v>#DIV/0!</v>
      </c>
      <c r="CH41" s="83">
        <f>BZ41</f>
        <v>0.7</v>
      </c>
      <c r="CI41" s="81" t="str">
        <f>CI42/CI40</f>
        <v>#DIV/0!</v>
      </c>
      <c r="CJ41" s="88">
        <v>0.7</v>
      </c>
      <c r="CK41" s="81" t="str">
        <f>CK42/CK40</f>
        <v>#DIV/0!</v>
      </c>
      <c r="CL41" s="83">
        <f>CJ41</f>
        <v>0.7</v>
      </c>
      <c r="CM41" s="81" t="str">
        <f>CM42/CM40</f>
        <v>#DIV/0!</v>
      </c>
      <c r="CN41" s="83">
        <f>CJ41</f>
        <v>0.7</v>
      </c>
      <c r="CO41" s="81" t="str">
        <f>CO42/CO40</f>
        <v>#DIV/0!</v>
      </c>
      <c r="CP41" s="83">
        <f>CJ41</f>
        <v>0.7</v>
      </c>
      <c r="CQ41" s="81" t="str">
        <f>CQ42/CQ40</f>
        <v>#DIV/0!</v>
      </c>
      <c r="CR41" s="83">
        <f>CJ41</f>
        <v>0.7</v>
      </c>
      <c r="CS41" s="81" t="str">
        <f>CS42/CS40</f>
        <v>#DIV/0!</v>
      </c>
      <c r="CT41" s="88">
        <v>0.7</v>
      </c>
      <c r="CU41" s="81" t="str">
        <f>CU42/CU40</f>
        <v>#DIV/0!</v>
      </c>
      <c r="CV41" s="83">
        <f>CT41</f>
        <v>0.7</v>
      </c>
      <c r="CW41" s="81" t="str">
        <f>CW42/CW40</f>
        <v>#DIV/0!</v>
      </c>
      <c r="CX41" s="83">
        <f>CT41</f>
        <v>0.7</v>
      </c>
      <c r="CY41" s="81" t="str">
        <f>CY42/CY40</f>
        <v>#DIV/0!</v>
      </c>
      <c r="CZ41" s="83">
        <f>CT41</f>
        <v>0.7</v>
      </c>
      <c r="DA41" s="81" t="str">
        <f>DA42/DA40</f>
        <v>#DIV/0!</v>
      </c>
      <c r="DB41" s="83">
        <f>CT41</f>
        <v>0.7</v>
      </c>
      <c r="DC41" s="81" t="str">
        <f>DC42/DC40</f>
        <v>#DIV/0!</v>
      </c>
      <c r="DD41" s="88">
        <v>0.7</v>
      </c>
      <c r="DE41" s="81" t="str">
        <f>DE42/DE40</f>
        <v>#DIV/0!</v>
      </c>
      <c r="DF41" s="83">
        <f>DD41</f>
        <v>0.7</v>
      </c>
      <c r="DG41" s="81" t="str">
        <f>DG42/DG40</f>
        <v>#DIV/0!</v>
      </c>
      <c r="DH41" s="83">
        <f>DD41</f>
        <v>0.7</v>
      </c>
      <c r="DI41" s="81" t="str">
        <f>DI42/DI40</f>
        <v>#DIV/0!</v>
      </c>
      <c r="DJ41" s="83">
        <f>DD41</f>
        <v>0.7</v>
      </c>
      <c r="DK41" s="81" t="str">
        <f>DK42/DK40</f>
        <v>#DIV/0!</v>
      </c>
      <c r="DL41" s="83">
        <f>DD41</f>
        <v>0.7</v>
      </c>
      <c r="DM41" s="81" t="str">
        <f>DM42/DM40</f>
        <v>#DIV/0!</v>
      </c>
      <c r="DN41" s="88">
        <v>0.7</v>
      </c>
      <c r="DO41" s="65" t="str">
        <f>DO42/DO40</f>
        <v>#DIV/0!</v>
      </c>
      <c r="DP41" s="90">
        <f>DN41</f>
        <v>0.7</v>
      </c>
      <c r="DQ41" s="65" t="str">
        <f>DQ42/DQ40</f>
        <v>#DIV/0!</v>
      </c>
      <c r="DR41" s="90">
        <f>DN41</f>
        <v>0.7</v>
      </c>
      <c r="DS41" s="65" t="str">
        <f>DS42/DS40</f>
        <v>#DIV/0!</v>
      </c>
      <c r="DT41" s="90">
        <f>DN41</f>
        <v>0.7</v>
      </c>
      <c r="DU41" s="65" t="str">
        <f>DU42/DU40</f>
        <v>#DIV/0!</v>
      </c>
      <c r="DV41" s="90">
        <f>DN41</f>
        <v>0.7</v>
      </c>
    </row>
    <row r="42" ht="15.75" hidden="1" customHeight="1">
      <c r="A42" s="35"/>
      <c r="B42" s="110"/>
      <c r="C42" s="97" t="s">
        <v>104</v>
      </c>
      <c r="D42" s="79">
        <f t="shared" ref="D42:E42" si="127">SUM(F42+Q42+AA42+AK42+AU42+BE42+BO42+BY42+CI42+CS42+DC42+DM42)</f>
        <v>0</v>
      </c>
      <c r="E42" s="91">
        <f t="shared" si="127"/>
        <v>0</v>
      </c>
      <c r="F42" s="81">
        <f>SUM(I42+K42+M42+O42)</f>
        <v>0</v>
      </c>
      <c r="G42" s="82">
        <f>G44/G43</f>
        <v>0</v>
      </c>
      <c r="H42" s="61" t="str">
        <f>G42/F42</f>
        <v>#DIV/0!</v>
      </c>
      <c r="I42" s="83"/>
      <c r="J42" s="79">
        <f>G42/4</f>
        <v>0</v>
      </c>
      <c r="K42" s="83"/>
      <c r="L42" s="79">
        <f>G42/4</f>
        <v>0</v>
      </c>
      <c r="M42" s="83"/>
      <c r="N42" s="79">
        <f>G42/4</f>
        <v>0</v>
      </c>
      <c r="O42" s="83"/>
      <c r="P42" s="79">
        <f>G42/4</f>
        <v>0</v>
      </c>
      <c r="Q42" s="79">
        <f>SUM(S42+U42+W42+Y42)</f>
        <v>0</v>
      </c>
      <c r="R42" s="82">
        <f>R44/R43</f>
        <v>0</v>
      </c>
      <c r="S42" s="84"/>
      <c r="T42" s="79">
        <f>R42/4</f>
        <v>0</v>
      </c>
      <c r="U42" s="84"/>
      <c r="V42" s="79">
        <f>R42/4</f>
        <v>0</v>
      </c>
      <c r="W42" s="84"/>
      <c r="X42" s="79">
        <f>R42/4</f>
        <v>0</v>
      </c>
      <c r="Y42" s="84"/>
      <c r="Z42" s="79">
        <f>R42/4</f>
        <v>0</v>
      </c>
      <c r="AA42" s="79">
        <f>SUM(AC42+AE42+AG42+AI42)</f>
        <v>0</v>
      </c>
      <c r="AB42" s="82">
        <f>AB44/AB43</f>
        <v>0</v>
      </c>
      <c r="AC42" s="84"/>
      <c r="AD42" s="79">
        <f>AB42/4</f>
        <v>0</v>
      </c>
      <c r="AE42" s="84"/>
      <c r="AF42" s="79">
        <f>AB42/4</f>
        <v>0</v>
      </c>
      <c r="AG42" s="84"/>
      <c r="AH42" s="79">
        <f>AB42/4</f>
        <v>0</v>
      </c>
      <c r="AI42" s="84"/>
      <c r="AJ42" s="79">
        <f>AB42/4</f>
        <v>0</v>
      </c>
      <c r="AK42" s="79">
        <f>SUM(AM42+AO42+AQ42+AS42)</f>
        <v>0</v>
      </c>
      <c r="AL42" s="82">
        <f>AL44/AL43</f>
        <v>0</v>
      </c>
      <c r="AM42" s="84"/>
      <c r="AN42" s="79">
        <f>AL42/4</f>
        <v>0</v>
      </c>
      <c r="AO42" s="84"/>
      <c r="AP42" s="79">
        <f>AL42/4</f>
        <v>0</v>
      </c>
      <c r="AQ42" s="84"/>
      <c r="AR42" s="79">
        <f>AL42/4</f>
        <v>0</v>
      </c>
      <c r="AS42" s="84"/>
      <c r="AT42" s="79">
        <f>AL42/4</f>
        <v>0</v>
      </c>
      <c r="AU42" s="79">
        <f>SUM(AW42+AY42+BA42+BC42)</f>
        <v>0</v>
      </c>
      <c r="AV42" s="82">
        <f>AV44/AV43</f>
        <v>0</v>
      </c>
      <c r="AW42" s="84"/>
      <c r="AX42" s="79">
        <f>AV42/4</f>
        <v>0</v>
      </c>
      <c r="AY42" s="84"/>
      <c r="AZ42" s="79">
        <f>AV42/4</f>
        <v>0</v>
      </c>
      <c r="BA42" s="84"/>
      <c r="BB42" s="79">
        <f>AV42/4</f>
        <v>0</v>
      </c>
      <c r="BC42" s="84"/>
      <c r="BD42" s="79">
        <f>AV42/4</f>
        <v>0</v>
      </c>
      <c r="BE42" s="79">
        <f>SUM(BG42+BI42+BK42+BM42)</f>
        <v>0</v>
      </c>
      <c r="BF42" s="82">
        <f>BF44/BF43</f>
        <v>0</v>
      </c>
      <c r="BG42" s="84"/>
      <c r="BH42" s="79">
        <f>BF42/4</f>
        <v>0</v>
      </c>
      <c r="BI42" s="84"/>
      <c r="BJ42" s="79">
        <f>BF42/4</f>
        <v>0</v>
      </c>
      <c r="BK42" s="84"/>
      <c r="BL42" s="79">
        <f>BF42/4</f>
        <v>0</v>
      </c>
      <c r="BM42" s="84"/>
      <c r="BN42" s="79">
        <f>BF42/4</f>
        <v>0</v>
      </c>
      <c r="BO42" s="79">
        <f>SUM(BQ42+BS42+BU42+BW42)</f>
        <v>0</v>
      </c>
      <c r="BP42" s="82">
        <f>BP44/BP43</f>
        <v>0</v>
      </c>
      <c r="BQ42" s="84"/>
      <c r="BR42" s="79">
        <f>BP42/4</f>
        <v>0</v>
      </c>
      <c r="BS42" s="84"/>
      <c r="BT42" s="79">
        <f>BP42/4</f>
        <v>0</v>
      </c>
      <c r="BU42" s="84"/>
      <c r="BV42" s="79">
        <f>BP42/4</f>
        <v>0</v>
      </c>
      <c r="BW42" s="84"/>
      <c r="BX42" s="79">
        <f>BP42/4</f>
        <v>0</v>
      </c>
      <c r="BY42" s="79">
        <f>SUM(CA42+CC42+CE42+CG42)</f>
        <v>0</v>
      </c>
      <c r="BZ42" s="82">
        <f>BZ44/BZ43</f>
        <v>0</v>
      </c>
      <c r="CA42" s="84"/>
      <c r="CB42" s="79">
        <f>BZ42/4</f>
        <v>0</v>
      </c>
      <c r="CC42" s="84"/>
      <c r="CD42" s="79">
        <f>BZ42/4</f>
        <v>0</v>
      </c>
      <c r="CE42" s="84"/>
      <c r="CF42" s="79">
        <f>BZ42/4</f>
        <v>0</v>
      </c>
      <c r="CG42" s="84"/>
      <c r="CH42" s="79">
        <f>BZ42/4</f>
        <v>0</v>
      </c>
      <c r="CI42" s="79">
        <f>SUM(CK42+CM42+CO42+CQ42)</f>
        <v>0</v>
      </c>
      <c r="CJ42" s="82">
        <f>CJ44/CJ43</f>
        <v>0</v>
      </c>
      <c r="CK42" s="84"/>
      <c r="CL42" s="79">
        <f>CJ42/4</f>
        <v>0</v>
      </c>
      <c r="CM42" s="84"/>
      <c r="CN42" s="79">
        <f>CJ42/4</f>
        <v>0</v>
      </c>
      <c r="CO42" s="84"/>
      <c r="CP42" s="79">
        <f>CJ42/4</f>
        <v>0</v>
      </c>
      <c r="CQ42" s="84"/>
      <c r="CR42" s="79">
        <f>CJ42/4</f>
        <v>0</v>
      </c>
      <c r="CS42" s="79">
        <f>SUM(CU42+CW42+CY42+DA42)</f>
        <v>0</v>
      </c>
      <c r="CT42" s="82">
        <f>CT44/CT43</f>
        <v>0</v>
      </c>
      <c r="CU42" s="84"/>
      <c r="CV42" s="79">
        <f>CT42/4</f>
        <v>0</v>
      </c>
      <c r="CW42" s="84"/>
      <c r="CX42" s="79">
        <f>CT42/4</f>
        <v>0</v>
      </c>
      <c r="CY42" s="84"/>
      <c r="CZ42" s="79">
        <f>CT42/4</f>
        <v>0</v>
      </c>
      <c r="DA42" s="84"/>
      <c r="DB42" s="79">
        <f>CT42/4</f>
        <v>0</v>
      </c>
      <c r="DC42" s="79">
        <f>SUM(DE42+DG42+DI42+DK42)</f>
        <v>0</v>
      </c>
      <c r="DD42" s="82">
        <f>DD44/DD43</f>
        <v>0</v>
      </c>
      <c r="DE42" s="84"/>
      <c r="DF42" s="79">
        <f>DD42/4</f>
        <v>0</v>
      </c>
      <c r="DG42" s="84"/>
      <c r="DH42" s="79">
        <f>DD42/4</f>
        <v>0</v>
      </c>
      <c r="DI42" s="84"/>
      <c r="DJ42" s="79">
        <f>DD42/4</f>
        <v>0</v>
      </c>
      <c r="DK42" s="84"/>
      <c r="DL42" s="79">
        <f>DD42/4</f>
        <v>0</v>
      </c>
      <c r="DM42" s="79">
        <f>SUM(DO42+DQ42+DS42+DU42)</f>
        <v>0</v>
      </c>
      <c r="DN42" s="82">
        <f>DN44/DN43</f>
        <v>0</v>
      </c>
      <c r="DO42" s="92"/>
      <c r="DP42" s="62">
        <f>DN42/4</f>
        <v>0</v>
      </c>
      <c r="DQ42" s="85"/>
      <c r="DR42" s="79">
        <f>DN42/4</f>
        <v>0</v>
      </c>
      <c r="DS42" s="85"/>
      <c r="DT42" s="62">
        <f>DN42/4</f>
        <v>0</v>
      </c>
      <c r="DU42" s="85"/>
      <c r="DV42" s="62">
        <f>DN42/4</f>
        <v>0</v>
      </c>
    </row>
    <row r="43" ht="15.75" hidden="1" customHeight="1">
      <c r="A43" s="35"/>
      <c r="B43" s="110"/>
      <c r="C43" s="97" t="s">
        <v>105</v>
      </c>
      <c r="D43" s="91" t="str">
        <f t="shared" ref="D43:F43" si="128">D44/D42</f>
        <v>#DIV/0!</v>
      </c>
      <c r="E43" s="91" t="str">
        <f t="shared" si="128"/>
        <v>#DIV/0!</v>
      </c>
      <c r="F43" s="81" t="str">
        <f t="shared" si="128"/>
        <v>#DIV/0!</v>
      </c>
      <c r="G43" s="88">
        <v>0.4</v>
      </c>
      <c r="H43" s="61" t="s">
        <v>97</v>
      </c>
      <c r="I43" s="81" t="str">
        <f>I44/I42</f>
        <v>#DIV/0!</v>
      </c>
      <c r="J43" s="83">
        <f>G43</f>
        <v>0.4</v>
      </c>
      <c r="K43" s="81" t="str">
        <f>K44/K42</f>
        <v>#DIV/0!</v>
      </c>
      <c r="L43" s="83">
        <f>G43</f>
        <v>0.4</v>
      </c>
      <c r="M43" s="81" t="str">
        <f>M44/M42</f>
        <v>#DIV/0!</v>
      </c>
      <c r="N43" s="83">
        <f>G43</f>
        <v>0.4</v>
      </c>
      <c r="O43" s="81" t="str">
        <f>O44/O42</f>
        <v>#DIV/0!</v>
      </c>
      <c r="P43" s="83">
        <f>G43</f>
        <v>0.4</v>
      </c>
      <c r="Q43" s="81" t="str">
        <f>Q44/Q42</f>
        <v>#DIV/0!</v>
      </c>
      <c r="R43" s="88">
        <v>0.4</v>
      </c>
      <c r="S43" s="81" t="str">
        <f>S44/S42</f>
        <v>#DIV/0!</v>
      </c>
      <c r="T43" s="83">
        <f>R43</f>
        <v>0.4</v>
      </c>
      <c r="U43" s="81" t="str">
        <f>U44/U42</f>
        <v>#DIV/0!</v>
      </c>
      <c r="V43" s="83">
        <f>R43</f>
        <v>0.4</v>
      </c>
      <c r="W43" s="81" t="str">
        <f>W44/W42</f>
        <v>#DIV/0!</v>
      </c>
      <c r="X43" s="83">
        <f>R43</f>
        <v>0.4</v>
      </c>
      <c r="Y43" s="81" t="str">
        <f>Y44/Y42</f>
        <v>#DIV/0!</v>
      </c>
      <c r="Z43" s="83">
        <f>R43</f>
        <v>0.4</v>
      </c>
      <c r="AA43" s="81" t="str">
        <f>AA44/AA42</f>
        <v>#DIV/0!</v>
      </c>
      <c r="AB43" s="88">
        <v>0.4</v>
      </c>
      <c r="AC43" s="81" t="str">
        <f>AC44/AC42</f>
        <v>#DIV/0!</v>
      </c>
      <c r="AD43" s="83">
        <f>AB43</f>
        <v>0.4</v>
      </c>
      <c r="AE43" s="81" t="str">
        <f>AE44/AE42</f>
        <v>#DIV/0!</v>
      </c>
      <c r="AF43" s="83">
        <f>AB43</f>
        <v>0.4</v>
      </c>
      <c r="AG43" s="81" t="str">
        <f>AG44/AG42</f>
        <v>#DIV/0!</v>
      </c>
      <c r="AH43" s="83">
        <f>AB43</f>
        <v>0.4</v>
      </c>
      <c r="AI43" s="81" t="str">
        <f>AI44/AI42</f>
        <v>#DIV/0!</v>
      </c>
      <c r="AJ43" s="83">
        <f>AB43</f>
        <v>0.4</v>
      </c>
      <c r="AK43" s="81" t="str">
        <f>AK44/AK42</f>
        <v>#DIV/0!</v>
      </c>
      <c r="AL43" s="88">
        <v>0.4</v>
      </c>
      <c r="AM43" s="81" t="str">
        <f>AM44/AM42</f>
        <v>#DIV/0!</v>
      </c>
      <c r="AN43" s="83">
        <f>AL43</f>
        <v>0.4</v>
      </c>
      <c r="AO43" s="81" t="str">
        <f>AO44/AO42</f>
        <v>#DIV/0!</v>
      </c>
      <c r="AP43" s="83">
        <f>AL43</f>
        <v>0.4</v>
      </c>
      <c r="AQ43" s="81" t="str">
        <f>AQ44/AQ42</f>
        <v>#DIV/0!</v>
      </c>
      <c r="AR43" s="83">
        <f>AL43</f>
        <v>0.4</v>
      </c>
      <c r="AS43" s="81" t="str">
        <f>AS44/AS42</f>
        <v>#DIV/0!</v>
      </c>
      <c r="AT43" s="83">
        <f>AL43</f>
        <v>0.4</v>
      </c>
      <c r="AU43" s="81" t="str">
        <f>AU44/AU42</f>
        <v>#DIV/0!</v>
      </c>
      <c r="AV43" s="88">
        <v>0.4</v>
      </c>
      <c r="AW43" s="81" t="str">
        <f>AW44/AW42</f>
        <v>#DIV/0!</v>
      </c>
      <c r="AX43" s="83">
        <f>AV43</f>
        <v>0.4</v>
      </c>
      <c r="AY43" s="81" t="str">
        <f>AY44/AY42</f>
        <v>#DIV/0!</v>
      </c>
      <c r="AZ43" s="83">
        <f>AV43</f>
        <v>0.4</v>
      </c>
      <c r="BA43" s="81" t="str">
        <f>BA44/BA42</f>
        <v>#DIV/0!</v>
      </c>
      <c r="BB43" s="83">
        <f>AV43</f>
        <v>0.4</v>
      </c>
      <c r="BC43" s="81" t="str">
        <f>BC44/BC42</f>
        <v>#DIV/0!</v>
      </c>
      <c r="BD43" s="83">
        <f>AV43</f>
        <v>0.4</v>
      </c>
      <c r="BE43" s="81" t="str">
        <f>BE44/BE42</f>
        <v>#DIV/0!</v>
      </c>
      <c r="BF43" s="88">
        <v>0.4</v>
      </c>
      <c r="BG43" s="81" t="str">
        <f>BG44/BG42</f>
        <v>#DIV/0!</v>
      </c>
      <c r="BH43" s="83">
        <f>BF43</f>
        <v>0.4</v>
      </c>
      <c r="BI43" s="81" t="str">
        <f>BI44/BI42</f>
        <v>#DIV/0!</v>
      </c>
      <c r="BJ43" s="83">
        <f>BF43</f>
        <v>0.4</v>
      </c>
      <c r="BK43" s="81" t="str">
        <f>BK44/BK42</f>
        <v>#DIV/0!</v>
      </c>
      <c r="BL43" s="83">
        <f>BF43</f>
        <v>0.4</v>
      </c>
      <c r="BM43" s="81" t="str">
        <f>BM44/BM42</f>
        <v>#DIV/0!</v>
      </c>
      <c r="BN43" s="83">
        <f>BF43</f>
        <v>0.4</v>
      </c>
      <c r="BO43" s="81" t="str">
        <f>BO44/BO42</f>
        <v>#DIV/0!</v>
      </c>
      <c r="BP43" s="88">
        <v>0.4</v>
      </c>
      <c r="BQ43" s="81" t="str">
        <f>BQ44/BQ42</f>
        <v>#DIV/0!</v>
      </c>
      <c r="BR43" s="83">
        <f>BP43</f>
        <v>0.4</v>
      </c>
      <c r="BS43" s="81" t="str">
        <f>BS44/BS42</f>
        <v>#DIV/0!</v>
      </c>
      <c r="BT43" s="83">
        <f>BP43</f>
        <v>0.4</v>
      </c>
      <c r="BU43" s="81" t="str">
        <f>BU44/BU42</f>
        <v>#DIV/0!</v>
      </c>
      <c r="BV43" s="83">
        <f>BP43</f>
        <v>0.4</v>
      </c>
      <c r="BW43" s="81" t="str">
        <f>BW44/BW42</f>
        <v>#DIV/0!</v>
      </c>
      <c r="BX43" s="83">
        <f>BP43</f>
        <v>0.4</v>
      </c>
      <c r="BY43" s="81" t="str">
        <f>BY44/BY42</f>
        <v>#DIV/0!</v>
      </c>
      <c r="BZ43" s="88">
        <v>0.4</v>
      </c>
      <c r="CA43" s="81" t="str">
        <f>CA44/CA42</f>
        <v>#DIV/0!</v>
      </c>
      <c r="CB43" s="83">
        <f>BZ43</f>
        <v>0.4</v>
      </c>
      <c r="CC43" s="81" t="str">
        <f>CC44/CC42</f>
        <v>#DIV/0!</v>
      </c>
      <c r="CD43" s="83">
        <f>BZ43</f>
        <v>0.4</v>
      </c>
      <c r="CE43" s="81" t="str">
        <f>CE44/CE42</f>
        <v>#DIV/0!</v>
      </c>
      <c r="CF43" s="83">
        <f>BZ43</f>
        <v>0.4</v>
      </c>
      <c r="CG43" s="81" t="str">
        <f>CG44/CG42</f>
        <v>#DIV/0!</v>
      </c>
      <c r="CH43" s="83">
        <f>BZ43</f>
        <v>0.4</v>
      </c>
      <c r="CI43" s="81" t="str">
        <f>CI44/CI42</f>
        <v>#DIV/0!</v>
      </c>
      <c r="CJ43" s="88">
        <v>0.4</v>
      </c>
      <c r="CK43" s="81" t="str">
        <f>CK44/CK42</f>
        <v>#DIV/0!</v>
      </c>
      <c r="CL43" s="83">
        <f>CJ43</f>
        <v>0.4</v>
      </c>
      <c r="CM43" s="81" t="str">
        <f>CM44/CM42</f>
        <v>#DIV/0!</v>
      </c>
      <c r="CN43" s="83">
        <f>CJ43</f>
        <v>0.4</v>
      </c>
      <c r="CO43" s="81" t="str">
        <f>CO44/CO42</f>
        <v>#DIV/0!</v>
      </c>
      <c r="CP43" s="83">
        <f>CJ43</f>
        <v>0.4</v>
      </c>
      <c r="CQ43" s="81" t="str">
        <f>CQ44/CQ42</f>
        <v>#DIV/0!</v>
      </c>
      <c r="CR43" s="83">
        <f>CJ43</f>
        <v>0.4</v>
      </c>
      <c r="CS43" s="81" t="str">
        <f>CS44/CS42</f>
        <v>#DIV/0!</v>
      </c>
      <c r="CT43" s="88">
        <v>0.4</v>
      </c>
      <c r="CU43" s="81" t="str">
        <f>CU44/CU42</f>
        <v>#DIV/0!</v>
      </c>
      <c r="CV43" s="83">
        <f>CT43</f>
        <v>0.4</v>
      </c>
      <c r="CW43" s="81" t="str">
        <f>CW44/CW42</f>
        <v>#DIV/0!</v>
      </c>
      <c r="CX43" s="83">
        <f>CT43</f>
        <v>0.4</v>
      </c>
      <c r="CY43" s="81" t="str">
        <f>CY44/CY42</f>
        <v>#DIV/0!</v>
      </c>
      <c r="CZ43" s="83">
        <f>CT43</f>
        <v>0.4</v>
      </c>
      <c r="DA43" s="81" t="str">
        <f>DA44/DA42</f>
        <v>#DIV/0!</v>
      </c>
      <c r="DB43" s="83">
        <f>CT43</f>
        <v>0.4</v>
      </c>
      <c r="DC43" s="81" t="str">
        <f>DC44/DC42</f>
        <v>#DIV/0!</v>
      </c>
      <c r="DD43" s="88">
        <v>0.4</v>
      </c>
      <c r="DE43" s="81" t="str">
        <f>DE44/DE42</f>
        <v>#DIV/0!</v>
      </c>
      <c r="DF43" s="83">
        <f>DD43</f>
        <v>0.4</v>
      </c>
      <c r="DG43" s="81" t="str">
        <f>DG44/DG42</f>
        <v>#DIV/0!</v>
      </c>
      <c r="DH43" s="83">
        <f>DD43</f>
        <v>0.4</v>
      </c>
      <c r="DI43" s="81" t="str">
        <f>DI44/DI42</f>
        <v>#DIV/0!</v>
      </c>
      <c r="DJ43" s="83">
        <f>DD43</f>
        <v>0.4</v>
      </c>
      <c r="DK43" s="81" t="str">
        <f>DK44/DK42</f>
        <v>#DIV/0!</v>
      </c>
      <c r="DL43" s="83">
        <f>DD43</f>
        <v>0.4</v>
      </c>
      <c r="DM43" s="81" t="str">
        <f>DM44/DM42</f>
        <v>#DIV/0!</v>
      </c>
      <c r="DN43" s="88">
        <v>0.4</v>
      </c>
      <c r="DO43" s="65" t="str">
        <f>DO44/DO42</f>
        <v>#DIV/0!</v>
      </c>
      <c r="DP43" s="90">
        <f>DN43</f>
        <v>0.4</v>
      </c>
      <c r="DQ43" s="65" t="str">
        <f>DQ44/DQ42</f>
        <v>#DIV/0!</v>
      </c>
      <c r="DR43" s="90">
        <f>DN43</f>
        <v>0.4</v>
      </c>
      <c r="DS43" s="65" t="str">
        <f>DS44/DS42</f>
        <v>#DIV/0!</v>
      </c>
      <c r="DT43" s="90">
        <f>DN43</f>
        <v>0.4</v>
      </c>
      <c r="DU43" s="65" t="str">
        <f>DU44/DU42</f>
        <v>#DIV/0!</v>
      </c>
      <c r="DV43" s="90">
        <f>DN43</f>
        <v>0.4</v>
      </c>
    </row>
    <row r="44" ht="15.75" hidden="1" customHeight="1">
      <c r="A44" s="35"/>
      <c r="B44" s="110"/>
      <c r="C44" s="97" t="s">
        <v>106</v>
      </c>
      <c r="D44" s="79">
        <f t="shared" ref="D44:E44" si="129">SUM(F44+Q44+AA44+AK44+AU44+BE44+BO44+BY44+CI44+CS44+DC44+DM44)</f>
        <v>0</v>
      </c>
      <c r="E44" s="91">
        <f t="shared" si="129"/>
        <v>0</v>
      </c>
      <c r="F44" s="91">
        <f t="shared" ref="F44:F45" si="131">SUM(I44+K44+M44+O44)</f>
        <v>0</v>
      </c>
      <c r="G44" s="82">
        <f>'Dados da Operação'!H28</f>
        <v>0</v>
      </c>
      <c r="H44" s="61" t="str">
        <f t="shared" ref="H44:H46" si="132">G44/F44</f>
        <v>#DIV/0!</v>
      </c>
      <c r="I44" s="82"/>
      <c r="J44" s="79">
        <f t="shared" ref="J44:J45" si="133">G44/4</f>
        <v>0</v>
      </c>
      <c r="K44" s="82"/>
      <c r="L44" s="79">
        <f t="shared" ref="L44:L45" si="134">G44/4</f>
        <v>0</v>
      </c>
      <c r="M44" s="82"/>
      <c r="N44" s="79">
        <f t="shared" ref="N44:N45" si="135">G44/4</f>
        <v>0</v>
      </c>
      <c r="O44" s="82"/>
      <c r="P44" s="79">
        <f t="shared" ref="P44:P45" si="136">G44/4</f>
        <v>0</v>
      </c>
      <c r="Q44" s="79">
        <f t="shared" ref="Q44:Q45" si="137">SUM(S44+U44+W44+Y44)</f>
        <v>0</v>
      </c>
      <c r="R44" s="82">
        <f>'Dados da Operação'!H37</f>
        <v>0</v>
      </c>
      <c r="S44" s="84"/>
      <c r="T44" s="79">
        <f t="shared" ref="T44:T45" si="138">R44/4</f>
        <v>0</v>
      </c>
      <c r="U44" s="84"/>
      <c r="V44" s="79">
        <f t="shared" ref="V44:V45" si="139">R44/4</f>
        <v>0</v>
      </c>
      <c r="W44" s="84"/>
      <c r="X44" s="79">
        <f t="shared" ref="X44:X45" si="140">R44/4</f>
        <v>0</v>
      </c>
      <c r="Y44" s="84"/>
      <c r="Z44" s="79">
        <f t="shared" ref="Z44:Z45" si="141">R44/4</f>
        <v>0</v>
      </c>
      <c r="AA44" s="79">
        <f t="shared" ref="AA44:AA45" si="142">SUM(AC44+AE44+AG44+AI44)</f>
        <v>0</v>
      </c>
      <c r="AB44" s="82">
        <f>'Dados da Operação'!H46</f>
        <v>0</v>
      </c>
      <c r="AC44" s="84"/>
      <c r="AD44" s="79">
        <f t="shared" ref="AD44:AD45" si="143">AB44/4</f>
        <v>0</v>
      </c>
      <c r="AE44" s="84"/>
      <c r="AF44" s="79">
        <f t="shared" ref="AF44:AF45" si="144">AB44/4</f>
        <v>0</v>
      </c>
      <c r="AG44" s="84"/>
      <c r="AH44" s="79">
        <f t="shared" ref="AH44:AH45" si="145">AB44/4</f>
        <v>0</v>
      </c>
      <c r="AI44" s="84"/>
      <c r="AJ44" s="79">
        <f t="shared" ref="AJ44:AJ45" si="146">AB44/4</f>
        <v>0</v>
      </c>
      <c r="AK44" s="79">
        <f t="shared" ref="AK44:AK45" si="147">SUM(AM44+AO44+AQ44+AS44)</f>
        <v>0</v>
      </c>
      <c r="AL44" s="82">
        <f>'Dados da Operação'!H55</f>
        <v>0</v>
      </c>
      <c r="AM44" s="84"/>
      <c r="AN44" s="79">
        <f t="shared" ref="AN44:AN45" si="148">AL44/4</f>
        <v>0</v>
      </c>
      <c r="AO44" s="84"/>
      <c r="AP44" s="79">
        <f t="shared" ref="AP44:AP45" si="149">AL44/4</f>
        <v>0</v>
      </c>
      <c r="AQ44" s="84"/>
      <c r="AR44" s="79">
        <f t="shared" ref="AR44:AR45" si="150">AL44/4</f>
        <v>0</v>
      </c>
      <c r="AS44" s="84"/>
      <c r="AT44" s="79">
        <f t="shared" ref="AT44:AT45" si="151">AL44/4</f>
        <v>0</v>
      </c>
      <c r="AU44" s="79">
        <f t="shared" ref="AU44:AU45" si="152">SUM(AW44+AY44+BA44+BC44)</f>
        <v>0</v>
      </c>
      <c r="AV44" s="82">
        <f>'Dados da Operação'!H64</f>
        <v>0</v>
      </c>
      <c r="AW44" s="84"/>
      <c r="AX44" s="79">
        <f t="shared" ref="AX44:AX45" si="153">AV44/4</f>
        <v>0</v>
      </c>
      <c r="AY44" s="84"/>
      <c r="AZ44" s="79">
        <f t="shared" ref="AZ44:AZ45" si="154">AV44/4</f>
        <v>0</v>
      </c>
      <c r="BA44" s="84"/>
      <c r="BB44" s="79">
        <f t="shared" ref="BB44:BB45" si="155">AV44/4</f>
        <v>0</v>
      </c>
      <c r="BC44" s="84"/>
      <c r="BD44" s="79">
        <f t="shared" ref="BD44:BD45" si="156">AV44/4</f>
        <v>0</v>
      </c>
      <c r="BE44" s="79">
        <f t="shared" ref="BE44:BE45" si="157">SUM(BG44+BI44+BK44+BM44)</f>
        <v>0</v>
      </c>
      <c r="BF44" s="82">
        <f>'Dados da Operação'!H73</f>
        <v>0</v>
      </c>
      <c r="BG44" s="84"/>
      <c r="BH44" s="79">
        <f t="shared" ref="BH44:BH45" si="158">BF44/4</f>
        <v>0</v>
      </c>
      <c r="BI44" s="84"/>
      <c r="BJ44" s="79">
        <f t="shared" ref="BJ44:BJ45" si="159">BF44/4</f>
        <v>0</v>
      </c>
      <c r="BK44" s="84"/>
      <c r="BL44" s="79">
        <f t="shared" ref="BL44:BL45" si="160">BF44/4</f>
        <v>0</v>
      </c>
      <c r="BM44" s="84"/>
      <c r="BN44" s="79">
        <f t="shared" ref="BN44:BN45" si="161">BF44/4</f>
        <v>0</v>
      </c>
      <c r="BO44" s="79">
        <f t="shared" ref="BO44:BO45" si="162">SUM(BQ44+BS44+BU44+BW44)</f>
        <v>0</v>
      </c>
      <c r="BP44" s="82">
        <f>'Dados da Operação'!H82</f>
        <v>0</v>
      </c>
      <c r="BQ44" s="84"/>
      <c r="BR44" s="79">
        <f t="shared" ref="BR44:BR45" si="163">BP44/4</f>
        <v>0</v>
      </c>
      <c r="BS44" s="84"/>
      <c r="BT44" s="79">
        <f t="shared" ref="BT44:BT45" si="164">BP44/4</f>
        <v>0</v>
      </c>
      <c r="BU44" s="84"/>
      <c r="BV44" s="79">
        <f t="shared" ref="BV44:BV45" si="165">BP44/4</f>
        <v>0</v>
      </c>
      <c r="BW44" s="84"/>
      <c r="BX44" s="79">
        <f t="shared" ref="BX44:BX45" si="166">BP44/4</f>
        <v>0</v>
      </c>
      <c r="BY44" s="79">
        <f t="shared" ref="BY44:BY45" si="167">SUM(CA44+CC44+CE44+CG44)</f>
        <v>0</v>
      </c>
      <c r="BZ44" s="82">
        <f>'Dados da Operação'!H91</f>
        <v>0</v>
      </c>
      <c r="CA44" s="84"/>
      <c r="CB44" s="79">
        <f t="shared" ref="CB44:CB45" si="168">BZ44/4</f>
        <v>0</v>
      </c>
      <c r="CC44" s="84"/>
      <c r="CD44" s="79">
        <f t="shared" ref="CD44:CD45" si="169">BZ44/4</f>
        <v>0</v>
      </c>
      <c r="CE44" s="84"/>
      <c r="CF44" s="79">
        <f t="shared" ref="CF44:CF45" si="170">BZ44/4</f>
        <v>0</v>
      </c>
      <c r="CG44" s="84"/>
      <c r="CH44" s="79">
        <f t="shared" ref="CH44:CH45" si="171">BZ44/4</f>
        <v>0</v>
      </c>
      <c r="CI44" s="79">
        <f t="shared" ref="CI44:CI45" si="172">SUM(CK44+CM44+CO44+CQ44)</f>
        <v>0</v>
      </c>
      <c r="CJ44" s="82">
        <f>'Dados da Operação'!H100</f>
        <v>0</v>
      </c>
      <c r="CK44" s="84"/>
      <c r="CL44" s="79">
        <f t="shared" ref="CL44:CL45" si="173">CJ44/4</f>
        <v>0</v>
      </c>
      <c r="CM44" s="84"/>
      <c r="CN44" s="79">
        <f t="shared" ref="CN44:CN45" si="174">CJ44/4</f>
        <v>0</v>
      </c>
      <c r="CO44" s="84"/>
      <c r="CP44" s="79">
        <f t="shared" ref="CP44:CP45" si="175">CJ44/4</f>
        <v>0</v>
      </c>
      <c r="CQ44" s="84"/>
      <c r="CR44" s="79">
        <f t="shared" ref="CR44:CR45" si="176">CJ44/4</f>
        <v>0</v>
      </c>
      <c r="CS44" s="79">
        <f t="shared" ref="CS44:CS45" si="177">SUM(CU44+CW44+CY44+DA44)</f>
        <v>0</v>
      </c>
      <c r="CT44" s="82">
        <f>'Dados da Operação'!H109</f>
        <v>0</v>
      </c>
      <c r="CU44" s="84"/>
      <c r="CV44" s="79">
        <f t="shared" ref="CV44:CV45" si="178">CT44/4</f>
        <v>0</v>
      </c>
      <c r="CW44" s="84"/>
      <c r="CX44" s="79">
        <f t="shared" ref="CX44:CX45" si="179">CT44/4</f>
        <v>0</v>
      </c>
      <c r="CY44" s="84"/>
      <c r="CZ44" s="79">
        <f t="shared" ref="CZ44:CZ45" si="180">CT44/4</f>
        <v>0</v>
      </c>
      <c r="DA44" s="84"/>
      <c r="DB44" s="79">
        <f t="shared" ref="DB44:DB45" si="181">CT44/4</f>
        <v>0</v>
      </c>
      <c r="DC44" s="79">
        <f t="shared" ref="DC44:DC45" si="182">SUM(DE44+DG44+DI44+DK44)</f>
        <v>0</v>
      </c>
      <c r="DD44" s="82">
        <f>'Dados da Operação'!H118</f>
        <v>0</v>
      </c>
      <c r="DE44" s="84"/>
      <c r="DF44" s="79">
        <f t="shared" ref="DF44:DF45" si="183">DD44/4</f>
        <v>0</v>
      </c>
      <c r="DG44" s="84"/>
      <c r="DH44" s="79">
        <f t="shared" ref="DH44:DH45" si="184">DD44/4</f>
        <v>0</v>
      </c>
      <c r="DI44" s="84"/>
      <c r="DJ44" s="79">
        <f t="shared" ref="DJ44:DJ45" si="185">DD44/4</f>
        <v>0</v>
      </c>
      <c r="DK44" s="84"/>
      <c r="DL44" s="79">
        <f t="shared" ref="DL44:DL45" si="186">DD44/4</f>
        <v>0</v>
      </c>
      <c r="DM44" s="79">
        <f t="shared" ref="DM44:DM45" si="187">SUM(DO44+DQ44+DS44+DU44)</f>
        <v>0</v>
      </c>
      <c r="DN44" s="82">
        <f>'Dados da Operação'!H127</f>
        <v>0</v>
      </c>
      <c r="DO44" s="85"/>
      <c r="DP44" s="86">
        <f t="shared" ref="DP44:DP45" si="188">DN44/4</f>
        <v>0</v>
      </c>
      <c r="DQ44" s="85"/>
      <c r="DR44" s="86">
        <f t="shared" ref="DR44:DR45" si="189">DN44/4</f>
        <v>0</v>
      </c>
      <c r="DS44" s="85"/>
      <c r="DT44" s="86">
        <f t="shared" ref="DT44:DT45" si="190">DN44/4</f>
        <v>0</v>
      </c>
      <c r="DU44" s="85"/>
      <c r="DV44" s="86">
        <f t="shared" ref="DV44:DV45" si="191">DN44/4</f>
        <v>0</v>
      </c>
    </row>
    <row r="45" ht="15.75" hidden="1" customHeight="1">
      <c r="A45" s="71"/>
      <c r="B45" s="110"/>
      <c r="C45" s="101" t="s">
        <v>107</v>
      </c>
      <c r="D45" s="102">
        <f t="shared" ref="D45:E45" si="130">SUM(F45+Q45+AA45+AK45+AU45+BE45+BO45+BY45+CI45+CS45+DC45+DM45)</f>
        <v>0</v>
      </c>
      <c r="E45" s="102">
        <f t="shared" si="130"/>
        <v>0</v>
      </c>
      <c r="F45" s="102">
        <f t="shared" si="131"/>
        <v>0</v>
      </c>
      <c r="G45" s="91">
        <f>'Dados da Operação'!G28</f>
        <v>0</v>
      </c>
      <c r="H45" s="61" t="str">
        <f t="shared" si="132"/>
        <v>#DIV/0!</v>
      </c>
      <c r="I45" s="76"/>
      <c r="J45" s="102">
        <f t="shared" si="133"/>
        <v>0</v>
      </c>
      <c r="K45" s="76"/>
      <c r="L45" s="102">
        <f t="shared" si="134"/>
        <v>0</v>
      </c>
      <c r="M45" s="76"/>
      <c r="N45" s="102">
        <f t="shared" si="135"/>
        <v>0</v>
      </c>
      <c r="O45" s="76"/>
      <c r="P45" s="102">
        <f t="shared" si="136"/>
        <v>0</v>
      </c>
      <c r="Q45" s="102">
        <f t="shared" si="137"/>
        <v>0</v>
      </c>
      <c r="R45" s="76">
        <f>'Dados da Operação'!G37</f>
        <v>0</v>
      </c>
      <c r="S45" s="76"/>
      <c r="T45" s="102">
        <f t="shared" si="138"/>
        <v>0</v>
      </c>
      <c r="U45" s="76"/>
      <c r="V45" s="102">
        <f t="shared" si="139"/>
        <v>0</v>
      </c>
      <c r="W45" s="76"/>
      <c r="X45" s="102">
        <f t="shared" si="140"/>
        <v>0</v>
      </c>
      <c r="Y45" s="76"/>
      <c r="Z45" s="102">
        <f t="shared" si="141"/>
        <v>0</v>
      </c>
      <c r="AA45" s="102">
        <f t="shared" si="142"/>
        <v>0</v>
      </c>
      <c r="AB45" s="76">
        <f>'Dados da Operação'!G46</f>
        <v>0</v>
      </c>
      <c r="AC45" s="76"/>
      <c r="AD45" s="102">
        <f t="shared" si="143"/>
        <v>0</v>
      </c>
      <c r="AE45" s="76"/>
      <c r="AF45" s="102">
        <f t="shared" si="144"/>
        <v>0</v>
      </c>
      <c r="AG45" s="76"/>
      <c r="AH45" s="102">
        <f t="shared" si="145"/>
        <v>0</v>
      </c>
      <c r="AI45" s="76"/>
      <c r="AJ45" s="102">
        <f t="shared" si="146"/>
        <v>0</v>
      </c>
      <c r="AK45" s="102">
        <f t="shared" si="147"/>
        <v>0</v>
      </c>
      <c r="AL45" s="76">
        <f>'Dados da Operação'!G55</f>
        <v>0</v>
      </c>
      <c r="AM45" s="76"/>
      <c r="AN45" s="102">
        <f t="shared" si="148"/>
        <v>0</v>
      </c>
      <c r="AO45" s="76"/>
      <c r="AP45" s="102">
        <f t="shared" si="149"/>
        <v>0</v>
      </c>
      <c r="AQ45" s="76"/>
      <c r="AR45" s="102">
        <f t="shared" si="150"/>
        <v>0</v>
      </c>
      <c r="AS45" s="76"/>
      <c r="AT45" s="102">
        <f t="shared" si="151"/>
        <v>0</v>
      </c>
      <c r="AU45" s="102">
        <f t="shared" si="152"/>
        <v>0</v>
      </c>
      <c r="AV45" s="76">
        <f>'Dados da Operação'!G64</f>
        <v>0</v>
      </c>
      <c r="AW45" s="76"/>
      <c r="AX45" s="102">
        <f t="shared" si="153"/>
        <v>0</v>
      </c>
      <c r="AY45" s="76"/>
      <c r="AZ45" s="102">
        <f t="shared" si="154"/>
        <v>0</v>
      </c>
      <c r="BA45" s="76"/>
      <c r="BB45" s="102">
        <f t="shared" si="155"/>
        <v>0</v>
      </c>
      <c r="BC45" s="76"/>
      <c r="BD45" s="102">
        <f t="shared" si="156"/>
        <v>0</v>
      </c>
      <c r="BE45" s="102">
        <f t="shared" si="157"/>
        <v>0</v>
      </c>
      <c r="BF45" s="76">
        <f>'Dados da Operação'!G73</f>
        <v>0</v>
      </c>
      <c r="BG45" s="76"/>
      <c r="BH45" s="102">
        <f t="shared" si="158"/>
        <v>0</v>
      </c>
      <c r="BI45" s="76"/>
      <c r="BJ45" s="102">
        <f t="shared" si="159"/>
        <v>0</v>
      </c>
      <c r="BK45" s="76"/>
      <c r="BL45" s="102">
        <f t="shared" si="160"/>
        <v>0</v>
      </c>
      <c r="BM45" s="76"/>
      <c r="BN45" s="102">
        <f t="shared" si="161"/>
        <v>0</v>
      </c>
      <c r="BO45" s="102">
        <f t="shared" si="162"/>
        <v>0</v>
      </c>
      <c r="BP45" s="76">
        <f>'Dados da Operação'!G82</f>
        <v>0</v>
      </c>
      <c r="BQ45" s="76"/>
      <c r="BR45" s="102">
        <f t="shared" si="163"/>
        <v>0</v>
      </c>
      <c r="BS45" s="76"/>
      <c r="BT45" s="102">
        <f t="shared" si="164"/>
        <v>0</v>
      </c>
      <c r="BU45" s="76"/>
      <c r="BV45" s="102">
        <f t="shared" si="165"/>
        <v>0</v>
      </c>
      <c r="BW45" s="76"/>
      <c r="BX45" s="102">
        <f t="shared" si="166"/>
        <v>0</v>
      </c>
      <c r="BY45" s="102">
        <f t="shared" si="167"/>
        <v>0</v>
      </c>
      <c r="BZ45" s="76">
        <f>'Dados da Operação'!G91</f>
        <v>0</v>
      </c>
      <c r="CA45" s="76"/>
      <c r="CB45" s="102">
        <f t="shared" si="168"/>
        <v>0</v>
      </c>
      <c r="CC45" s="76"/>
      <c r="CD45" s="102">
        <f t="shared" si="169"/>
        <v>0</v>
      </c>
      <c r="CE45" s="76"/>
      <c r="CF45" s="102">
        <f t="shared" si="170"/>
        <v>0</v>
      </c>
      <c r="CG45" s="76"/>
      <c r="CH45" s="102">
        <f t="shared" si="171"/>
        <v>0</v>
      </c>
      <c r="CI45" s="102">
        <f t="shared" si="172"/>
        <v>0</v>
      </c>
      <c r="CJ45" s="76">
        <f>'Dados da Operação'!G100</f>
        <v>0</v>
      </c>
      <c r="CK45" s="76"/>
      <c r="CL45" s="102">
        <f t="shared" si="173"/>
        <v>0</v>
      </c>
      <c r="CM45" s="76"/>
      <c r="CN45" s="102">
        <f t="shared" si="174"/>
        <v>0</v>
      </c>
      <c r="CO45" s="76"/>
      <c r="CP45" s="102">
        <f t="shared" si="175"/>
        <v>0</v>
      </c>
      <c r="CQ45" s="76"/>
      <c r="CR45" s="102">
        <f t="shared" si="176"/>
        <v>0</v>
      </c>
      <c r="CS45" s="102">
        <f t="shared" si="177"/>
        <v>0</v>
      </c>
      <c r="CT45" s="76">
        <f>'Dados da Operação'!G109</f>
        <v>0</v>
      </c>
      <c r="CU45" s="76"/>
      <c r="CV45" s="102">
        <f t="shared" si="178"/>
        <v>0</v>
      </c>
      <c r="CW45" s="76"/>
      <c r="CX45" s="102">
        <f t="shared" si="179"/>
        <v>0</v>
      </c>
      <c r="CY45" s="76"/>
      <c r="CZ45" s="102">
        <f t="shared" si="180"/>
        <v>0</v>
      </c>
      <c r="DA45" s="76"/>
      <c r="DB45" s="102">
        <f t="shared" si="181"/>
        <v>0</v>
      </c>
      <c r="DC45" s="102">
        <f t="shared" si="182"/>
        <v>0</v>
      </c>
      <c r="DD45" s="76">
        <f>'Dados da Operação'!G118</f>
        <v>0</v>
      </c>
      <c r="DE45" s="76"/>
      <c r="DF45" s="102">
        <f t="shared" si="183"/>
        <v>0</v>
      </c>
      <c r="DG45" s="76"/>
      <c r="DH45" s="102">
        <f t="shared" si="184"/>
        <v>0</v>
      </c>
      <c r="DI45" s="76"/>
      <c r="DJ45" s="102">
        <f t="shared" si="185"/>
        <v>0</v>
      </c>
      <c r="DK45" s="76"/>
      <c r="DL45" s="102">
        <f t="shared" si="186"/>
        <v>0</v>
      </c>
      <c r="DM45" s="102">
        <f t="shared" si="187"/>
        <v>0</v>
      </c>
      <c r="DN45" s="76">
        <f>'Dados da Operação'!G127</f>
        <v>0</v>
      </c>
      <c r="DO45" s="105"/>
      <c r="DP45" s="73">
        <f t="shared" si="188"/>
        <v>0</v>
      </c>
      <c r="DQ45" s="105"/>
      <c r="DR45" s="73">
        <f t="shared" si="189"/>
        <v>0</v>
      </c>
      <c r="DS45" s="105"/>
      <c r="DT45" s="73">
        <f t="shared" si="190"/>
        <v>0</v>
      </c>
      <c r="DU45" s="105"/>
      <c r="DV45" s="73">
        <f t="shared" si="191"/>
        <v>0</v>
      </c>
    </row>
    <row r="46" ht="15.75" hidden="1" customHeight="1">
      <c r="A46" s="71"/>
      <c r="B46" s="113"/>
      <c r="C46" s="101" t="s">
        <v>12</v>
      </c>
      <c r="D46" s="102" t="str">
        <f t="shared" ref="D46:F46" si="192">D45/D44</f>
        <v>#DIV/0!</v>
      </c>
      <c r="E46" s="102" t="str">
        <f t="shared" si="192"/>
        <v>#DIV/0!</v>
      </c>
      <c r="F46" s="102" t="str">
        <f t="shared" si="192"/>
        <v>#DIV/0!</v>
      </c>
      <c r="G46" s="91">
        <f>'Dados da Operação'!$C$5</f>
        <v>2500</v>
      </c>
      <c r="H46" s="61" t="str">
        <f t="shared" si="132"/>
        <v>#DIV/0!</v>
      </c>
      <c r="I46" s="102" t="str">
        <f>I45/I44</f>
        <v>#DIV/0!</v>
      </c>
      <c r="J46" s="76">
        <f>G46</f>
        <v>2500</v>
      </c>
      <c r="K46" s="102" t="str">
        <f>K45/K44</f>
        <v>#DIV/0!</v>
      </c>
      <c r="L46" s="76">
        <f>G46</f>
        <v>2500</v>
      </c>
      <c r="M46" s="102" t="str">
        <f>M45/M44</f>
        <v>#DIV/0!</v>
      </c>
      <c r="N46" s="76">
        <f>G46</f>
        <v>2500</v>
      </c>
      <c r="O46" s="102" t="str">
        <f>O45/O44</f>
        <v>#DIV/0!</v>
      </c>
      <c r="P46" s="76">
        <f>G46</f>
        <v>2500</v>
      </c>
      <c r="Q46" s="102" t="str">
        <f>Q45/Q44</f>
        <v>#DIV/0!</v>
      </c>
      <c r="R46" s="76">
        <f>'Dados da Operação'!$C$5</f>
        <v>2500</v>
      </c>
      <c r="S46" s="102" t="str">
        <f>S45/S44</f>
        <v>#DIV/0!</v>
      </c>
      <c r="T46" s="76">
        <f>R46</f>
        <v>2500</v>
      </c>
      <c r="U46" s="102" t="str">
        <f>U45/U44</f>
        <v>#DIV/0!</v>
      </c>
      <c r="V46" s="76">
        <f>R46</f>
        <v>2500</v>
      </c>
      <c r="W46" s="102" t="str">
        <f>W45/W44</f>
        <v>#DIV/0!</v>
      </c>
      <c r="X46" s="76">
        <f>R46</f>
        <v>2500</v>
      </c>
      <c r="Y46" s="102" t="str">
        <f>Y45/Y44</f>
        <v>#DIV/0!</v>
      </c>
      <c r="Z46" s="76">
        <f>R46</f>
        <v>2500</v>
      </c>
      <c r="AA46" s="102" t="str">
        <f>AA45/AA44</f>
        <v>#DIV/0!</v>
      </c>
      <c r="AB46" s="76">
        <f>'Dados da Operação'!$C$5</f>
        <v>2500</v>
      </c>
      <c r="AC46" s="102" t="str">
        <f>AC45/AC44</f>
        <v>#DIV/0!</v>
      </c>
      <c r="AD46" s="76">
        <f>AB46</f>
        <v>2500</v>
      </c>
      <c r="AE46" s="102" t="str">
        <f>AE45/AE44</f>
        <v>#DIV/0!</v>
      </c>
      <c r="AF46" s="76">
        <f>AB46</f>
        <v>2500</v>
      </c>
      <c r="AG46" s="102" t="str">
        <f>AG45/AG44</f>
        <v>#DIV/0!</v>
      </c>
      <c r="AH46" s="76">
        <f>AB46</f>
        <v>2500</v>
      </c>
      <c r="AI46" s="102" t="str">
        <f>AI45/AI44</f>
        <v>#DIV/0!</v>
      </c>
      <c r="AJ46" s="76">
        <f>AB46</f>
        <v>2500</v>
      </c>
      <c r="AK46" s="102" t="str">
        <f>AK45/AK44</f>
        <v>#DIV/0!</v>
      </c>
      <c r="AL46" s="76">
        <f>'Dados da Operação'!$C$5</f>
        <v>2500</v>
      </c>
      <c r="AM46" s="102" t="str">
        <f>AM45/AM44</f>
        <v>#DIV/0!</v>
      </c>
      <c r="AN46" s="76">
        <f>AL46</f>
        <v>2500</v>
      </c>
      <c r="AO46" s="102" t="str">
        <f>AO45/AO44</f>
        <v>#DIV/0!</v>
      </c>
      <c r="AP46" s="76">
        <f>AL46</f>
        <v>2500</v>
      </c>
      <c r="AQ46" s="102" t="str">
        <f>AQ45/AQ44</f>
        <v>#DIV/0!</v>
      </c>
      <c r="AR46" s="76">
        <f>AL46</f>
        <v>2500</v>
      </c>
      <c r="AS46" s="102" t="str">
        <f>AS45/AS44</f>
        <v>#DIV/0!</v>
      </c>
      <c r="AT46" s="76">
        <f>AL46</f>
        <v>2500</v>
      </c>
      <c r="AU46" s="102" t="str">
        <f>AU45/AU44</f>
        <v>#DIV/0!</v>
      </c>
      <c r="AV46" s="76">
        <f>'Dados da Operação'!$C$5</f>
        <v>2500</v>
      </c>
      <c r="AW46" s="102" t="str">
        <f>AW45/AW44</f>
        <v>#DIV/0!</v>
      </c>
      <c r="AX46" s="76">
        <f>AV46</f>
        <v>2500</v>
      </c>
      <c r="AY46" s="102" t="str">
        <f>AY45/AY44</f>
        <v>#DIV/0!</v>
      </c>
      <c r="AZ46" s="76">
        <f>AV46</f>
        <v>2500</v>
      </c>
      <c r="BA46" s="102" t="str">
        <f>BA45/BA44</f>
        <v>#DIV/0!</v>
      </c>
      <c r="BB46" s="76">
        <f>AV46</f>
        <v>2500</v>
      </c>
      <c r="BC46" s="102" t="str">
        <f>BC45/BC44</f>
        <v>#DIV/0!</v>
      </c>
      <c r="BD46" s="76">
        <f>AV46</f>
        <v>2500</v>
      </c>
      <c r="BE46" s="102" t="str">
        <f>BE45/BE44</f>
        <v>#DIV/0!</v>
      </c>
      <c r="BF46" s="76">
        <f>'Dados da Operação'!$C$5</f>
        <v>2500</v>
      </c>
      <c r="BG46" s="102" t="str">
        <f>BG45/BG44</f>
        <v>#DIV/0!</v>
      </c>
      <c r="BH46" s="76">
        <f>BF46</f>
        <v>2500</v>
      </c>
      <c r="BI46" s="102" t="str">
        <f>BI45/BI44</f>
        <v>#DIV/0!</v>
      </c>
      <c r="BJ46" s="76">
        <f>BF46</f>
        <v>2500</v>
      </c>
      <c r="BK46" s="102" t="str">
        <f>BK45/BK44</f>
        <v>#DIV/0!</v>
      </c>
      <c r="BL46" s="76">
        <f>BF46</f>
        <v>2500</v>
      </c>
      <c r="BM46" s="102" t="str">
        <f>BM45/BM44</f>
        <v>#DIV/0!</v>
      </c>
      <c r="BN46" s="76">
        <f>BF46</f>
        <v>2500</v>
      </c>
      <c r="BO46" s="102" t="str">
        <f>BO45/BO44</f>
        <v>#DIV/0!</v>
      </c>
      <c r="BP46" s="76">
        <f>'Dados da Operação'!$C$5</f>
        <v>2500</v>
      </c>
      <c r="BQ46" s="102" t="str">
        <f>BQ45/BQ44</f>
        <v>#DIV/0!</v>
      </c>
      <c r="BR46" s="76">
        <f>BP46</f>
        <v>2500</v>
      </c>
      <c r="BS46" s="102" t="str">
        <f>BS45/BS44</f>
        <v>#DIV/0!</v>
      </c>
      <c r="BT46" s="76">
        <f>BP46</f>
        <v>2500</v>
      </c>
      <c r="BU46" s="102" t="str">
        <f>BU45/BU44</f>
        <v>#DIV/0!</v>
      </c>
      <c r="BV46" s="76">
        <f>BP46</f>
        <v>2500</v>
      </c>
      <c r="BW46" s="102" t="str">
        <f>BW45/BW44</f>
        <v>#DIV/0!</v>
      </c>
      <c r="BX46" s="76">
        <f>BP46</f>
        <v>2500</v>
      </c>
      <c r="BY46" s="102" t="str">
        <f>BY45/BY44</f>
        <v>#DIV/0!</v>
      </c>
      <c r="BZ46" s="76">
        <f>'Dados da Operação'!$C$5</f>
        <v>2500</v>
      </c>
      <c r="CA46" s="102" t="str">
        <f>CA45/CA44</f>
        <v>#DIV/0!</v>
      </c>
      <c r="CB46" s="76">
        <f>BZ46</f>
        <v>2500</v>
      </c>
      <c r="CC46" s="102" t="str">
        <f>CC45/CC44</f>
        <v>#DIV/0!</v>
      </c>
      <c r="CD46" s="76">
        <f>BZ46</f>
        <v>2500</v>
      </c>
      <c r="CE46" s="102" t="str">
        <f>CE45/CE44</f>
        <v>#DIV/0!</v>
      </c>
      <c r="CF46" s="76">
        <f>BZ46</f>
        <v>2500</v>
      </c>
      <c r="CG46" s="102" t="str">
        <f>CG45/CG44</f>
        <v>#DIV/0!</v>
      </c>
      <c r="CH46" s="76">
        <f>BZ46</f>
        <v>2500</v>
      </c>
      <c r="CI46" s="102" t="str">
        <f>CI45/CI44</f>
        <v>#DIV/0!</v>
      </c>
      <c r="CJ46" s="76">
        <f>'Dados da Operação'!$C$5</f>
        <v>2500</v>
      </c>
      <c r="CK46" s="102" t="str">
        <f>CK45/CK44</f>
        <v>#DIV/0!</v>
      </c>
      <c r="CL46" s="76">
        <f>CJ46</f>
        <v>2500</v>
      </c>
      <c r="CM46" s="102" t="str">
        <f>CM45/CM44</f>
        <v>#DIV/0!</v>
      </c>
      <c r="CN46" s="76">
        <f>CJ46</f>
        <v>2500</v>
      </c>
      <c r="CO46" s="102" t="str">
        <f>CO45/CO44</f>
        <v>#DIV/0!</v>
      </c>
      <c r="CP46" s="76">
        <f>CJ46</f>
        <v>2500</v>
      </c>
      <c r="CQ46" s="102" t="str">
        <f>CQ45/CQ44</f>
        <v>#DIV/0!</v>
      </c>
      <c r="CR46" s="76">
        <f>CJ46</f>
        <v>2500</v>
      </c>
      <c r="CS46" s="102" t="str">
        <f>CS45/CS44</f>
        <v>#DIV/0!</v>
      </c>
      <c r="CT46" s="76">
        <f>'Dados da Operação'!$C$5</f>
        <v>2500</v>
      </c>
      <c r="CU46" s="102" t="str">
        <f>CU45/CU44</f>
        <v>#DIV/0!</v>
      </c>
      <c r="CV46" s="76">
        <f>CT46</f>
        <v>2500</v>
      </c>
      <c r="CW46" s="102" t="str">
        <f>CW45/CW44</f>
        <v>#DIV/0!</v>
      </c>
      <c r="CX46" s="76">
        <f>CT46</f>
        <v>2500</v>
      </c>
      <c r="CY46" s="102" t="str">
        <f>CY45/CY44</f>
        <v>#DIV/0!</v>
      </c>
      <c r="CZ46" s="76">
        <f>CT46</f>
        <v>2500</v>
      </c>
      <c r="DA46" s="102" t="str">
        <f>DA45/DA44</f>
        <v>#DIV/0!</v>
      </c>
      <c r="DB46" s="76">
        <f>CT46</f>
        <v>2500</v>
      </c>
      <c r="DC46" s="102" t="str">
        <f>DC45/DC44</f>
        <v>#DIV/0!</v>
      </c>
      <c r="DD46" s="76">
        <f>'Dados da Operação'!$C$5</f>
        <v>2500</v>
      </c>
      <c r="DE46" s="102" t="str">
        <f>DE45/DE44</f>
        <v>#DIV/0!</v>
      </c>
      <c r="DF46" s="76">
        <f>DD46</f>
        <v>2500</v>
      </c>
      <c r="DG46" s="102" t="str">
        <f>DG45/DG44</f>
        <v>#DIV/0!</v>
      </c>
      <c r="DH46" s="76">
        <f>DD46</f>
        <v>2500</v>
      </c>
      <c r="DI46" s="102" t="str">
        <f>DI45/DI44</f>
        <v>#DIV/0!</v>
      </c>
      <c r="DJ46" s="76">
        <f>DD46</f>
        <v>2500</v>
      </c>
      <c r="DK46" s="102" t="str">
        <f>DK45/DK44</f>
        <v>#DIV/0!</v>
      </c>
      <c r="DL46" s="76">
        <f>DD46</f>
        <v>2500</v>
      </c>
      <c r="DM46" s="102" t="str">
        <f>DM45/DM44</f>
        <v>#DIV/0!</v>
      </c>
      <c r="DN46" s="76">
        <f>'Dados da Operação'!$C$5</f>
        <v>2500</v>
      </c>
      <c r="DO46" s="74" t="str">
        <f>DO45/DO44</f>
        <v>#DIV/0!</v>
      </c>
      <c r="DP46" s="103">
        <f>DN46</f>
        <v>2500</v>
      </c>
      <c r="DQ46" s="74" t="str">
        <f>DQ45/DQ44</f>
        <v>#DIV/0!</v>
      </c>
      <c r="DR46" s="103">
        <f>DN46</f>
        <v>2500</v>
      </c>
      <c r="DS46" s="74" t="str">
        <f>DS45/DS44</f>
        <v>#DIV/0!</v>
      </c>
      <c r="DT46" s="103">
        <f>DN46</f>
        <v>2500</v>
      </c>
      <c r="DU46" s="74" t="str">
        <f>DU45/DU44</f>
        <v>#DIV/0!</v>
      </c>
      <c r="DV46" s="103">
        <f>DN46</f>
        <v>2500</v>
      </c>
    </row>
    <row r="47" ht="31.5" hidden="1" customHeight="1">
      <c r="A47" s="35"/>
      <c r="B47" s="42"/>
      <c r="C47" s="106"/>
      <c r="D47" s="114"/>
      <c r="E47" s="114"/>
      <c r="F47" s="114"/>
      <c r="G47" s="114"/>
      <c r="H47" s="114"/>
      <c r="I47" s="106"/>
      <c r="J47" s="106"/>
      <c r="K47" s="106"/>
      <c r="L47" s="106"/>
      <c r="M47" s="106"/>
      <c r="N47" s="115"/>
      <c r="O47" s="106"/>
      <c r="P47" s="106"/>
      <c r="Q47" s="114"/>
      <c r="R47" s="116"/>
      <c r="S47" s="106"/>
      <c r="T47" s="106"/>
      <c r="U47" s="106"/>
      <c r="V47" s="106"/>
      <c r="W47" s="106"/>
      <c r="X47" s="115"/>
      <c r="Y47" s="106"/>
      <c r="Z47" s="106"/>
      <c r="AA47" s="114"/>
      <c r="AB47" s="116"/>
      <c r="AC47" s="106"/>
      <c r="AD47" s="106"/>
      <c r="AE47" s="106"/>
      <c r="AF47" s="106"/>
      <c r="AG47" s="106"/>
      <c r="AH47" s="115"/>
      <c r="AI47" s="106"/>
      <c r="AJ47" s="106"/>
      <c r="AK47" s="114"/>
      <c r="AL47" s="116"/>
      <c r="AM47" s="106"/>
      <c r="AN47" s="106"/>
      <c r="AO47" s="107"/>
      <c r="AP47" s="107"/>
      <c r="AQ47" s="107"/>
      <c r="AR47" s="115"/>
      <c r="AS47" s="107"/>
      <c r="AT47" s="107"/>
      <c r="AU47" s="117"/>
      <c r="AV47" s="116"/>
      <c r="AW47" s="107"/>
      <c r="AX47" s="107"/>
      <c r="AY47" s="107"/>
      <c r="AZ47" s="107"/>
      <c r="BA47" s="107"/>
      <c r="BB47" s="115"/>
      <c r="BC47" s="107"/>
      <c r="BD47" s="107"/>
      <c r="BE47" s="117"/>
      <c r="BF47" s="116"/>
      <c r="BG47" s="107"/>
      <c r="BH47" s="107"/>
      <c r="BI47" s="107"/>
      <c r="BJ47" s="107"/>
      <c r="BK47" s="107"/>
      <c r="BL47" s="115"/>
      <c r="BM47" s="107"/>
      <c r="BN47" s="107"/>
      <c r="BO47" s="117"/>
      <c r="BP47" s="116"/>
      <c r="BQ47" s="107"/>
      <c r="BR47" s="107"/>
      <c r="BS47" s="107"/>
      <c r="BT47" s="107"/>
      <c r="BU47" s="107"/>
      <c r="BV47" s="115"/>
      <c r="BW47" s="107"/>
      <c r="BX47" s="107"/>
      <c r="BY47" s="117"/>
      <c r="BZ47" s="116"/>
      <c r="CA47" s="107"/>
      <c r="CB47" s="107"/>
      <c r="CC47" s="107"/>
      <c r="CD47" s="107"/>
      <c r="CE47" s="107"/>
      <c r="CF47" s="115"/>
      <c r="CG47" s="107"/>
      <c r="CH47" s="107"/>
      <c r="CI47" s="117"/>
      <c r="CJ47" s="116"/>
      <c r="CK47" s="107"/>
      <c r="CL47" s="107"/>
      <c r="CM47" s="107"/>
      <c r="CN47" s="107"/>
      <c r="CO47" s="107"/>
      <c r="CP47" s="115"/>
      <c r="CQ47" s="107"/>
      <c r="CR47" s="107"/>
      <c r="CS47" s="117"/>
      <c r="CT47" s="116"/>
      <c r="CU47" s="107"/>
      <c r="CV47" s="107"/>
      <c r="CW47" s="107"/>
      <c r="CX47" s="107"/>
      <c r="CY47" s="107"/>
      <c r="CZ47" s="115"/>
      <c r="DA47" s="107"/>
      <c r="DB47" s="107"/>
      <c r="DC47" s="117"/>
      <c r="DD47" s="116"/>
      <c r="DE47" s="107"/>
      <c r="DF47" s="107"/>
      <c r="DG47" s="107"/>
      <c r="DH47" s="107"/>
      <c r="DI47" s="107"/>
      <c r="DJ47" s="115"/>
      <c r="DK47" s="107"/>
      <c r="DL47" s="107"/>
      <c r="DM47" s="117"/>
      <c r="DN47" s="116"/>
      <c r="DO47" s="107"/>
      <c r="DP47" s="107"/>
      <c r="DQ47" s="107"/>
      <c r="DR47" s="107"/>
      <c r="DS47" s="107"/>
      <c r="DT47" s="115"/>
      <c r="DU47" s="107"/>
      <c r="DV47" s="107"/>
    </row>
    <row r="48" ht="15.75" hidden="1" customHeight="1">
      <c r="A48" s="38"/>
      <c r="B48" s="118" t="s">
        <v>111</v>
      </c>
      <c r="C48" s="111" t="s">
        <v>95</v>
      </c>
      <c r="D48" s="91">
        <f t="shared" ref="D48:E48" si="193">SUM(F48+Q48+AA48+AK48+AU48+BE48+BO48+BY48+CI48+CS48+DC48+DM48)</f>
        <v>0</v>
      </c>
      <c r="E48" s="91">
        <f t="shared" si="193"/>
        <v>0</v>
      </c>
      <c r="F48" s="91">
        <f>SUM(I48+K48+M48+O48)</f>
        <v>0</v>
      </c>
      <c r="G48" s="82">
        <f>G50/G49</f>
        <v>0</v>
      </c>
      <c r="H48" s="61" t="str">
        <f>F48/G48</f>
        <v>#DIV/0!</v>
      </c>
      <c r="I48" s="82"/>
      <c r="J48" s="91">
        <f>G48/4</f>
        <v>0</v>
      </c>
      <c r="K48" s="82"/>
      <c r="L48" s="91">
        <f>G48/4</f>
        <v>0</v>
      </c>
      <c r="M48" s="82"/>
      <c r="N48" s="91">
        <f>G48/4</f>
        <v>0</v>
      </c>
      <c r="O48" s="82"/>
      <c r="P48" s="91">
        <f>G48/4</f>
        <v>0</v>
      </c>
      <c r="Q48" s="91">
        <f>SUM(S48+U48+W48+Y48)</f>
        <v>0</v>
      </c>
      <c r="R48" s="82">
        <f>R50/R49</f>
        <v>0</v>
      </c>
      <c r="S48" s="82"/>
      <c r="T48" s="91">
        <f>R48/4</f>
        <v>0</v>
      </c>
      <c r="U48" s="82"/>
      <c r="V48" s="91">
        <f>R48/4</f>
        <v>0</v>
      </c>
      <c r="W48" s="82"/>
      <c r="X48" s="91">
        <f>R48/4</f>
        <v>0</v>
      </c>
      <c r="Y48" s="82"/>
      <c r="Z48" s="91">
        <f>R48/4</f>
        <v>0</v>
      </c>
      <c r="AA48" s="91">
        <f>SUM(AC48+AE48+AG48+AI48)</f>
        <v>0</v>
      </c>
      <c r="AB48" s="82">
        <f>AB50/AB49</f>
        <v>0</v>
      </c>
      <c r="AC48" s="82"/>
      <c r="AD48" s="91">
        <f>AB48/4</f>
        <v>0</v>
      </c>
      <c r="AE48" s="82"/>
      <c r="AF48" s="91">
        <f>AB48/4</f>
        <v>0</v>
      </c>
      <c r="AG48" s="82"/>
      <c r="AH48" s="91">
        <f>AB48/4</f>
        <v>0</v>
      </c>
      <c r="AI48" s="82"/>
      <c r="AJ48" s="91">
        <f>AB48/4</f>
        <v>0</v>
      </c>
      <c r="AK48" s="91">
        <f>SUM(AM48+AO48+AQ48+AS48)</f>
        <v>0</v>
      </c>
      <c r="AL48" s="82">
        <f>AL50/AL49</f>
        <v>0</v>
      </c>
      <c r="AM48" s="82"/>
      <c r="AN48" s="91">
        <f>AL48/4</f>
        <v>0</v>
      </c>
      <c r="AO48" s="82"/>
      <c r="AP48" s="91">
        <f>AL48/4</f>
        <v>0</v>
      </c>
      <c r="AQ48" s="82"/>
      <c r="AR48" s="91">
        <f>AL48/4</f>
        <v>0</v>
      </c>
      <c r="AS48" s="82"/>
      <c r="AT48" s="91">
        <f>AL48/4</f>
        <v>0</v>
      </c>
      <c r="AU48" s="91">
        <f>SUM(AW48+AY48+BA48+BC48)</f>
        <v>0</v>
      </c>
      <c r="AV48" s="82">
        <f>AV50/AV49</f>
        <v>0</v>
      </c>
      <c r="AW48" s="82"/>
      <c r="AX48" s="91">
        <f>AV48/4</f>
        <v>0</v>
      </c>
      <c r="AY48" s="82"/>
      <c r="AZ48" s="91">
        <f>AV48/4</f>
        <v>0</v>
      </c>
      <c r="BA48" s="82"/>
      <c r="BB48" s="91">
        <f>AV48/4</f>
        <v>0</v>
      </c>
      <c r="BC48" s="82"/>
      <c r="BD48" s="91">
        <f>AV48/4</f>
        <v>0</v>
      </c>
      <c r="BE48" s="91">
        <f>SUM(BG48+BI48+BK48+BM48)</f>
        <v>0</v>
      </c>
      <c r="BF48" s="82">
        <f>BF50/BF49</f>
        <v>0</v>
      </c>
      <c r="BG48" s="82"/>
      <c r="BH48" s="91">
        <f>BF48/4</f>
        <v>0</v>
      </c>
      <c r="BI48" s="82"/>
      <c r="BJ48" s="91">
        <f>BF48/4</f>
        <v>0</v>
      </c>
      <c r="BK48" s="82"/>
      <c r="BL48" s="91">
        <f>BF48/4</f>
        <v>0</v>
      </c>
      <c r="BM48" s="82"/>
      <c r="BN48" s="91">
        <f>BF48/4</f>
        <v>0</v>
      </c>
      <c r="BO48" s="91">
        <f>SUM(BQ48+BS48+BU48+BW48)</f>
        <v>0</v>
      </c>
      <c r="BP48" s="82">
        <f>BP50/BP49</f>
        <v>0</v>
      </c>
      <c r="BQ48" s="82"/>
      <c r="BR48" s="91">
        <f>BP48/4</f>
        <v>0</v>
      </c>
      <c r="BS48" s="82"/>
      <c r="BT48" s="91">
        <f>BP48/4</f>
        <v>0</v>
      </c>
      <c r="BU48" s="82"/>
      <c r="BV48" s="91">
        <f>BP48/4</f>
        <v>0</v>
      </c>
      <c r="BW48" s="82"/>
      <c r="BX48" s="91">
        <f>BP48/4</f>
        <v>0</v>
      </c>
      <c r="BY48" s="91">
        <f>SUM(CA48+CC48+CE48+CG48)</f>
        <v>0</v>
      </c>
      <c r="BZ48" s="82">
        <f>BZ50/BZ49</f>
        <v>0</v>
      </c>
      <c r="CA48" s="82"/>
      <c r="CB48" s="91">
        <f>BZ48/4</f>
        <v>0</v>
      </c>
      <c r="CC48" s="82"/>
      <c r="CD48" s="91">
        <f>BZ48/4</f>
        <v>0</v>
      </c>
      <c r="CE48" s="82"/>
      <c r="CF48" s="91">
        <f>BZ48/4</f>
        <v>0</v>
      </c>
      <c r="CG48" s="82"/>
      <c r="CH48" s="91">
        <f>BZ48/4</f>
        <v>0</v>
      </c>
      <c r="CI48" s="91">
        <f>SUM(CK48+CM48+CO48+CQ48)</f>
        <v>0</v>
      </c>
      <c r="CJ48" s="82">
        <f>CJ50/CJ49</f>
        <v>0</v>
      </c>
      <c r="CK48" s="82"/>
      <c r="CL48" s="91">
        <f>CJ48/4</f>
        <v>0</v>
      </c>
      <c r="CM48" s="82"/>
      <c r="CN48" s="91">
        <f>CJ48/4</f>
        <v>0</v>
      </c>
      <c r="CO48" s="82"/>
      <c r="CP48" s="91">
        <f>CJ48/4</f>
        <v>0</v>
      </c>
      <c r="CQ48" s="82"/>
      <c r="CR48" s="91">
        <f>CJ48/4</f>
        <v>0</v>
      </c>
      <c r="CS48" s="91">
        <f>SUM(CU48+CW48+CY48+DA48)</f>
        <v>0</v>
      </c>
      <c r="CT48" s="82">
        <f>CT50/CT49</f>
        <v>0</v>
      </c>
      <c r="CU48" s="82"/>
      <c r="CV48" s="91">
        <f>CT48/4</f>
        <v>0</v>
      </c>
      <c r="CW48" s="82"/>
      <c r="CX48" s="91">
        <f>CT48/4</f>
        <v>0</v>
      </c>
      <c r="CY48" s="82"/>
      <c r="CZ48" s="91">
        <f>CT48/4</f>
        <v>0</v>
      </c>
      <c r="DA48" s="82"/>
      <c r="DB48" s="91">
        <f>CT48/4</f>
        <v>0</v>
      </c>
      <c r="DC48" s="91">
        <f>SUM(DE48+DG48+DI48+DK48)</f>
        <v>0</v>
      </c>
      <c r="DD48" s="82">
        <f>DD50/DD49</f>
        <v>0</v>
      </c>
      <c r="DE48" s="82"/>
      <c r="DF48" s="91">
        <f>DD48/4</f>
        <v>0</v>
      </c>
      <c r="DG48" s="82"/>
      <c r="DH48" s="91">
        <f>DD48/4</f>
        <v>0</v>
      </c>
      <c r="DI48" s="82"/>
      <c r="DJ48" s="91">
        <f>DD48/4</f>
        <v>0</v>
      </c>
      <c r="DK48" s="82"/>
      <c r="DL48" s="91">
        <f>DD48/4</f>
        <v>0</v>
      </c>
      <c r="DM48" s="91">
        <f>SUM(DO48+DQ48+DS48+DU48)</f>
        <v>0</v>
      </c>
      <c r="DN48" s="82">
        <f>DN50/DN49</f>
        <v>0</v>
      </c>
      <c r="DO48" s="119"/>
      <c r="DP48" s="120">
        <f>DN48/4</f>
        <v>0</v>
      </c>
      <c r="DQ48" s="121"/>
      <c r="DR48" s="120">
        <f>DN48/4</f>
        <v>0</v>
      </c>
      <c r="DS48" s="121"/>
      <c r="DT48" s="120">
        <f>DN48/4</f>
        <v>0</v>
      </c>
      <c r="DU48" s="121"/>
      <c r="DV48" s="120">
        <f>DN48/4</f>
        <v>0</v>
      </c>
    </row>
    <row r="49" ht="15.75" hidden="1" customHeight="1">
      <c r="A49" s="71"/>
      <c r="B49" s="110"/>
      <c r="C49" s="95" t="s">
        <v>96</v>
      </c>
      <c r="D49" s="91" t="str">
        <f t="shared" ref="D49:F49" si="194">D50/D48</f>
        <v>#DIV/0!</v>
      </c>
      <c r="E49" s="91" t="str">
        <f t="shared" si="194"/>
        <v>#DIV/0!</v>
      </c>
      <c r="F49" s="81" t="str">
        <f t="shared" si="194"/>
        <v>#DIV/0!</v>
      </c>
      <c r="G49" s="88">
        <v>0.6</v>
      </c>
      <c r="H49" s="61" t="s">
        <v>97</v>
      </c>
      <c r="I49" s="81" t="str">
        <f>I50/I48</f>
        <v>#DIV/0!</v>
      </c>
      <c r="J49" s="83">
        <f>G49</f>
        <v>0.6</v>
      </c>
      <c r="K49" s="81" t="str">
        <f>K50/K48</f>
        <v>#DIV/0!</v>
      </c>
      <c r="L49" s="83">
        <f>G49</f>
        <v>0.6</v>
      </c>
      <c r="M49" s="81" t="str">
        <f>M50/M48</f>
        <v>#DIV/0!</v>
      </c>
      <c r="N49" s="83">
        <f>G49</f>
        <v>0.6</v>
      </c>
      <c r="O49" s="81" t="str">
        <f>O50/O48</f>
        <v>#DIV/0!</v>
      </c>
      <c r="P49" s="83">
        <f>G49</f>
        <v>0.6</v>
      </c>
      <c r="Q49" s="81" t="str">
        <f>Q50/Q48</f>
        <v>#DIV/0!</v>
      </c>
      <c r="R49" s="88">
        <v>0.6</v>
      </c>
      <c r="S49" s="81" t="str">
        <f>S50/S48</f>
        <v>#DIV/0!</v>
      </c>
      <c r="T49" s="83">
        <f>R49</f>
        <v>0.6</v>
      </c>
      <c r="U49" s="81" t="str">
        <f>U50/U48</f>
        <v>#DIV/0!</v>
      </c>
      <c r="V49" s="83">
        <f>R49</f>
        <v>0.6</v>
      </c>
      <c r="W49" s="81" t="str">
        <f>W50/W48</f>
        <v>#DIV/0!</v>
      </c>
      <c r="X49" s="83">
        <f>R49</f>
        <v>0.6</v>
      </c>
      <c r="Y49" s="81" t="str">
        <f>Y50/Y48</f>
        <v>#DIV/0!</v>
      </c>
      <c r="Z49" s="83">
        <f>R49</f>
        <v>0.6</v>
      </c>
      <c r="AA49" s="81" t="str">
        <f>AA50/AA48</f>
        <v>#DIV/0!</v>
      </c>
      <c r="AB49" s="88">
        <v>0.6</v>
      </c>
      <c r="AC49" s="81" t="str">
        <f>AC50/AC48</f>
        <v>#DIV/0!</v>
      </c>
      <c r="AD49" s="83">
        <f>AB49</f>
        <v>0.6</v>
      </c>
      <c r="AE49" s="81" t="str">
        <f>AE50/AE48</f>
        <v>#DIV/0!</v>
      </c>
      <c r="AF49" s="83">
        <f>AB49</f>
        <v>0.6</v>
      </c>
      <c r="AG49" s="81" t="str">
        <f>AG50/AG48</f>
        <v>#DIV/0!</v>
      </c>
      <c r="AH49" s="83">
        <f>AB49</f>
        <v>0.6</v>
      </c>
      <c r="AI49" s="81" t="str">
        <f>AI50/AI48</f>
        <v>#DIV/0!</v>
      </c>
      <c r="AJ49" s="83">
        <f>AB49</f>
        <v>0.6</v>
      </c>
      <c r="AK49" s="81" t="str">
        <f>AK50/AK48</f>
        <v>#DIV/0!</v>
      </c>
      <c r="AL49" s="88">
        <v>0.6</v>
      </c>
      <c r="AM49" s="81" t="str">
        <f>AM50/AM48</f>
        <v>#DIV/0!</v>
      </c>
      <c r="AN49" s="83">
        <f>AL49</f>
        <v>0.6</v>
      </c>
      <c r="AO49" s="81" t="str">
        <f>AO50/AO48</f>
        <v>#DIV/0!</v>
      </c>
      <c r="AP49" s="83">
        <f>AL49</f>
        <v>0.6</v>
      </c>
      <c r="AQ49" s="81" t="str">
        <f>AQ50/AQ48</f>
        <v>#DIV/0!</v>
      </c>
      <c r="AR49" s="83">
        <f>AL49</f>
        <v>0.6</v>
      </c>
      <c r="AS49" s="81" t="str">
        <f>AS50/AS48</f>
        <v>#DIV/0!</v>
      </c>
      <c r="AT49" s="83">
        <f>AL49</f>
        <v>0.6</v>
      </c>
      <c r="AU49" s="81" t="str">
        <f>AU50/AU48</f>
        <v>#DIV/0!</v>
      </c>
      <c r="AV49" s="88">
        <v>0.6</v>
      </c>
      <c r="AW49" s="81" t="str">
        <f>AW50/AW48</f>
        <v>#DIV/0!</v>
      </c>
      <c r="AX49" s="83">
        <f>AV49</f>
        <v>0.6</v>
      </c>
      <c r="AY49" s="81" t="str">
        <f>AY50/AY48</f>
        <v>#DIV/0!</v>
      </c>
      <c r="AZ49" s="83">
        <f>AV49</f>
        <v>0.6</v>
      </c>
      <c r="BA49" s="81" t="str">
        <f>BA50/BA48</f>
        <v>#DIV/0!</v>
      </c>
      <c r="BB49" s="83">
        <f>AV49</f>
        <v>0.6</v>
      </c>
      <c r="BC49" s="81" t="str">
        <f>BC50/BC48</f>
        <v>#DIV/0!</v>
      </c>
      <c r="BD49" s="83">
        <f>AV49</f>
        <v>0.6</v>
      </c>
      <c r="BE49" s="81" t="str">
        <f>BE50/BE48</f>
        <v>#DIV/0!</v>
      </c>
      <c r="BF49" s="88">
        <v>0.6</v>
      </c>
      <c r="BG49" s="81" t="str">
        <f>BG50/BG48</f>
        <v>#DIV/0!</v>
      </c>
      <c r="BH49" s="83">
        <f>BF49</f>
        <v>0.6</v>
      </c>
      <c r="BI49" s="81" t="str">
        <f>BI50/BI48</f>
        <v>#DIV/0!</v>
      </c>
      <c r="BJ49" s="83">
        <f>BF49</f>
        <v>0.6</v>
      </c>
      <c r="BK49" s="81" t="str">
        <f>BK50/BK48</f>
        <v>#DIV/0!</v>
      </c>
      <c r="BL49" s="83">
        <f>BF49</f>
        <v>0.6</v>
      </c>
      <c r="BM49" s="81" t="str">
        <f>BM50/BM48</f>
        <v>#DIV/0!</v>
      </c>
      <c r="BN49" s="83">
        <f>BF49</f>
        <v>0.6</v>
      </c>
      <c r="BO49" s="81" t="str">
        <f>BO50/BO48</f>
        <v>#DIV/0!</v>
      </c>
      <c r="BP49" s="88">
        <v>0.6</v>
      </c>
      <c r="BQ49" s="81" t="str">
        <f>BQ50/BQ48</f>
        <v>#DIV/0!</v>
      </c>
      <c r="BR49" s="83">
        <f>BP49</f>
        <v>0.6</v>
      </c>
      <c r="BS49" s="81" t="str">
        <f>BS50/BS48</f>
        <v>#DIV/0!</v>
      </c>
      <c r="BT49" s="83">
        <f>BP49</f>
        <v>0.6</v>
      </c>
      <c r="BU49" s="81" t="str">
        <f>BU50/BU48</f>
        <v>#DIV/0!</v>
      </c>
      <c r="BV49" s="83">
        <f>BP49</f>
        <v>0.6</v>
      </c>
      <c r="BW49" s="81" t="str">
        <f>BW50/BW48</f>
        <v>#DIV/0!</v>
      </c>
      <c r="BX49" s="83">
        <f>BP49</f>
        <v>0.6</v>
      </c>
      <c r="BY49" s="81" t="str">
        <f>BY50/BY48</f>
        <v>#DIV/0!</v>
      </c>
      <c r="BZ49" s="88">
        <v>0.6</v>
      </c>
      <c r="CA49" s="81" t="str">
        <f>CA50/CA48</f>
        <v>#DIV/0!</v>
      </c>
      <c r="CB49" s="83">
        <f>BZ49</f>
        <v>0.6</v>
      </c>
      <c r="CC49" s="81" t="str">
        <f>CC50/CC48</f>
        <v>#DIV/0!</v>
      </c>
      <c r="CD49" s="83">
        <f>BZ49</f>
        <v>0.6</v>
      </c>
      <c r="CE49" s="81" t="str">
        <f>CE50/CE48</f>
        <v>#DIV/0!</v>
      </c>
      <c r="CF49" s="83">
        <f>BZ49</f>
        <v>0.6</v>
      </c>
      <c r="CG49" s="81" t="str">
        <f>CG50/CG48</f>
        <v>#DIV/0!</v>
      </c>
      <c r="CH49" s="83">
        <f>BZ49</f>
        <v>0.6</v>
      </c>
      <c r="CI49" s="81" t="str">
        <f>CI50/CI48</f>
        <v>#DIV/0!</v>
      </c>
      <c r="CJ49" s="88">
        <v>0.6</v>
      </c>
      <c r="CK49" s="81" t="str">
        <f>CK50/CK48</f>
        <v>#DIV/0!</v>
      </c>
      <c r="CL49" s="83">
        <f>CJ49</f>
        <v>0.6</v>
      </c>
      <c r="CM49" s="81" t="str">
        <f>CM50/CM48</f>
        <v>#DIV/0!</v>
      </c>
      <c r="CN49" s="83">
        <f>CJ49</f>
        <v>0.6</v>
      </c>
      <c r="CO49" s="81" t="str">
        <f>CO50/CO48</f>
        <v>#DIV/0!</v>
      </c>
      <c r="CP49" s="83">
        <f>CJ49</f>
        <v>0.6</v>
      </c>
      <c r="CQ49" s="81" t="str">
        <f>CQ50/CQ48</f>
        <v>#DIV/0!</v>
      </c>
      <c r="CR49" s="83">
        <f>CJ49</f>
        <v>0.6</v>
      </c>
      <c r="CS49" s="81" t="str">
        <f>CS50/CS48</f>
        <v>#DIV/0!</v>
      </c>
      <c r="CT49" s="88">
        <v>0.6</v>
      </c>
      <c r="CU49" s="81" t="str">
        <f>CU50/CU48</f>
        <v>#DIV/0!</v>
      </c>
      <c r="CV49" s="83">
        <f>CT49</f>
        <v>0.6</v>
      </c>
      <c r="CW49" s="81" t="str">
        <f>CW50/CW48</f>
        <v>#DIV/0!</v>
      </c>
      <c r="CX49" s="83">
        <f>CT49</f>
        <v>0.6</v>
      </c>
      <c r="CY49" s="81" t="str">
        <f>CY50/CY48</f>
        <v>#DIV/0!</v>
      </c>
      <c r="CZ49" s="83">
        <f>CT49</f>
        <v>0.6</v>
      </c>
      <c r="DA49" s="81" t="str">
        <f>DA50/DA48</f>
        <v>#DIV/0!</v>
      </c>
      <c r="DB49" s="83">
        <f>CT49</f>
        <v>0.6</v>
      </c>
      <c r="DC49" s="81" t="str">
        <f>DC50/DC48</f>
        <v>#DIV/0!</v>
      </c>
      <c r="DD49" s="88">
        <v>0.6</v>
      </c>
      <c r="DE49" s="81" t="str">
        <f>DE50/DE48</f>
        <v>#DIV/0!</v>
      </c>
      <c r="DF49" s="83">
        <f>DD49</f>
        <v>0.6</v>
      </c>
      <c r="DG49" s="81" t="str">
        <f>DG50/DG48</f>
        <v>#DIV/0!</v>
      </c>
      <c r="DH49" s="83">
        <f>DD49</f>
        <v>0.6</v>
      </c>
      <c r="DI49" s="81" t="str">
        <f>DI50/DI48</f>
        <v>#DIV/0!</v>
      </c>
      <c r="DJ49" s="83">
        <f>DD49</f>
        <v>0.6</v>
      </c>
      <c r="DK49" s="81" t="str">
        <f>DK50/DK48</f>
        <v>#DIV/0!</v>
      </c>
      <c r="DL49" s="83">
        <f>DD49</f>
        <v>0.6</v>
      </c>
      <c r="DM49" s="81" t="str">
        <f>DM50/DM48</f>
        <v>#DIV/0!</v>
      </c>
      <c r="DN49" s="88">
        <v>0.6</v>
      </c>
      <c r="DO49" s="65" t="str">
        <f>DO50/DO48</f>
        <v>#DIV/0!</v>
      </c>
      <c r="DP49" s="90">
        <f>DN49</f>
        <v>0.6</v>
      </c>
      <c r="DQ49" s="65" t="str">
        <f>DQ50/DQ48</f>
        <v>#DIV/0!</v>
      </c>
      <c r="DR49" s="90">
        <f>DN49</f>
        <v>0.6</v>
      </c>
      <c r="DS49" s="65" t="str">
        <f>DS50/DS48</f>
        <v>#DIV/0!</v>
      </c>
      <c r="DT49" s="90">
        <f>DN49</f>
        <v>0.6</v>
      </c>
      <c r="DU49" s="65" t="str">
        <f>DU50/DU48</f>
        <v>#DIV/0!</v>
      </c>
      <c r="DV49" s="90">
        <f>DN49</f>
        <v>0.6</v>
      </c>
    </row>
    <row r="50" ht="15.75" hidden="1" customHeight="1">
      <c r="A50" s="35"/>
      <c r="B50" s="110"/>
      <c r="C50" s="78" t="s">
        <v>98</v>
      </c>
      <c r="D50" s="91">
        <f t="shared" ref="D50:E50" si="195">SUM(F50+Q50+AA50+AK50+AU50+BE50+BO50+BY50+CI50+CS50+DC50+DM50)</f>
        <v>0</v>
      </c>
      <c r="E50" s="91">
        <f t="shared" si="195"/>
        <v>0</v>
      </c>
      <c r="F50" s="81">
        <f>SUM(I50+K50+M50+O50)</f>
        <v>0</v>
      </c>
      <c r="G50" s="82">
        <f>G52/G51</f>
        <v>0</v>
      </c>
      <c r="H50" s="61" t="str">
        <f>G50/F50</f>
        <v>#DIV/0!</v>
      </c>
      <c r="I50" s="83"/>
      <c r="J50" s="79">
        <f>G50/4</f>
        <v>0</v>
      </c>
      <c r="K50" s="83"/>
      <c r="L50" s="79">
        <f>G50/4</f>
        <v>0</v>
      </c>
      <c r="M50" s="83"/>
      <c r="N50" s="79">
        <f>G50/4</f>
        <v>0</v>
      </c>
      <c r="O50" s="83"/>
      <c r="P50" s="79">
        <f>G50/4</f>
        <v>0</v>
      </c>
      <c r="Q50" s="79">
        <f>SUM(S50+U50+W50+Y50)</f>
        <v>0</v>
      </c>
      <c r="R50" s="82">
        <f>R52/R51</f>
        <v>0</v>
      </c>
      <c r="S50" s="84"/>
      <c r="T50" s="79">
        <f>R50/4</f>
        <v>0</v>
      </c>
      <c r="U50" s="84"/>
      <c r="V50" s="79">
        <f>R50/4</f>
        <v>0</v>
      </c>
      <c r="W50" s="84"/>
      <c r="X50" s="79">
        <f>R50/4</f>
        <v>0</v>
      </c>
      <c r="Y50" s="84"/>
      <c r="Z50" s="79">
        <f>R50/4</f>
        <v>0</v>
      </c>
      <c r="AA50" s="79">
        <f>SUM(AC50+AE50+AG50+AI50)</f>
        <v>0</v>
      </c>
      <c r="AB50" s="82">
        <f>AB52/AB51</f>
        <v>0</v>
      </c>
      <c r="AC50" s="84"/>
      <c r="AD50" s="79">
        <f>AB50/4</f>
        <v>0</v>
      </c>
      <c r="AE50" s="84"/>
      <c r="AF50" s="79">
        <f>AB50/4</f>
        <v>0</v>
      </c>
      <c r="AG50" s="84"/>
      <c r="AH50" s="79">
        <f>AB50/4</f>
        <v>0</v>
      </c>
      <c r="AI50" s="84"/>
      <c r="AJ50" s="79">
        <f>AB50/4</f>
        <v>0</v>
      </c>
      <c r="AK50" s="79">
        <f>SUM(AM50+AO50+AQ50+AS50)</f>
        <v>0</v>
      </c>
      <c r="AL50" s="82">
        <f>AL52/AL51</f>
        <v>0</v>
      </c>
      <c r="AM50" s="84"/>
      <c r="AN50" s="79">
        <f>AL50/4</f>
        <v>0</v>
      </c>
      <c r="AO50" s="84"/>
      <c r="AP50" s="79">
        <f>AL50/4</f>
        <v>0</v>
      </c>
      <c r="AQ50" s="84"/>
      <c r="AR50" s="79">
        <f>AL50/4</f>
        <v>0</v>
      </c>
      <c r="AS50" s="84"/>
      <c r="AT50" s="79">
        <f>AL50/4</f>
        <v>0</v>
      </c>
      <c r="AU50" s="79">
        <f>SUM(AW50+AY50+BA50+BC50)</f>
        <v>0</v>
      </c>
      <c r="AV50" s="82">
        <f>AV52/AV51</f>
        <v>0</v>
      </c>
      <c r="AW50" s="84"/>
      <c r="AX50" s="79">
        <f>AV50/4</f>
        <v>0</v>
      </c>
      <c r="AY50" s="84"/>
      <c r="AZ50" s="79">
        <f>AV50/4</f>
        <v>0</v>
      </c>
      <c r="BA50" s="84"/>
      <c r="BB50" s="79">
        <f>AV50/4</f>
        <v>0</v>
      </c>
      <c r="BC50" s="84"/>
      <c r="BD50" s="79">
        <f>AV50/4</f>
        <v>0</v>
      </c>
      <c r="BE50" s="79">
        <f>SUM(BG50+BI50+BK50+BM50)</f>
        <v>0</v>
      </c>
      <c r="BF50" s="82">
        <f>BF52/BF51</f>
        <v>0</v>
      </c>
      <c r="BG50" s="84"/>
      <c r="BH50" s="79">
        <f>BF50/4</f>
        <v>0</v>
      </c>
      <c r="BI50" s="84"/>
      <c r="BJ50" s="79">
        <f>BF50/4</f>
        <v>0</v>
      </c>
      <c r="BK50" s="84"/>
      <c r="BL50" s="79">
        <f>BF50/4</f>
        <v>0</v>
      </c>
      <c r="BM50" s="84"/>
      <c r="BN50" s="79">
        <f>BF50/4</f>
        <v>0</v>
      </c>
      <c r="BO50" s="79">
        <f>SUM(BQ50+BS50+BU50+BW50)</f>
        <v>0</v>
      </c>
      <c r="BP50" s="82">
        <f>BP52/BP51</f>
        <v>0</v>
      </c>
      <c r="BQ50" s="84"/>
      <c r="BR50" s="79">
        <f>BP50/4</f>
        <v>0</v>
      </c>
      <c r="BS50" s="84"/>
      <c r="BT50" s="79">
        <f>BP50/4</f>
        <v>0</v>
      </c>
      <c r="BU50" s="84"/>
      <c r="BV50" s="79">
        <f>BP50/4</f>
        <v>0</v>
      </c>
      <c r="BW50" s="84"/>
      <c r="BX50" s="79">
        <f>BP50/4</f>
        <v>0</v>
      </c>
      <c r="BY50" s="79">
        <f>SUM(CA50+CC50+CE50+CG50)</f>
        <v>0</v>
      </c>
      <c r="BZ50" s="82">
        <f>BZ52/BZ51</f>
        <v>0</v>
      </c>
      <c r="CA50" s="84"/>
      <c r="CB50" s="79">
        <f>BZ50/4</f>
        <v>0</v>
      </c>
      <c r="CC50" s="84"/>
      <c r="CD50" s="79">
        <f>BZ50/4</f>
        <v>0</v>
      </c>
      <c r="CE50" s="84"/>
      <c r="CF50" s="79">
        <f>BZ50/4</f>
        <v>0</v>
      </c>
      <c r="CG50" s="84"/>
      <c r="CH50" s="79">
        <f>BZ50/4</f>
        <v>0</v>
      </c>
      <c r="CI50" s="79">
        <f>SUM(CK50+CM50+CO50+CQ50)</f>
        <v>0</v>
      </c>
      <c r="CJ50" s="82">
        <f>CJ52/CJ51</f>
        <v>0</v>
      </c>
      <c r="CK50" s="84"/>
      <c r="CL50" s="79">
        <f>CJ50/4</f>
        <v>0</v>
      </c>
      <c r="CM50" s="84"/>
      <c r="CN50" s="79">
        <f>CJ50/4</f>
        <v>0</v>
      </c>
      <c r="CO50" s="84"/>
      <c r="CP50" s="79">
        <f>CJ50/4</f>
        <v>0</v>
      </c>
      <c r="CQ50" s="84"/>
      <c r="CR50" s="79">
        <f>CJ50/4</f>
        <v>0</v>
      </c>
      <c r="CS50" s="79">
        <f>SUM(CU50+CW50+CY50+DA50)</f>
        <v>0</v>
      </c>
      <c r="CT50" s="82">
        <f>CT52/CT51</f>
        <v>0</v>
      </c>
      <c r="CU50" s="84"/>
      <c r="CV50" s="79">
        <f>CT50/4</f>
        <v>0</v>
      </c>
      <c r="CW50" s="84"/>
      <c r="CX50" s="79">
        <f>CT50/4</f>
        <v>0</v>
      </c>
      <c r="CY50" s="84"/>
      <c r="CZ50" s="79">
        <f>CT50/4</f>
        <v>0</v>
      </c>
      <c r="DA50" s="84"/>
      <c r="DB50" s="79">
        <f>CT50/4</f>
        <v>0</v>
      </c>
      <c r="DC50" s="79">
        <f>SUM(DE50+DG50+DI50+DK50)</f>
        <v>0</v>
      </c>
      <c r="DD50" s="82">
        <f>DD52/DD51</f>
        <v>0</v>
      </c>
      <c r="DE50" s="84"/>
      <c r="DF50" s="79">
        <f>DD50/4</f>
        <v>0</v>
      </c>
      <c r="DG50" s="84"/>
      <c r="DH50" s="79">
        <f>DD50/4</f>
        <v>0</v>
      </c>
      <c r="DI50" s="84"/>
      <c r="DJ50" s="79">
        <f>DD50/4</f>
        <v>0</v>
      </c>
      <c r="DK50" s="84"/>
      <c r="DL50" s="79">
        <f>DD50/4</f>
        <v>0</v>
      </c>
      <c r="DM50" s="79">
        <f>SUM(DO50+DQ50+DS50+DU50)</f>
        <v>0</v>
      </c>
      <c r="DN50" s="82">
        <f>DN52/DN51</f>
        <v>0</v>
      </c>
      <c r="DO50" s="92"/>
      <c r="DP50" s="62">
        <f>DN50/4</f>
        <v>0</v>
      </c>
      <c r="DQ50" s="92"/>
      <c r="DR50" s="62">
        <f>DN50/4</f>
        <v>0</v>
      </c>
      <c r="DS50" s="92"/>
      <c r="DT50" s="62">
        <f>DN50/4</f>
        <v>0</v>
      </c>
      <c r="DU50" s="92"/>
      <c r="DV50" s="62">
        <f>DN50/4</f>
        <v>0</v>
      </c>
    </row>
    <row r="51" ht="15.75" hidden="1" customHeight="1">
      <c r="A51" s="35"/>
      <c r="B51" s="110"/>
      <c r="C51" s="111" t="s">
        <v>99</v>
      </c>
      <c r="D51" s="91" t="str">
        <f t="shared" ref="D51:F51" si="196">D52/D50</f>
        <v>#DIV/0!</v>
      </c>
      <c r="E51" s="91" t="str">
        <f t="shared" si="196"/>
        <v>#DIV/0!</v>
      </c>
      <c r="F51" s="81" t="str">
        <f t="shared" si="196"/>
        <v>#DIV/0!</v>
      </c>
      <c r="G51" s="88">
        <v>0.4</v>
      </c>
      <c r="H51" s="61" t="s">
        <v>97</v>
      </c>
      <c r="I51" s="81" t="str">
        <f>I52/I50</f>
        <v>#DIV/0!</v>
      </c>
      <c r="J51" s="83">
        <f>G51</f>
        <v>0.4</v>
      </c>
      <c r="K51" s="81" t="str">
        <f>K52/K50</f>
        <v>#DIV/0!</v>
      </c>
      <c r="L51" s="83">
        <f>G51</f>
        <v>0.4</v>
      </c>
      <c r="M51" s="81" t="str">
        <f>M52/M50</f>
        <v>#DIV/0!</v>
      </c>
      <c r="N51" s="83">
        <f>G51</f>
        <v>0.4</v>
      </c>
      <c r="O51" s="81" t="str">
        <f>O52/O50</f>
        <v>#DIV/0!</v>
      </c>
      <c r="P51" s="83">
        <f>G51</f>
        <v>0.4</v>
      </c>
      <c r="Q51" s="81" t="str">
        <f>Q52/Q50</f>
        <v>#DIV/0!</v>
      </c>
      <c r="R51" s="88">
        <v>0.4</v>
      </c>
      <c r="S51" s="81" t="str">
        <f>S52/S50</f>
        <v>#DIV/0!</v>
      </c>
      <c r="T51" s="83">
        <f>R51</f>
        <v>0.4</v>
      </c>
      <c r="U51" s="81" t="str">
        <f>U52/U50</f>
        <v>#DIV/0!</v>
      </c>
      <c r="V51" s="83">
        <f>R51</f>
        <v>0.4</v>
      </c>
      <c r="W51" s="81" t="str">
        <f>W52/W50</f>
        <v>#DIV/0!</v>
      </c>
      <c r="X51" s="83">
        <f>R51</f>
        <v>0.4</v>
      </c>
      <c r="Y51" s="81" t="str">
        <f>Y52/Y50</f>
        <v>#DIV/0!</v>
      </c>
      <c r="Z51" s="83">
        <f>R51</f>
        <v>0.4</v>
      </c>
      <c r="AA51" s="81" t="str">
        <f>AA52/AA50</f>
        <v>#DIV/0!</v>
      </c>
      <c r="AB51" s="88">
        <v>0.4</v>
      </c>
      <c r="AC51" s="81" t="str">
        <f>AC52/AC50</f>
        <v>#DIV/0!</v>
      </c>
      <c r="AD51" s="83">
        <f>AB51</f>
        <v>0.4</v>
      </c>
      <c r="AE51" s="81" t="str">
        <f>AE52/AE50</f>
        <v>#DIV/0!</v>
      </c>
      <c r="AF51" s="83">
        <f>AB51</f>
        <v>0.4</v>
      </c>
      <c r="AG51" s="81" t="str">
        <f>AG52/AG50</f>
        <v>#DIV/0!</v>
      </c>
      <c r="AH51" s="83">
        <f>AB51</f>
        <v>0.4</v>
      </c>
      <c r="AI51" s="81" t="str">
        <f>AI52/AI50</f>
        <v>#DIV/0!</v>
      </c>
      <c r="AJ51" s="83">
        <f>AB51</f>
        <v>0.4</v>
      </c>
      <c r="AK51" s="81" t="str">
        <f>AK52/AK50</f>
        <v>#DIV/0!</v>
      </c>
      <c r="AL51" s="88">
        <v>0.4</v>
      </c>
      <c r="AM51" s="81" t="str">
        <f>AM52/AM50</f>
        <v>#DIV/0!</v>
      </c>
      <c r="AN51" s="83">
        <f>AL51</f>
        <v>0.4</v>
      </c>
      <c r="AO51" s="81" t="str">
        <f>AO52/AO50</f>
        <v>#DIV/0!</v>
      </c>
      <c r="AP51" s="83">
        <f>AL51</f>
        <v>0.4</v>
      </c>
      <c r="AQ51" s="81" t="str">
        <f>AQ52/AQ50</f>
        <v>#DIV/0!</v>
      </c>
      <c r="AR51" s="83">
        <f>AL51</f>
        <v>0.4</v>
      </c>
      <c r="AS51" s="81" t="str">
        <f>AS52/AS50</f>
        <v>#DIV/0!</v>
      </c>
      <c r="AT51" s="83">
        <f>AL51</f>
        <v>0.4</v>
      </c>
      <c r="AU51" s="81" t="str">
        <f>AU52/AU50</f>
        <v>#DIV/0!</v>
      </c>
      <c r="AV51" s="88">
        <v>0.4</v>
      </c>
      <c r="AW51" s="81" t="str">
        <f>AW52/AW50</f>
        <v>#DIV/0!</v>
      </c>
      <c r="AX51" s="83">
        <f>AV51</f>
        <v>0.4</v>
      </c>
      <c r="AY51" s="81" t="str">
        <f>AY52/AY50</f>
        <v>#DIV/0!</v>
      </c>
      <c r="AZ51" s="83">
        <f>AV51</f>
        <v>0.4</v>
      </c>
      <c r="BA51" s="81" t="str">
        <f>BA52/BA50</f>
        <v>#DIV/0!</v>
      </c>
      <c r="BB51" s="83">
        <f>AV51</f>
        <v>0.4</v>
      </c>
      <c r="BC51" s="81" t="str">
        <f>BC52/BC50</f>
        <v>#DIV/0!</v>
      </c>
      <c r="BD51" s="83">
        <f>AV51</f>
        <v>0.4</v>
      </c>
      <c r="BE51" s="81" t="str">
        <f>BE52/BE50</f>
        <v>#DIV/0!</v>
      </c>
      <c r="BF51" s="88">
        <v>0.4</v>
      </c>
      <c r="BG51" s="81" t="str">
        <f>BG52/BG50</f>
        <v>#DIV/0!</v>
      </c>
      <c r="BH51" s="83">
        <f>BF51</f>
        <v>0.4</v>
      </c>
      <c r="BI51" s="81" t="str">
        <f>BI52/BI50</f>
        <v>#DIV/0!</v>
      </c>
      <c r="BJ51" s="83">
        <f>BF51</f>
        <v>0.4</v>
      </c>
      <c r="BK51" s="81" t="str">
        <f>BK52/BK50</f>
        <v>#DIV/0!</v>
      </c>
      <c r="BL51" s="83">
        <f>BF51</f>
        <v>0.4</v>
      </c>
      <c r="BM51" s="81" t="str">
        <f>BM52/BM50</f>
        <v>#DIV/0!</v>
      </c>
      <c r="BN51" s="83">
        <f>BF51</f>
        <v>0.4</v>
      </c>
      <c r="BO51" s="81" t="str">
        <f>BO52/BO50</f>
        <v>#DIV/0!</v>
      </c>
      <c r="BP51" s="88">
        <v>0.4</v>
      </c>
      <c r="BQ51" s="81" t="str">
        <f>BQ52/BQ50</f>
        <v>#DIV/0!</v>
      </c>
      <c r="BR51" s="83">
        <f>BP51</f>
        <v>0.4</v>
      </c>
      <c r="BS51" s="81" t="str">
        <f>BS52/BS50</f>
        <v>#DIV/0!</v>
      </c>
      <c r="BT51" s="83">
        <f>BP51</f>
        <v>0.4</v>
      </c>
      <c r="BU51" s="81" t="str">
        <f>BU52/BU50</f>
        <v>#DIV/0!</v>
      </c>
      <c r="BV51" s="83">
        <f>BP51</f>
        <v>0.4</v>
      </c>
      <c r="BW51" s="81" t="str">
        <f>BW52/BW50</f>
        <v>#DIV/0!</v>
      </c>
      <c r="BX51" s="83">
        <f>BP51</f>
        <v>0.4</v>
      </c>
      <c r="BY51" s="81" t="str">
        <f>BY52/BY50</f>
        <v>#DIV/0!</v>
      </c>
      <c r="BZ51" s="88">
        <v>0.4</v>
      </c>
      <c r="CA51" s="81" t="str">
        <f>CA52/CA50</f>
        <v>#DIV/0!</v>
      </c>
      <c r="CB51" s="83">
        <f>BZ51</f>
        <v>0.4</v>
      </c>
      <c r="CC51" s="81" t="str">
        <f>CC52/CC50</f>
        <v>#DIV/0!</v>
      </c>
      <c r="CD51" s="83">
        <f>BZ51</f>
        <v>0.4</v>
      </c>
      <c r="CE51" s="81" t="str">
        <f>CE52/CE50</f>
        <v>#DIV/0!</v>
      </c>
      <c r="CF51" s="83">
        <f>BZ51</f>
        <v>0.4</v>
      </c>
      <c r="CG51" s="81" t="str">
        <f>CG52/CG50</f>
        <v>#DIV/0!</v>
      </c>
      <c r="CH51" s="83">
        <f>BZ51</f>
        <v>0.4</v>
      </c>
      <c r="CI51" s="81" t="str">
        <f>CI52/CI50</f>
        <v>#DIV/0!</v>
      </c>
      <c r="CJ51" s="88">
        <v>0.4</v>
      </c>
      <c r="CK51" s="81" t="str">
        <f>CK52/CK50</f>
        <v>#DIV/0!</v>
      </c>
      <c r="CL51" s="83">
        <f>CJ51</f>
        <v>0.4</v>
      </c>
      <c r="CM51" s="81" t="str">
        <f>CM52/CM50</f>
        <v>#DIV/0!</v>
      </c>
      <c r="CN51" s="83">
        <f>CJ51</f>
        <v>0.4</v>
      </c>
      <c r="CO51" s="81" t="str">
        <f>CO52/CO50</f>
        <v>#DIV/0!</v>
      </c>
      <c r="CP51" s="83">
        <f>CJ51</f>
        <v>0.4</v>
      </c>
      <c r="CQ51" s="81" t="str">
        <f>CQ52/CQ50</f>
        <v>#DIV/0!</v>
      </c>
      <c r="CR51" s="83">
        <f>CJ51</f>
        <v>0.4</v>
      </c>
      <c r="CS51" s="81" t="str">
        <f>CS52/CS50</f>
        <v>#DIV/0!</v>
      </c>
      <c r="CT51" s="88">
        <v>0.4</v>
      </c>
      <c r="CU51" s="81" t="str">
        <f>CU52/CU50</f>
        <v>#DIV/0!</v>
      </c>
      <c r="CV51" s="83">
        <f>CT51</f>
        <v>0.4</v>
      </c>
      <c r="CW51" s="81" t="str">
        <f>CW52/CW50</f>
        <v>#DIV/0!</v>
      </c>
      <c r="CX51" s="83">
        <f>CT51</f>
        <v>0.4</v>
      </c>
      <c r="CY51" s="81" t="str">
        <f>CY52/CY50</f>
        <v>#DIV/0!</v>
      </c>
      <c r="CZ51" s="83">
        <f>CT51</f>
        <v>0.4</v>
      </c>
      <c r="DA51" s="81" t="str">
        <f>DA52/DA50</f>
        <v>#DIV/0!</v>
      </c>
      <c r="DB51" s="83">
        <f>CT51</f>
        <v>0.4</v>
      </c>
      <c r="DC51" s="81" t="str">
        <f>DC52/DC50</f>
        <v>#DIV/0!</v>
      </c>
      <c r="DD51" s="88">
        <v>0.4</v>
      </c>
      <c r="DE51" s="81" t="str">
        <f>DE52/DE50</f>
        <v>#DIV/0!</v>
      </c>
      <c r="DF51" s="83">
        <f>DD51</f>
        <v>0.4</v>
      </c>
      <c r="DG51" s="81" t="str">
        <f>DG52/DG50</f>
        <v>#DIV/0!</v>
      </c>
      <c r="DH51" s="83">
        <f>DD51</f>
        <v>0.4</v>
      </c>
      <c r="DI51" s="81" t="str">
        <f>DI52/DI50</f>
        <v>#DIV/0!</v>
      </c>
      <c r="DJ51" s="83">
        <f>DD51</f>
        <v>0.4</v>
      </c>
      <c r="DK51" s="81" t="str">
        <f>DK52/DK50</f>
        <v>#DIV/0!</v>
      </c>
      <c r="DL51" s="83">
        <f>DD51</f>
        <v>0.4</v>
      </c>
      <c r="DM51" s="81" t="str">
        <f>DM52/DM50</f>
        <v>#DIV/0!</v>
      </c>
      <c r="DN51" s="88">
        <v>0.4</v>
      </c>
      <c r="DO51" s="66" t="str">
        <f>DO52/DO50</f>
        <v>#DIV/0!</v>
      </c>
      <c r="DP51" s="90">
        <f>DN51</f>
        <v>0.4</v>
      </c>
      <c r="DQ51" s="66" t="str">
        <f>DQ52/DQ50</f>
        <v>#DIV/0!</v>
      </c>
      <c r="DR51" s="93">
        <f>DN51</f>
        <v>0.4</v>
      </c>
      <c r="DS51" s="66" t="str">
        <f>DS52/DS50</f>
        <v>#DIV/0!</v>
      </c>
      <c r="DT51" s="93">
        <f>DN51</f>
        <v>0.4</v>
      </c>
      <c r="DU51" s="66" t="str">
        <f>DU52/DU50</f>
        <v>#DIV/0!</v>
      </c>
      <c r="DV51" s="93">
        <f>DN51</f>
        <v>0.4</v>
      </c>
    </row>
    <row r="52" ht="15.75" hidden="1" customHeight="1">
      <c r="A52" s="35"/>
      <c r="B52" s="110"/>
      <c r="C52" s="78" t="s">
        <v>100</v>
      </c>
      <c r="D52" s="91">
        <f t="shared" ref="D52:E52" si="197">SUM(F52+Q52+AA52+AK52+AU52+BE52+BO52+BY52+CI52+CS52+DC52+DM52)</f>
        <v>0</v>
      </c>
      <c r="E52" s="91">
        <f t="shared" si="197"/>
        <v>0</v>
      </c>
      <c r="F52" s="81">
        <f>SUM(I52+K52+M52+O52)</f>
        <v>0</v>
      </c>
      <c r="G52" s="82">
        <f>G54/G53</f>
        <v>0</v>
      </c>
      <c r="H52" s="61" t="str">
        <f>G52/F52</f>
        <v>#DIV/0!</v>
      </c>
      <c r="I52" s="122"/>
      <c r="J52" s="79">
        <f>G52/4</f>
        <v>0</v>
      </c>
      <c r="K52" s="122"/>
      <c r="L52" s="79">
        <f>G52/4</f>
        <v>0</v>
      </c>
      <c r="M52" s="123"/>
      <c r="N52" s="79">
        <f>G52/4</f>
        <v>0</v>
      </c>
      <c r="O52" s="123"/>
      <c r="P52" s="79">
        <f>G52/4</f>
        <v>0</v>
      </c>
      <c r="Q52" s="79">
        <f>SUM(S52+U52+W52+Y52)</f>
        <v>0</v>
      </c>
      <c r="R52" s="82">
        <f>R54/R53</f>
        <v>0</v>
      </c>
      <c r="S52" s="122"/>
      <c r="T52" s="79">
        <f>R52/4</f>
        <v>0</v>
      </c>
      <c r="U52" s="122"/>
      <c r="V52" s="79">
        <f>R52/4</f>
        <v>0</v>
      </c>
      <c r="W52" s="123"/>
      <c r="X52" s="79">
        <f>R52/4</f>
        <v>0</v>
      </c>
      <c r="Y52" s="123"/>
      <c r="Z52" s="79">
        <f>R52/4</f>
        <v>0</v>
      </c>
      <c r="AA52" s="79">
        <f>SUM(AC52+AE52+AG52+AI52)</f>
        <v>0</v>
      </c>
      <c r="AB52" s="82">
        <f>AB54/AB53</f>
        <v>0</v>
      </c>
      <c r="AC52" s="122"/>
      <c r="AD52" s="79">
        <f>AB52/4</f>
        <v>0</v>
      </c>
      <c r="AE52" s="122"/>
      <c r="AF52" s="79">
        <f>AB52/4</f>
        <v>0</v>
      </c>
      <c r="AG52" s="123"/>
      <c r="AH52" s="79">
        <f>AB52/4</f>
        <v>0</v>
      </c>
      <c r="AI52" s="123"/>
      <c r="AJ52" s="79">
        <f>AB52/4</f>
        <v>0</v>
      </c>
      <c r="AK52" s="79">
        <f>SUM(AM52+AO52+AQ52+AS52)</f>
        <v>0</v>
      </c>
      <c r="AL52" s="82">
        <f>AL54/AL53</f>
        <v>0</v>
      </c>
      <c r="AM52" s="122"/>
      <c r="AN52" s="79">
        <f>AL52/4</f>
        <v>0</v>
      </c>
      <c r="AO52" s="122"/>
      <c r="AP52" s="79">
        <f>AL52/4</f>
        <v>0</v>
      </c>
      <c r="AQ52" s="123"/>
      <c r="AR52" s="79">
        <f>AL52/4</f>
        <v>0</v>
      </c>
      <c r="AS52" s="123"/>
      <c r="AT52" s="79">
        <f>AL52/4</f>
        <v>0</v>
      </c>
      <c r="AU52" s="79">
        <f>SUM(AW52+AY52+BA52+BC52)</f>
        <v>0</v>
      </c>
      <c r="AV52" s="82">
        <f>AV54/AV53</f>
        <v>0</v>
      </c>
      <c r="AW52" s="122"/>
      <c r="AX52" s="79">
        <f>AV52/4</f>
        <v>0</v>
      </c>
      <c r="AY52" s="122"/>
      <c r="AZ52" s="79">
        <f>AV52/4</f>
        <v>0</v>
      </c>
      <c r="BA52" s="123"/>
      <c r="BB52" s="79">
        <f>AV52/4</f>
        <v>0</v>
      </c>
      <c r="BC52" s="123"/>
      <c r="BD52" s="79">
        <f>AV52/4</f>
        <v>0</v>
      </c>
      <c r="BE52" s="79">
        <f>SUM(BG52+BI52+BK52+BM52)</f>
        <v>0</v>
      </c>
      <c r="BF52" s="82">
        <f>BF54/BF53</f>
        <v>0</v>
      </c>
      <c r="BG52" s="122"/>
      <c r="BH52" s="79">
        <f>BF52/4</f>
        <v>0</v>
      </c>
      <c r="BI52" s="122"/>
      <c r="BJ52" s="79">
        <f>BF52/4</f>
        <v>0</v>
      </c>
      <c r="BK52" s="123"/>
      <c r="BL52" s="79">
        <f>BF52/4</f>
        <v>0</v>
      </c>
      <c r="BM52" s="123"/>
      <c r="BN52" s="79">
        <f>BF52/4</f>
        <v>0</v>
      </c>
      <c r="BO52" s="79">
        <f>SUM(BQ52+BS52+BU52+BW52)</f>
        <v>0</v>
      </c>
      <c r="BP52" s="82">
        <f>BP54/BP53</f>
        <v>0</v>
      </c>
      <c r="BQ52" s="122"/>
      <c r="BR52" s="79">
        <f>BP52/4</f>
        <v>0</v>
      </c>
      <c r="BS52" s="122"/>
      <c r="BT52" s="79">
        <f>BP52/4</f>
        <v>0</v>
      </c>
      <c r="BU52" s="123"/>
      <c r="BV52" s="79">
        <f>BP52/4</f>
        <v>0</v>
      </c>
      <c r="BW52" s="123"/>
      <c r="BX52" s="79">
        <f>BP52/4</f>
        <v>0</v>
      </c>
      <c r="BY52" s="79">
        <f>SUM(CA52+CC52+CE52+CG52)</f>
        <v>0</v>
      </c>
      <c r="BZ52" s="82">
        <f>BZ54/BZ53</f>
        <v>0</v>
      </c>
      <c r="CA52" s="122"/>
      <c r="CB52" s="79">
        <f>BZ52/4</f>
        <v>0</v>
      </c>
      <c r="CC52" s="122"/>
      <c r="CD52" s="79">
        <f>BZ52/4</f>
        <v>0</v>
      </c>
      <c r="CE52" s="123"/>
      <c r="CF52" s="79">
        <f>BZ52/4</f>
        <v>0</v>
      </c>
      <c r="CG52" s="123"/>
      <c r="CH52" s="79">
        <f>BZ52/4</f>
        <v>0</v>
      </c>
      <c r="CI52" s="79">
        <f>SUM(CK52+CM52+CO52+CQ52)</f>
        <v>0</v>
      </c>
      <c r="CJ52" s="82">
        <f>CJ54/CJ53</f>
        <v>0</v>
      </c>
      <c r="CK52" s="122"/>
      <c r="CL52" s="79">
        <f>CJ52/4</f>
        <v>0</v>
      </c>
      <c r="CM52" s="122"/>
      <c r="CN52" s="79">
        <f>CJ52/4</f>
        <v>0</v>
      </c>
      <c r="CO52" s="123"/>
      <c r="CP52" s="79">
        <f>CJ52/4</f>
        <v>0</v>
      </c>
      <c r="CQ52" s="123"/>
      <c r="CR52" s="79">
        <f>CJ52/4</f>
        <v>0</v>
      </c>
      <c r="CS52" s="79">
        <f>SUM(CU52+CW52+CY52+DA52)</f>
        <v>0</v>
      </c>
      <c r="CT52" s="82">
        <f>CT54/CT53</f>
        <v>0</v>
      </c>
      <c r="CU52" s="122"/>
      <c r="CV52" s="79">
        <f>CT52/4</f>
        <v>0</v>
      </c>
      <c r="CW52" s="122"/>
      <c r="CX52" s="79">
        <f>CT52/4</f>
        <v>0</v>
      </c>
      <c r="CY52" s="123"/>
      <c r="CZ52" s="79">
        <f>CT52/4</f>
        <v>0</v>
      </c>
      <c r="DA52" s="123"/>
      <c r="DB52" s="79">
        <f>CT52/4</f>
        <v>0</v>
      </c>
      <c r="DC52" s="79">
        <f>SUM(DE52+DG52+DI52+DK52)</f>
        <v>0</v>
      </c>
      <c r="DD52" s="82">
        <f>DD54/DD53</f>
        <v>0</v>
      </c>
      <c r="DE52" s="122"/>
      <c r="DF52" s="79">
        <f>DD52/4</f>
        <v>0</v>
      </c>
      <c r="DG52" s="122"/>
      <c r="DH52" s="79">
        <f>DD52/4</f>
        <v>0</v>
      </c>
      <c r="DI52" s="123"/>
      <c r="DJ52" s="79">
        <f>DD52/4</f>
        <v>0</v>
      </c>
      <c r="DK52" s="123"/>
      <c r="DL52" s="79">
        <f>DD52/4</f>
        <v>0</v>
      </c>
      <c r="DM52" s="79">
        <f>SUM(DO52+DQ52+DS52+DU52)</f>
        <v>0</v>
      </c>
      <c r="DN52" s="82">
        <f>DN54/DN53</f>
        <v>0</v>
      </c>
      <c r="DO52" s="124"/>
      <c r="DP52" s="62">
        <f>DN52/4</f>
        <v>0</v>
      </c>
      <c r="DQ52" s="124"/>
      <c r="DR52" s="62">
        <f>DN52/4</f>
        <v>0</v>
      </c>
      <c r="DS52" s="125"/>
      <c r="DT52" s="62">
        <f>DN52/4</f>
        <v>0</v>
      </c>
      <c r="DU52" s="125"/>
      <c r="DV52" s="62">
        <f>DN52/4</f>
        <v>0</v>
      </c>
    </row>
    <row r="53" ht="15.75" hidden="1" customHeight="1">
      <c r="A53" s="35"/>
      <c r="B53" s="110"/>
      <c r="C53" s="111" t="s">
        <v>101</v>
      </c>
      <c r="D53" s="91" t="str">
        <f t="shared" ref="D53:F53" si="198">D54/D52</f>
        <v>#DIV/0!</v>
      </c>
      <c r="E53" s="91" t="str">
        <f t="shared" si="198"/>
        <v>#DIV/0!</v>
      </c>
      <c r="F53" s="81" t="str">
        <f t="shared" si="198"/>
        <v>#DIV/0!</v>
      </c>
      <c r="G53" s="88">
        <v>0.9</v>
      </c>
      <c r="H53" s="61" t="s">
        <v>97</v>
      </c>
      <c r="I53" s="81" t="str">
        <f>I54/I52</f>
        <v>#DIV/0!</v>
      </c>
      <c r="J53" s="83">
        <f>G53</f>
        <v>0.9</v>
      </c>
      <c r="K53" s="81" t="str">
        <f>K54/K52</f>
        <v>#DIV/0!</v>
      </c>
      <c r="L53" s="83">
        <f>G53</f>
        <v>0.9</v>
      </c>
      <c r="M53" s="81" t="str">
        <f>M54/M52</f>
        <v>#DIV/0!</v>
      </c>
      <c r="N53" s="83">
        <f>G53</f>
        <v>0.9</v>
      </c>
      <c r="O53" s="81" t="str">
        <f>O54/O52</f>
        <v>#DIV/0!</v>
      </c>
      <c r="P53" s="83">
        <f>G53</f>
        <v>0.9</v>
      </c>
      <c r="Q53" s="81" t="str">
        <f>Q54/Q52</f>
        <v>#DIV/0!</v>
      </c>
      <c r="R53" s="88">
        <v>0.9</v>
      </c>
      <c r="S53" s="81" t="str">
        <f>S54/S52</f>
        <v>#DIV/0!</v>
      </c>
      <c r="T53" s="83">
        <f>R53</f>
        <v>0.9</v>
      </c>
      <c r="U53" s="81" t="str">
        <f>U54/U52</f>
        <v>#DIV/0!</v>
      </c>
      <c r="V53" s="83">
        <f>R53</f>
        <v>0.9</v>
      </c>
      <c r="W53" s="81" t="str">
        <f>W54/W52</f>
        <v>#DIV/0!</v>
      </c>
      <c r="X53" s="83">
        <f>R53</f>
        <v>0.9</v>
      </c>
      <c r="Y53" s="81" t="str">
        <f>Y54/Y52</f>
        <v>#DIV/0!</v>
      </c>
      <c r="Z53" s="83">
        <f>R53</f>
        <v>0.9</v>
      </c>
      <c r="AA53" s="81" t="str">
        <f>AA54/AA52</f>
        <v>#DIV/0!</v>
      </c>
      <c r="AB53" s="88">
        <v>0.9</v>
      </c>
      <c r="AC53" s="81" t="str">
        <f>AC54/AC52</f>
        <v>#DIV/0!</v>
      </c>
      <c r="AD53" s="83">
        <f>AB53</f>
        <v>0.9</v>
      </c>
      <c r="AE53" s="81" t="str">
        <f>AE54/AE52</f>
        <v>#DIV/0!</v>
      </c>
      <c r="AF53" s="83">
        <f>AB53</f>
        <v>0.9</v>
      </c>
      <c r="AG53" s="81" t="str">
        <f>AG54/AG52</f>
        <v>#DIV/0!</v>
      </c>
      <c r="AH53" s="83">
        <f>AB53</f>
        <v>0.9</v>
      </c>
      <c r="AI53" s="81" t="str">
        <f>AI54/AI52</f>
        <v>#DIV/0!</v>
      </c>
      <c r="AJ53" s="83">
        <f>AB53</f>
        <v>0.9</v>
      </c>
      <c r="AK53" s="81" t="str">
        <f>AK54/AK52</f>
        <v>#DIV/0!</v>
      </c>
      <c r="AL53" s="88">
        <v>0.9</v>
      </c>
      <c r="AM53" s="81" t="str">
        <f>AM54/AM52</f>
        <v>#DIV/0!</v>
      </c>
      <c r="AN53" s="83">
        <f>AL53</f>
        <v>0.9</v>
      </c>
      <c r="AO53" s="81" t="str">
        <f>AO54/AO52</f>
        <v>#DIV/0!</v>
      </c>
      <c r="AP53" s="83">
        <f>AL53</f>
        <v>0.9</v>
      </c>
      <c r="AQ53" s="81" t="str">
        <f>AQ54/AQ52</f>
        <v>#DIV/0!</v>
      </c>
      <c r="AR53" s="83">
        <f>AL53</f>
        <v>0.9</v>
      </c>
      <c r="AS53" s="81" t="str">
        <f>AS54/AS52</f>
        <v>#DIV/0!</v>
      </c>
      <c r="AT53" s="83">
        <f>AL53</f>
        <v>0.9</v>
      </c>
      <c r="AU53" s="81" t="str">
        <f>AU54/AU52</f>
        <v>#DIV/0!</v>
      </c>
      <c r="AV53" s="88">
        <v>0.9</v>
      </c>
      <c r="AW53" s="81" t="str">
        <f>AW54/AW52</f>
        <v>#DIV/0!</v>
      </c>
      <c r="AX53" s="83">
        <f>AV53</f>
        <v>0.9</v>
      </c>
      <c r="AY53" s="81" t="str">
        <f>AY54/AY52</f>
        <v>#DIV/0!</v>
      </c>
      <c r="AZ53" s="83">
        <f>AV53</f>
        <v>0.9</v>
      </c>
      <c r="BA53" s="81" t="str">
        <f>BA54/BA52</f>
        <v>#DIV/0!</v>
      </c>
      <c r="BB53" s="83">
        <f>AV53</f>
        <v>0.9</v>
      </c>
      <c r="BC53" s="81" t="str">
        <f>BC54/BC52</f>
        <v>#DIV/0!</v>
      </c>
      <c r="BD53" s="83">
        <f>AV53</f>
        <v>0.9</v>
      </c>
      <c r="BE53" s="81" t="str">
        <f>BE54/BE52</f>
        <v>#DIV/0!</v>
      </c>
      <c r="BF53" s="88">
        <v>0.9</v>
      </c>
      <c r="BG53" s="81" t="str">
        <f>BG54/BG52</f>
        <v>#DIV/0!</v>
      </c>
      <c r="BH53" s="83">
        <f>BF53</f>
        <v>0.9</v>
      </c>
      <c r="BI53" s="81" t="str">
        <f>BI54/BI52</f>
        <v>#DIV/0!</v>
      </c>
      <c r="BJ53" s="83">
        <f>BF53</f>
        <v>0.9</v>
      </c>
      <c r="BK53" s="81" t="str">
        <f>BK54/BK52</f>
        <v>#DIV/0!</v>
      </c>
      <c r="BL53" s="83">
        <f>BF53</f>
        <v>0.9</v>
      </c>
      <c r="BM53" s="81" t="str">
        <f>BM54/BM52</f>
        <v>#DIV/0!</v>
      </c>
      <c r="BN53" s="83">
        <f>BF53</f>
        <v>0.9</v>
      </c>
      <c r="BO53" s="81" t="str">
        <f>BO54/BO52</f>
        <v>#DIV/0!</v>
      </c>
      <c r="BP53" s="88">
        <v>0.9</v>
      </c>
      <c r="BQ53" s="81" t="str">
        <f>BQ54/BQ52</f>
        <v>#DIV/0!</v>
      </c>
      <c r="BR53" s="83">
        <f>BP53</f>
        <v>0.9</v>
      </c>
      <c r="BS53" s="81" t="str">
        <f>BS54/BS52</f>
        <v>#DIV/0!</v>
      </c>
      <c r="BT53" s="83">
        <f>BP53</f>
        <v>0.9</v>
      </c>
      <c r="BU53" s="81" t="str">
        <f>BU54/BU52</f>
        <v>#DIV/0!</v>
      </c>
      <c r="BV53" s="83">
        <f>BP53</f>
        <v>0.9</v>
      </c>
      <c r="BW53" s="81" t="str">
        <f>BW54/BW52</f>
        <v>#DIV/0!</v>
      </c>
      <c r="BX53" s="83">
        <f>BP53</f>
        <v>0.9</v>
      </c>
      <c r="BY53" s="81" t="str">
        <f>BY54/BY52</f>
        <v>#DIV/0!</v>
      </c>
      <c r="BZ53" s="88">
        <v>0.9</v>
      </c>
      <c r="CA53" s="81" t="str">
        <f>CA54/CA52</f>
        <v>#DIV/0!</v>
      </c>
      <c r="CB53" s="83">
        <f>BZ53</f>
        <v>0.9</v>
      </c>
      <c r="CC53" s="81" t="str">
        <f>CC54/CC52</f>
        <v>#DIV/0!</v>
      </c>
      <c r="CD53" s="83">
        <f>BZ53</f>
        <v>0.9</v>
      </c>
      <c r="CE53" s="81" t="str">
        <f>CE54/CE52</f>
        <v>#DIV/0!</v>
      </c>
      <c r="CF53" s="83">
        <f>BZ53</f>
        <v>0.9</v>
      </c>
      <c r="CG53" s="81" t="str">
        <f>CG54/CG52</f>
        <v>#DIV/0!</v>
      </c>
      <c r="CH53" s="83">
        <f>BZ53</f>
        <v>0.9</v>
      </c>
      <c r="CI53" s="81" t="str">
        <f>CI54/CI52</f>
        <v>#DIV/0!</v>
      </c>
      <c r="CJ53" s="88">
        <v>0.9</v>
      </c>
      <c r="CK53" s="81" t="str">
        <f>CK54/CK52</f>
        <v>#DIV/0!</v>
      </c>
      <c r="CL53" s="83">
        <f>CJ53</f>
        <v>0.9</v>
      </c>
      <c r="CM53" s="81" t="str">
        <f>CM54/CM52</f>
        <v>#DIV/0!</v>
      </c>
      <c r="CN53" s="83">
        <f>CJ53</f>
        <v>0.9</v>
      </c>
      <c r="CO53" s="81" t="str">
        <f>CO54/CO52</f>
        <v>#DIV/0!</v>
      </c>
      <c r="CP53" s="83">
        <f>CJ53</f>
        <v>0.9</v>
      </c>
      <c r="CQ53" s="81" t="str">
        <f>CQ54/CQ52</f>
        <v>#DIV/0!</v>
      </c>
      <c r="CR53" s="83">
        <f>CJ53</f>
        <v>0.9</v>
      </c>
      <c r="CS53" s="81" t="str">
        <f>CS54/CS52</f>
        <v>#DIV/0!</v>
      </c>
      <c r="CT53" s="88">
        <v>0.9</v>
      </c>
      <c r="CU53" s="81" t="str">
        <f>CU54/CU52</f>
        <v>#DIV/0!</v>
      </c>
      <c r="CV53" s="83">
        <f>CT53</f>
        <v>0.9</v>
      </c>
      <c r="CW53" s="81" t="str">
        <f>CW54/CW52</f>
        <v>#DIV/0!</v>
      </c>
      <c r="CX53" s="83">
        <f>CT53</f>
        <v>0.9</v>
      </c>
      <c r="CY53" s="81" t="str">
        <f>CY54/CY52</f>
        <v>#DIV/0!</v>
      </c>
      <c r="CZ53" s="83">
        <f>CT53</f>
        <v>0.9</v>
      </c>
      <c r="DA53" s="81" t="str">
        <f>DA54/DA52</f>
        <v>#DIV/0!</v>
      </c>
      <c r="DB53" s="83">
        <f>CT53</f>
        <v>0.9</v>
      </c>
      <c r="DC53" s="81" t="str">
        <f>DC54/DC52</f>
        <v>#DIV/0!</v>
      </c>
      <c r="DD53" s="88">
        <v>0.9</v>
      </c>
      <c r="DE53" s="81" t="str">
        <f>DE54/DE52</f>
        <v>#DIV/0!</v>
      </c>
      <c r="DF53" s="83">
        <f>DD53</f>
        <v>0.9</v>
      </c>
      <c r="DG53" s="81" t="str">
        <f>DG54/DG52</f>
        <v>#DIV/0!</v>
      </c>
      <c r="DH53" s="83">
        <f>DD53</f>
        <v>0.9</v>
      </c>
      <c r="DI53" s="81" t="str">
        <f>DI54/DI52</f>
        <v>#DIV/0!</v>
      </c>
      <c r="DJ53" s="83">
        <f>DD53</f>
        <v>0.9</v>
      </c>
      <c r="DK53" s="81" t="str">
        <f>DK54/DK52</f>
        <v>#DIV/0!</v>
      </c>
      <c r="DL53" s="83">
        <f>DD53</f>
        <v>0.9</v>
      </c>
      <c r="DM53" s="81" t="str">
        <f>DM54/DM52</f>
        <v>#DIV/0!</v>
      </c>
      <c r="DN53" s="88">
        <v>0.9</v>
      </c>
      <c r="DO53" s="66" t="str">
        <f>DO54/DO52</f>
        <v>#DIV/0!</v>
      </c>
      <c r="DP53" s="93">
        <f>DN53</f>
        <v>0.9</v>
      </c>
      <c r="DQ53" s="65" t="str">
        <f>DQ54/DQ52</f>
        <v>#DIV/0!</v>
      </c>
      <c r="DR53" s="93">
        <f>DN53</f>
        <v>0.9</v>
      </c>
      <c r="DS53" s="66" t="str">
        <f>DS54/DS52</f>
        <v>#DIV/0!</v>
      </c>
      <c r="DT53" s="93">
        <f>DN53</f>
        <v>0.9</v>
      </c>
      <c r="DU53" s="66" t="str">
        <f>DU54/DU52</f>
        <v>#DIV/0!</v>
      </c>
      <c r="DV53" s="93">
        <f>DN53</f>
        <v>0.9</v>
      </c>
    </row>
    <row r="54" ht="15.75" hidden="1" customHeight="1">
      <c r="A54" s="35"/>
      <c r="B54" s="110"/>
      <c r="C54" s="95" t="s">
        <v>102</v>
      </c>
      <c r="D54" s="79">
        <f t="shared" ref="D54:E54" si="199">SUM(F54+Q54+AA54+AK54+AU54+BE54+BO54+BY54+CI54+CS54+DC54+DM54)</f>
        <v>0</v>
      </c>
      <c r="E54" s="91">
        <f t="shared" si="199"/>
        <v>0</v>
      </c>
      <c r="F54" s="81">
        <f>SUM(I54+K54+M54+O54)</f>
        <v>0</v>
      </c>
      <c r="G54" s="82">
        <f>G56/G55</f>
        <v>0</v>
      </c>
      <c r="H54" s="61" t="str">
        <f>G54/F54</f>
        <v>#DIV/0!</v>
      </c>
      <c r="I54" s="83"/>
      <c r="J54" s="79">
        <f>G54/4</f>
        <v>0</v>
      </c>
      <c r="K54" s="83"/>
      <c r="L54" s="79">
        <f>G54/4</f>
        <v>0</v>
      </c>
      <c r="M54" s="83"/>
      <c r="N54" s="79">
        <f>G54/4</f>
        <v>0</v>
      </c>
      <c r="O54" s="83"/>
      <c r="P54" s="79">
        <f>G54/4</f>
        <v>0</v>
      </c>
      <c r="Q54" s="79">
        <f>SUM(S54+U54+W54+Y54)</f>
        <v>0</v>
      </c>
      <c r="R54" s="82">
        <f>R56/R55</f>
        <v>0</v>
      </c>
      <c r="S54" s="84"/>
      <c r="T54" s="79">
        <f>R54/4</f>
        <v>0</v>
      </c>
      <c r="U54" s="84"/>
      <c r="V54" s="79">
        <f>R54/4</f>
        <v>0</v>
      </c>
      <c r="W54" s="84"/>
      <c r="X54" s="79">
        <f>R54/4</f>
        <v>0</v>
      </c>
      <c r="Y54" s="84"/>
      <c r="Z54" s="79">
        <f>R54/4</f>
        <v>0</v>
      </c>
      <c r="AA54" s="79">
        <f>SUM(AC54+AE54+AG54+AI54)</f>
        <v>0</v>
      </c>
      <c r="AB54" s="82">
        <f>AB56/AB55</f>
        <v>0</v>
      </c>
      <c r="AC54" s="84"/>
      <c r="AD54" s="79">
        <f>AB54/4</f>
        <v>0</v>
      </c>
      <c r="AE54" s="84"/>
      <c r="AF54" s="79">
        <f>AB54/4</f>
        <v>0</v>
      </c>
      <c r="AG54" s="84"/>
      <c r="AH54" s="79">
        <f>AB54/4</f>
        <v>0</v>
      </c>
      <c r="AI54" s="84"/>
      <c r="AJ54" s="79">
        <f>AB54/4</f>
        <v>0</v>
      </c>
      <c r="AK54" s="79">
        <f>SUM(AM54+AO54+AQ54+AS54)</f>
        <v>0</v>
      </c>
      <c r="AL54" s="82">
        <f>AL56/AL55</f>
        <v>0</v>
      </c>
      <c r="AM54" s="84"/>
      <c r="AN54" s="79">
        <f>AL54/4</f>
        <v>0</v>
      </c>
      <c r="AO54" s="84"/>
      <c r="AP54" s="79">
        <f>AL54/4</f>
        <v>0</v>
      </c>
      <c r="AQ54" s="84"/>
      <c r="AR54" s="79">
        <f>AL54/4</f>
        <v>0</v>
      </c>
      <c r="AS54" s="84"/>
      <c r="AT54" s="79">
        <f>AL54/4</f>
        <v>0</v>
      </c>
      <c r="AU54" s="79">
        <f>SUM(AW54+AY54+BA54+BC54)</f>
        <v>0</v>
      </c>
      <c r="AV54" s="82">
        <f>AV56/AV55</f>
        <v>0</v>
      </c>
      <c r="AW54" s="84"/>
      <c r="AX54" s="79">
        <f>AV54/4</f>
        <v>0</v>
      </c>
      <c r="AY54" s="84"/>
      <c r="AZ54" s="79">
        <f>AV54/4</f>
        <v>0</v>
      </c>
      <c r="BA54" s="84"/>
      <c r="BB54" s="79">
        <f>AV54/4</f>
        <v>0</v>
      </c>
      <c r="BC54" s="84"/>
      <c r="BD54" s="79">
        <f>AV54/4</f>
        <v>0</v>
      </c>
      <c r="BE54" s="79">
        <f>SUM(BG54+BI54+BK54+BM54)</f>
        <v>0</v>
      </c>
      <c r="BF54" s="82">
        <f>BF56/BF55</f>
        <v>0</v>
      </c>
      <c r="BG54" s="84"/>
      <c r="BH54" s="79">
        <f>BF54/4</f>
        <v>0</v>
      </c>
      <c r="BI54" s="84"/>
      <c r="BJ54" s="79">
        <f>BF54/4</f>
        <v>0</v>
      </c>
      <c r="BK54" s="84"/>
      <c r="BL54" s="79">
        <f>BF54/4</f>
        <v>0</v>
      </c>
      <c r="BM54" s="84"/>
      <c r="BN54" s="79">
        <f>BF54/4</f>
        <v>0</v>
      </c>
      <c r="BO54" s="79">
        <f>SUM(BQ54+BS54+BU54+BW54)</f>
        <v>0</v>
      </c>
      <c r="BP54" s="82">
        <f>BP56/BP55</f>
        <v>0</v>
      </c>
      <c r="BQ54" s="84"/>
      <c r="BR54" s="79">
        <f>BP54/4</f>
        <v>0</v>
      </c>
      <c r="BS54" s="84"/>
      <c r="BT54" s="79">
        <f>BP54/4</f>
        <v>0</v>
      </c>
      <c r="BU54" s="84"/>
      <c r="BV54" s="79">
        <f>BP54/4</f>
        <v>0</v>
      </c>
      <c r="BW54" s="84"/>
      <c r="BX54" s="79">
        <f>BP54/4</f>
        <v>0</v>
      </c>
      <c r="BY54" s="79">
        <f>SUM(CA54+CC54+CE54+CG54)</f>
        <v>0</v>
      </c>
      <c r="BZ54" s="82">
        <f>BZ56/BZ55</f>
        <v>0</v>
      </c>
      <c r="CA54" s="84"/>
      <c r="CB54" s="79">
        <f>BZ54/4</f>
        <v>0</v>
      </c>
      <c r="CC54" s="84"/>
      <c r="CD54" s="79">
        <f>BZ54/4</f>
        <v>0</v>
      </c>
      <c r="CE54" s="84"/>
      <c r="CF54" s="79">
        <f>BZ54/4</f>
        <v>0</v>
      </c>
      <c r="CG54" s="84"/>
      <c r="CH54" s="79">
        <f>BZ54/4</f>
        <v>0</v>
      </c>
      <c r="CI54" s="79">
        <f>SUM(CK54+CM54+CO54+CQ54)</f>
        <v>0</v>
      </c>
      <c r="CJ54" s="82">
        <f>CJ56/CJ55</f>
        <v>0</v>
      </c>
      <c r="CK54" s="84"/>
      <c r="CL54" s="79">
        <f>CJ54/4</f>
        <v>0</v>
      </c>
      <c r="CM54" s="84"/>
      <c r="CN54" s="79">
        <f>CJ54/4</f>
        <v>0</v>
      </c>
      <c r="CO54" s="84"/>
      <c r="CP54" s="79">
        <f>CJ54/4</f>
        <v>0</v>
      </c>
      <c r="CQ54" s="84"/>
      <c r="CR54" s="79">
        <f>CJ54/4</f>
        <v>0</v>
      </c>
      <c r="CS54" s="79">
        <f>SUM(CU54+CW54+CY54+DA54)</f>
        <v>0</v>
      </c>
      <c r="CT54" s="82">
        <f>CT56/CT55</f>
        <v>0</v>
      </c>
      <c r="CU54" s="84"/>
      <c r="CV54" s="79">
        <f>CT54/4</f>
        <v>0</v>
      </c>
      <c r="CW54" s="84"/>
      <c r="CX54" s="79">
        <f>CT54/4</f>
        <v>0</v>
      </c>
      <c r="CY54" s="84"/>
      <c r="CZ54" s="79">
        <f>CT54/4</f>
        <v>0</v>
      </c>
      <c r="DA54" s="84"/>
      <c r="DB54" s="79">
        <f>CT54/4</f>
        <v>0</v>
      </c>
      <c r="DC54" s="79">
        <f>SUM(DE54+DG54+DI54+DK54)</f>
        <v>0</v>
      </c>
      <c r="DD54" s="82">
        <f>DD56/DD55</f>
        <v>0</v>
      </c>
      <c r="DE54" s="84"/>
      <c r="DF54" s="79">
        <f>DD54/4</f>
        <v>0</v>
      </c>
      <c r="DG54" s="84"/>
      <c r="DH54" s="79">
        <f>DD54/4</f>
        <v>0</v>
      </c>
      <c r="DI54" s="84"/>
      <c r="DJ54" s="79">
        <f>DD54/4</f>
        <v>0</v>
      </c>
      <c r="DK54" s="84"/>
      <c r="DL54" s="79">
        <f>DD54/4</f>
        <v>0</v>
      </c>
      <c r="DM54" s="79">
        <f>SUM(DO54+DQ54+DS54+DU54)</f>
        <v>0</v>
      </c>
      <c r="DN54" s="82">
        <f>DN56/DN55</f>
        <v>0</v>
      </c>
      <c r="DO54" s="92"/>
      <c r="DP54" s="62">
        <f>DN54/4</f>
        <v>0</v>
      </c>
      <c r="DQ54" s="92"/>
      <c r="DR54" s="62">
        <f>DN54/4</f>
        <v>0</v>
      </c>
      <c r="DS54" s="92"/>
      <c r="DT54" s="62">
        <f>DN54/4</f>
        <v>0</v>
      </c>
      <c r="DU54" s="92"/>
      <c r="DV54" s="62">
        <f>DN54/4</f>
        <v>0</v>
      </c>
    </row>
    <row r="55" ht="15.75" hidden="1" customHeight="1">
      <c r="A55" s="35"/>
      <c r="B55" s="110"/>
      <c r="C55" s="111" t="s">
        <v>103</v>
      </c>
      <c r="D55" s="91" t="str">
        <f t="shared" ref="D55:F55" si="200">D56/D54</f>
        <v>#DIV/0!</v>
      </c>
      <c r="E55" s="91" t="str">
        <f t="shared" si="200"/>
        <v>#DIV/0!</v>
      </c>
      <c r="F55" s="81" t="str">
        <f t="shared" si="200"/>
        <v>#DIV/0!</v>
      </c>
      <c r="G55" s="88">
        <v>0.7</v>
      </c>
      <c r="H55" s="61" t="s">
        <v>97</v>
      </c>
      <c r="I55" s="81" t="str">
        <f>I56/I54</f>
        <v>#DIV/0!</v>
      </c>
      <c r="J55" s="83">
        <f>G55</f>
        <v>0.7</v>
      </c>
      <c r="K55" s="81" t="str">
        <f>K56/K54</f>
        <v>#DIV/0!</v>
      </c>
      <c r="L55" s="83">
        <f>G55</f>
        <v>0.7</v>
      </c>
      <c r="M55" s="81" t="str">
        <f>M56/M54</f>
        <v>#DIV/0!</v>
      </c>
      <c r="N55" s="83">
        <f>G55</f>
        <v>0.7</v>
      </c>
      <c r="O55" s="81" t="str">
        <f>O56/O54</f>
        <v>#DIV/0!</v>
      </c>
      <c r="P55" s="83">
        <f>G55</f>
        <v>0.7</v>
      </c>
      <c r="Q55" s="81" t="str">
        <f>Q56/Q54</f>
        <v>#DIV/0!</v>
      </c>
      <c r="R55" s="88">
        <v>0.7</v>
      </c>
      <c r="S55" s="81" t="str">
        <f>S56/S54</f>
        <v>#DIV/0!</v>
      </c>
      <c r="T55" s="83">
        <f>R55</f>
        <v>0.7</v>
      </c>
      <c r="U55" s="81" t="str">
        <f>U56/U54</f>
        <v>#DIV/0!</v>
      </c>
      <c r="V55" s="83">
        <f>R55</f>
        <v>0.7</v>
      </c>
      <c r="W55" s="81" t="str">
        <f>W56/W54</f>
        <v>#DIV/0!</v>
      </c>
      <c r="X55" s="83">
        <f>R55</f>
        <v>0.7</v>
      </c>
      <c r="Y55" s="81" t="str">
        <f>Y56/Y54</f>
        <v>#DIV/0!</v>
      </c>
      <c r="Z55" s="83">
        <f>R55</f>
        <v>0.7</v>
      </c>
      <c r="AA55" s="81" t="str">
        <f>AA56/AA54</f>
        <v>#DIV/0!</v>
      </c>
      <c r="AB55" s="88">
        <v>0.7</v>
      </c>
      <c r="AC55" s="81" t="str">
        <f>AC56/AC54</f>
        <v>#DIV/0!</v>
      </c>
      <c r="AD55" s="83">
        <f>AB55</f>
        <v>0.7</v>
      </c>
      <c r="AE55" s="81" t="str">
        <f>AE56/AE54</f>
        <v>#DIV/0!</v>
      </c>
      <c r="AF55" s="83">
        <f>AB55</f>
        <v>0.7</v>
      </c>
      <c r="AG55" s="81" t="str">
        <f>AG56/AG54</f>
        <v>#DIV/0!</v>
      </c>
      <c r="AH55" s="83">
        <f>AB55</f>
        <v>0.7</v>
      </c>
      <c r="AI55" s="81" t="str">
        <f>AI56/AI54</f>
        <v>#DIV/0!</v>
      </c>
      <c r="AJ55" s="83">
        <f>AB55</f>
        <v>0.7</v>
      </c>
      <c r="AK55" s="81" t="str">
        <f>AK56/AK54</f>
        <v>#DIV/0!</v>
      </c>
      <c r="AL55" s="88">
        <v>0.7</v>
      </c>
      <c r="AM55" s="81" t="str">
        <f>AM56/AM54</f>
        <v>#DIV/0!</v>
      </c>
      <c r="AN55" s="83">
        <f>AL55</f>
        <v>0.7</v>
      </c>
      <c r="AO55" s="81" t="str">
        <f>AO56/AO54</f>
        <v>#DIV/0!</v>
      </c>
      <c r="AP55" s="83">
        <f>AL55</f>
        <v>0.7</v>
      </c>
      <c r="AQ55" s="81" t="str">
        <f>AQ56/AQ54</f>
        <v>#DIV/0!</v>
      </c>
      <c r="AR55" s="83">
        <f>AL55</f>
        <v>0.7</v>
      </c>
      <c r="AS55" s="81" t="str">
        <f>AS56/AS54</f>
        <v>#DIV/0!</v>
      </c>
      <c r="AT55" s="83">
        <f>AL55</f>
        <v>0.7</v>
      </c>
      <c r="AU55" s="81" t="str">
        <f>AU56/AU54</f>
        <v>#DIV/0!</v>
      </c>
      <c r="AV55" s="88">
        <v>0.7</v>
      </c>
      <c r="AW55" s="81" t="str">
        <f>AW56/AW54</f>
        <v>#DIV/0!</v>
      </c>
      <c r="AX55" s="83">
        <f>AV55</f>
        <v>0.7</v>
      </c>
      <c r="AY55" s="81" t="str">
        <f>AY56/AY54</f>
        <v>#DIV/0!</v>
      </c>
      <c r="AZ55" s="83">
        <f>AV55</f>
        <v>0.7</v>
      </c>
      <c r="BA55" s="81" t="str">
        <f>BA56/BA54</f>
        <v>#DIV/0!</v>
      </c>
      <c r="BB55" s="83">
        <f>AV55</f>
        <v>0.7</v>
      </c>
      <c r="BC55" s="81" t="str">
        <f>BC56/BC54</f>
        <v>#DIV/0!</v>
      </c>
      <c r="BD55" s="83">
        <f>AV55</f>
        <v>0.7</v>
      </c>
      <c r="BE55" s="81" t="str">
        <f>BE56/BE54</f>
        <v>#DIV/0!</v>
      </c>
      <c r="BF55" s="88">
        <v>0.7</v>
      </c>
      <c r="BG55" s="81" t="str">
        <f>BG56/BG54</f>
        <v>#DIV/0!</v>
      </c>
      <c r="BH55" s="83">
        <f>BF55</f>
        <v>0.7</v>
      </c>
      <c r="BI55" s="81" t="str">
        <f>BI56/BI54</f>
        <v>#DIV/0!</v>
      </c>
      <c r="BJ55" s="83">
        <f>BF55</f>
        <v>0.7</v>
      </c>
      <c r="BK55" s="81" t="str">
        <f>BK56/BK54</f>
        <v>#DIV/0!</v>
      </c>
      <c r="BL55" s="83">
        <f>BF55</f>
        <v>0.7</v>
      </c>
      <c r="BM55" s="81" t="str">
        <f>BM56/BM54</f>
        <v>#DIV/0!</v>
      </c>
      <c r="BN55" s="83">
        <f>BF55</f>
        <v>0.7</v>
      </c>
      <c r="BO55" s="81" t="str">
        <f>BO56/BO54</f>
        <v>#DIV/0!</v>
      </c>
      <c r="BP55" s="88">
        <v>0.7</v>
      </c>
      <c r="BQ55" s="81" t="str">
        <f>BQ56/BQ54</f>
        <v>#DIV/0!</v>
      </c>
      <c r="BR55" s="83">
        <f>BP55</f>
        <v>0.7</v>
      </c>
      <c r="BS55" s="81" t="str">
        <f>BS56/BS54</f>
        <v>#DIV/0!</v>
      </c>
      <c r="BT55" s="83">
        <f>BP55</f>
        <v>0.7</v>
      </c>
      <c r="BU55" s="81" t="str">
        <f>BU56/BU54</f>
        <v>#DIV/0!</v>
      </c>
      <c r="BV55" s="83">
        <f>BP55</f>
        <v>0.7</v>
      </c>
      <c r="BW55" s="81" t="str">
        <f>BW56/BW54</f>
        <v>#DIV/0!</v>
      </c>
      <c r="BX55" s="83">
        <f>BP55</f>
        <v>0.7</v>
      </c>
      <c r="BY55" s="81" t="str">
        <f>BY56/BY54</f>
        <v>#DIV/0!</v>
      </c>
      <c r="BZ55" s="88">
        <v>0.7</v>
      </c>
      <c r="CA55" s="81" t="str">
        <f>CA56/CA54</f>
        <v>#DIV/0!</v>
      </c>
      <c r="CB55" s="83">
        <f>BZ55</f>
        <v>0.7</v>
      </c>
      <c r="CC55" s="81" t="str">
        <f>CC56/CC54</f>
        <v>#DIV/0!</v>
      </c>
      <c r="CD55" s="83">
        <f>BZ55</f>
        <v>0.7</v>
      </c>
      <c r="CE55" s="81" t="str">
        <f>CE56/CE54</f>
        <v>#DIV/0!</v>
      </c>
      <c r="CF55" s="83">
        <f>BZ55</f>
        <v>0.7</v>
      </c>
      <c r="CG55" s="81" t="str">
        <f>CG56/CG54</f>
        <v>#DIV/0!</v>
      </c>
      <c r="CH55" s="83">
        <f>BZ55</f>
        <v>0.7</v>
      </c>
      <c r="CI55" s="81" t="str">
        <f>CI56/CI54</f>
        <v>#DIV/0!</v>
      </c>
      <c r="CJ55" s="88">
        <v>0.7</v>
      </c>
      <c r="CK55" s="81" t="str">
        <f>CK56/CK54</f>
        <v>#DIV/0!</v>
      </c>
      <c r="CL55" s="83">
        <f>CJ55</f>
        <v>0.7</v>
      </c>
      <c r="CM55" s="81" t="str">
        <f>CM56/CM54</f>
        <v>#DIV/0!</v>
      </c>
      <c r="CN55" s="83">
        <f>CJ55</f>
        <v>0.7</v>
      </c>
      <c r="CO55" s="81" t="str">
        <f>CO56/CO54</f>
        <v>#DIV/0!</v>
      </c>
      <c r="CP55" s="83">
        <f>CJ55</f>
        <v>0.7</v>
      </c>
      <c r="CQ55" s="81" t="str">
        <f>CQ56/CQ54</f>
        <v>#DIV/0!</v>
      </c>
      <c r="CR55" s="83">
        <f>CJ55</f>
        <v>0.7</v>
      </c>
      <c r="CS55" s="81" t="str">
        <f>CS56/CS54</f>
        <v>#DIV/0!</v>
      </c>
      <c r="CT55" s="88">
        <v>0.7</v>
      </c>
      <c r="CU55" s="81" t="str">
        <f>CU56/CU54</f>
        <v>#DIV/0!</v>
      </c>
      <c r="CV55" s="83">
        <f>CT55</f>
        <v>0.7</v>
      </c>
      <c r="CW55" s="81" t="str">
        <f>CW56/CW54</f>
        <v>#DIV/0!</v>
      </c>
      <c r="CX55" s="83">
        <f>CT55</f>
        <v>0.7</v>
      </c>
      <c r="CY55" s="81" t="str">
        <f>CY56/CY54</f>
        <v>#DIV/0!</v>
      </c>
      <c r="CZ55" s="83">
        <f>CT55</f>
        <v>0.7</v>
      </c>
      <c r="DA55" s="81" t="str">
        <f>DA56/DA54</f>
        <v>#DIV/0!</v>
      </c>
      <c r="DB55" s="83">
        <f>CT55</f>
        <v>0.7</v>
      </c>
      <c r="DC55" s="81" t="str">
        <f>DC56/DC54</f>
        <v>#DIV/0!</v>
      </c>
      <c r="DD55" s="88">
        <v>0.7</v>
      </c>
      <c r="DE55" s="81" t="str">
        <f>DE56/DE54</f>
        <v>#DIV/0!</v>
      </c>
      <c r="DF55" s="83">
        <f>DD55</f>
        <v>0.7</v>
      </c>
      <c r="DG55" s="81" t="str">
        <f>DG56/DG54</f>
        <v>#DIV/0!</v>
      </c>
      <c r="DH55" s="83">
        <f>DD55</f>
        <v>0.7</v>
      </c>
      <c r="DI55" s="81" t="str">
        <f>DI56/DI54</f>
        <v>#DIV/0!</v>
      </c>
      <c r="DJ55" s="83">
        <f>DD55</f>
        <v>0.7</v>
      </c>
      <c r="DK55" s="81" t="str">
        <f>DK56/DK54</f>
        <v>#DIV/0!</v>
      </c>
      <c r="DL55" s="83">
        <f>DD55</f>
        <v>0.7</v>
      </c>
      <c r="DM55" s="81" t="str">
        <f>DM56/DM54</f>
        <v>#DIV/0!</v>
      </c>
      <c r="DN55" s="88">
        <v>0.7</v>
      </c>
      <c r="DO55" s="65" t="str">
        <f>DO56/DO54</f>
        <v>#DIV/0!</v>
      </c>
      <c r="DP55" s="93">
        <f>DN55</f>
        <v>0.7</v>
      </c>
      <c r="DQ55" s="66" t="str">
        <f>DQ56/DQ54</f>
        <v>#DIV/0!</v>
      </c>
      <c r="DR55" s="93">
        <f>DN55</f>
        <v>0.7</v>
      </c>
      <c r="DS55" s="66" t="str">
        <f>DS56/DS54</f>
        <v>#DIV/0!</v>
      </c>
      <c r="DT55" s="93">
        <f>DN55</f>
        <v>0.7</v>
      </c>
      <c r="DU55" s="66" t="str">
        <f>DU56/DU54</f>
        <v>#DIV/0!</v>
      </c>
      <c r="DV55" s="93">
        <f>DN55</f>
        <v>0.7</v>
      </c>
    </row>
    <row r="56" ht="15.75" hidden="1" customHeight="1">
      <c r="A56" s="35"/>
      <c r="B56" s="110"/>
      <c r="C56" s="97" t="s">
        <v>104</v>
      </c>
      <c r="D56" s="79">
        <f t="shared" ref="D56:E56" si="201">SUM(F56+Q56+AA56+AK56+AU56+BE56+BO56+BY56+CI56+CS56+DC56+DM56)</f>
        <v>0</v>
      </c>
      <c r="E56" s="91">
        <f t="shared" si="201"/>
        <v>0</v>
      </c>
      <c r="F56" s="81">
        <f>SUM(I56+K56+M56+O56)</f>
        <v>0</v>
      </c>
      <c r="G56" s="82">
        <f>G58/G57</f>
        <v>0</v>
      </c>
      <c r="H56" s="61" t="str">
        <f>G56/F56</f>
        <v>#DIV/0!</v>
      </c>
      <c r="I56" s="83"/>
      <c r="J56" s="79">
        <f>G56/4</f>
        <v>0</v>
      </c>
      <c r="K56" s="83"/>
      <c r="L56" s="79">
        <f>G56/4</f>
        <v>0</v>
      </c>
      <c r="M56" s="83"/>
      <c r="N56" s="79">
        <f>G56/4</f>
        <v>0</v>
      </c>
      <c r="O56" s="83"/>
      <c r="P56" s="79">
        <f>G56/4</f>
        <v>0</v>
      </c>
      <c r="Q56" s="79">
        <f>SUM(S56+U56+W56+Y56)</f>
        <v>0</v>
      </c>
      <c r="R56" s="82">
        <f>R58/R57</f>
        <v>0</v>
      </c>
      <c r="S56" s="84"/>
      <c r="T56" s="79">
        <f>R56/4</f>
        <v>0</v>
      </c>
      <c r="U56" s="84"/>
      <c r="V56" s="79">
        <f>R56/4</f>
        <v>0</v>
      </c>
      <c r="W56" s="84"/>
      <c r="X56" s="79">
        <f>R56/4</f>
        <v>0</v>
      </c>
      <c r="Y56" s="84"/>
      <c r="Z56" s="79">
        <f>R56/4</f>
        <v>0</v>
      </c>
      <c r="AA56" s="79">
        <f>SUM(AC56+AE56+AG56+AI56)</f>
        <v>0</v>
      </c>
      <c r="AB56" s="82">
        <f>AB58/AB57</f>
        <v>0</v>
      </c>
      <c r="AC56" s="84"/>
      <c r="AD56" s="79">
        <f>AB56/4</f>
        <v>0</v>
      </c>
      <c r="AE56" s="84"/>
      <c r="AF56" s="79">
        <f>AB56/4</f>
        <v>0</v>
      </c>
      <c r="AG56" s="84"/>
      <c r="AH56" s="79">
        <f>AB56/4</f>
        <v>0</v>
      </c>
      <c r="AI56" s="84"/>
      <c r="AJ56" s="79">
        <f>AB56/4</f>
        <v>0</v>
      </c>
      <c r="AK56" s="79">
        <f>SUM(AM56+AO56+AQ56+AS56)</f>
        <v>0</v>
      </c>
      <c r="AL56" s="82">
        <f>AL58/AL57</f>
        <v>0</v>
      </c>
      <c r="AM56" s="84"/>
      <c r="AN56" s="79">
        <f>AL56/4</f>
        <v>0</v>
      </c>
      <c r="AO56" s="84"/>
      <c r="AP56" s="79">
        <f>AL56/4</f>
        <v>0</v>
      </c>
      <c r="AQ56" s="84"/>
      <c r="AR56" s="79">
        <f>AL56/4</f>
        <v>0</v>
      </c>
      <c r="AS56" s="84"/>
      <c r="AT56" s="79">
        <f>AL56/4</f>
        <v>0</v>
      </c>
      <c r="AU56" s="79">
        <f>SUM(AW56+AY56+BA56+BC56)</f>
        <v>0</v>
      </c>
      <c r="AV56" s="82">
        <f>AV58/AV57</f>
        <v>0</v>
      </c>
      <c r="AW56" s="84"/>
      <c r="AX56" s="79">
        <f>AV56/4</f>
        <v>0</v>
      </c>
      <c r="AY56" s="84"/>
      <c r="AZ56" s="79">
        <f>AV56/4</f>
        <v>0</v>
      </c>
      <c r="BA56" s="84"/>
      <c r="BB56" s="79">
        <f>AV56/4</f>
        <v>0</v>
      </c>
      <c r="BC56" s="84"/>
      <c r="BD56" s="79">
        <f>AV56/4</f>
        <v>0</v>
      </c>
      <c r="BE56" s="79">
        <f>SUM(BG56+BI56+BK56+BM56)</f>
        <v>0</v>
      </c>
      <c r="BF56" s="82">
        <f>BF58/BF57</f>
        <v>0</v>
      </c>
      <c r="BG56" s="84"/>
      <c r="BH56" s="79">
        <f>BF56/4</f>
        <v>0</v>
      </c>
      <c r="BI56" s="84"/>
      <c r="BJ56" s="79">
        <f>BF56/4</f>
        <v>0</v>
      </c>
      <c r="BK56" s="84"/>
      <c r="BL56" s="79">
        <f>BF56/4</f>
        <v>0</v>
      </c>
      <c r="BM56" s="84"/>
      <c r="BN56" s="79">
        <f>BF56/4</f>
        <v>0</v>
      </c>
      <c r="BO56" s="79">
        <f>SUM(BQ56+BS56+BU56+BW56)</f>
        <v>0</v>
      </c>
      <c r="BP56" s="82">
        <f>BP58/BP57</f>
        <v>0</v>
      </c>
      <c r="BQ56" s="84"/>
      <c r="BR56" s="79">
        <f>BP56/4</f>
        <v>0</v>
      </c>
      <c r="BS56" s="84"/>
      <c r="BT56" s="79">
        <f>BP56/4</f>
        <v>0</v>
      </c>
      <c r="BU56" s="84"/>
      <c r="BV56" s="79">
        <f>BP56/4</f>
        <v>0</v>
      </c>
      <c r="BW56" s="84"/>
      <c r="BX56" s="79">
        <f>BP56/4</f>
        <v>0</v>
      </c>
      <c r="BY56" s="79">
        <f>SUM(CA56+CC56+CE56+CG56)</f>
        <v>0</v>
      </c>
      <c r="BZ56" s="82">
        <f>BZ58/BZ57</f>
        <v>0</v>
      </c>
      <c r="CA56" s="84"/>
      <c r="CB56" s="79">
        <f>BZ56/4</f>
        <v>0</v>
      </c>
      <c r="CC56" s="84"/>
      <c r="CD56" s="79">
        <f>BZ56/4</f>
        <v>0</v>
      </c>
      <c r="CE56" s="84"/>
      <c r="CF56" s="79">
        <f>BZ56/4</f>
        <v>0</v>
      </c>
      <c r="CG56" s="84"/>
      <c r="CH56" s="79">
        <f>BZ56/4</f>
        <v>0</v>
      </c>
      <c r="CI56" s="79">
        <f>SUM(CK56+CM56+CO56+CQ56)</f>
        <v>0</v>
      </c>
      <c r="CJ56" s="82">
        <f>CJ58/CJ57</f>
        <v>0</v>
      </c>
      <c r="CK56" s="84"/>
      <c r="CL56" s="79">
        <f>CJ56/4</f>
        <v>0</v>
      </c>
      <c r="CM56" s="84"/>
      <c r="CN56" s="79">
        <f>CJ56/4</f>
        <v>0</v>
      </c>
      <c r="CO56" s="84"/>
      <c r="CP56" s="79">
        <f>CJ56/4</f>
        <v>0</v>
      </c>
      <c r="CQ56" s="84"/>
      <c r="CR56" s="79">
        <f>CJ56/4</f>
        <v>0</v>
      </c>
      <c r="CS56" s="79">
        <f>SUM(CU56+CW56+CY56+DA56)</f>
        <v>0</v>
      </c>
      <c r="CT56" s="82">
        <f>CT58/CT57</f>
        <v>0</v>
      </c>
      <c r="CU56" s="84"/>
      <c r="CV56" s="79">
        <f>CT56/4</f>
        <v>0</v>
      </c>
      <c r="CW56" s="84"/>
      <c r="CX56" s="79">
        <f>CT56/4</f>
        <v>0</v>
      </c>
      <c r="CY56" s="84"/>
      <c r="CZ56" s="79">
        <f>CT56/4</f>
        <v>0</v>
      </c>
      <c r="DA56" s="84"/>
      <c r="DB56" s="79">
        <f>CT56/4</f>
        <v>0</v>
      </c>
      <c r="DC56" s="79">
        <f>SUM(DE56+DG56+DI56+DK56)</f>
        <v>0</v>
      </c>
      <c r="DD56" s="82">
        <f>DD58/DD57</f>
        <v>0</v>
      </c>
      <c r="DE56" s="84"/>
      <c r="DF56" s="79">
        <f>DD56/4</f>
        <v>0</v>
      </c>
      <c r="DG56" s="84"/>
      <c r="DH56" s="79">
        <f>DD56/4</f>
        <v>0</v>
      </c>
      <c r="DI56" s="84"/>
      <c r="DJ56" s="79">
        <f>DD56/4</f>
        <v>0</v>
      </c>
      <c r="DK56" s="84"/>
      <c r="DL56" s="79">
        <f>DD56/4</f>
        <v>0</v>
      </c>
      <c r="DM56" s="79">
        <f>SUM(DO56+DQ56+DS56+DU56)</f>
        <v>0</v>
      </c>
      <c r="DN56" s="82">
        <f>DN58/DN57</f>
        <v>0</v>
      </c>
      <c r="DO56" s="92"/>
      <c r="DP56" s="62">
        <f>DN56/4</f>
        <v>0</v>
      </c>
      <c r="DQ56" s="92"/>
      <c r="DR56" s="62">
        <f>DN56/4</f>
        <v>0</v>
      </c>
      <c r="DS56" s="92"/>
      <c r="DT56" s="62">
        <f>DN56/4</f>
        <v>0</v>
      </c>
      <c r="DU56" s="92"/>
      <c r="DV56" s="62">
        <f>DN56/4</f>
        <v>0</v>
      </c>
    </row>
    <row r="57" ht="15.75" hidden="1" customHeight="1">
      <c r="A57" s="35"/>
      <c r="B57" s="110"/>
      <c r="C57" s="97" t="s">
        <v>105</v>
      </c>
      <c r="D57" s="91" t="str">
        <f t="shared" ref="D57:F57" si="202">D58/D56</f>
        <v>#DIV/0!</v>
      </c>
      <c r="E57" s="91" t="str">
        <f t="shared" si="202"/>
        <v>#DIV/0!</v>
      </c>
      <c r="F57" s="81" t="str">
        <f t="shared" si="202"/>
        <v>#DIV/0!</v>
      </c>
      <c r="G57" s="88">
        <v>0.4</v>
      </c>
      <c r="H57" s="61" t="s">
        <v>97</v>
      </c>
      <c r="I57" s="81" t="str">
        <f>I58/I56</f>
        <v>#DIV/0!</v>
      </c>
      <c r="J57" s="83">
        <f>G57</f>
        <v>0.4</v>
      </c>
      <c r="K57" s="81" t="str">
        <f>K58/K56</f>
        <v>#DIV/0!</v>
      </c>
      <c r="L57" s="83">
        <f>G57</f>
        <v>0.4</v>
      </c>
      <c r="M57" s="81" t="str">
        <f>M58/M56</f>
        <v>#DIV/0!</v>
      </c>
      <c r="N57" s="83">
        <f>G57</f>
        <v>0.4</v>
      </c>
      <c r="O57" s="81" t="str">
        <f>O58/O56</f>
        <v>#DIV/0!</v>
      </c>
      <c r="P57" s="83">
        <f>G57</f>
        <v>0.4</v>
      </c>
      <c r="Q57" s="81" t="str">
        <f>Q58/Q56</f>
        <v>#DIV/0!</v>
      </c>
      <c r="R57" s="88">
        <v>0.4</v>
      </c>
      <c r="S57" s="81" t="str">
        <f>S58/S56</f>
        <v>#DIV/0!</v>
      </c>
      <c r="T57" s="83">
        <f>R57</f>
        <v>0.4</v>
      </c>
      <c r="U57" s="81" t="str">
        <f>U58/U56</f>
        <v>#DIV/0!</v>
      </c>
      <c r="V57" s="83">
        <f>R57</f>
        <v>0.4</v>
      </c>
      <c r="W57" s="81" t="str">
        <f>W58/W56</f>
        <v>#DIV/0!</v>
      </c>
      <c r="X57" s="83">
        <f>R57</f>
        <v>0.4</v>
      </c>
      <c r="Y57" s="81" t="str">
        <f>Y58/Y56</f>
        <v>#DIV/0!</v>
      </c>
      <c r="Z57" s="83">
        <f>R57</f>
        <v>0.4</v>
      </c>
      <c r="AA57" s="81" t="str">
        <f>AA58/AA56</f>
        <v>#DIV/0!</v>
      </c>
      <c r="AB57" s="88">
        <v>0.4</v>
      </c>
      <c r="AC57" s="81" t="str">
        <f>AC58/AC56</f>
        <v>#DIV/0!</v>
      </c>
      <c r="AD57" s="83">
        <f>AB57</f>
        <v>0.4</v>
      </c>
      <c r="AE57" s="81" t="str">
        <f>AE58/AE56</f>
        <v>#DIV/0!</v>
      </c>
      <c r="AF57" s="83">
        <f>AB57</f>
        <v>0.4</v>
      </c>
      <c r="AG57" s="81" t="str">
        <f>AG58/AG56</f>
        <v>#DIV/0!</v>
      </c>
      <c r="AH57" s="83">
        <f>AB57</f>
        <v>0.4</v>
      </c>
      <c r="AI57" s="81" t="str">
        <f>AI58/AI56</f>
        <v>#DIV/0!</v>
      </c>
      <c r="AJ57" s="83">
        <f>AB57</f>
        <v>0.4</v>
      </c>
      <c r="AK57" s="81" t="str">
        <f>AK58/AK56</f>
        <v>#DIV/0!</v>
      </c>
      <c r="AL57" s="88">
        <v>0.4</v>
      </c>
      <c r="AM57" s="81" t="str">
        <f>AM58/AM56</f>
        <v>#DIV/0!</v>
      </c>
      <c r="AN57" s="83">
        <f>AL57</f>
        <v>0.4</v>
      </c>
      <c r="AO57" s="81" t="str">
        <f>AO58/AO56</f>
        <v>#DIV/0!</v>
      </c>
      <c r="AP57" s="83">
        <f>AL57</f>
        <v>0.4</v>
      </c>
      <c r="AQ57" s="81" t="str">
        <f>AQ58/AQ56</f>
        <v>#DIV/0!</v>
      </c>
      <c r="AR57" s="83">
        <f>AL57</f>
        <v>0.4</v>
      </c>
      <c r="AS57" s="81" t="str">
        <f>AS58/AS56</f>
        <v>#DIV/0!</v>
      </c>
      <c r="AT57" s="83">
        <f>AL57</f>
        <v>0.4</v>
      </c>
      <c r="AU57" s="81" t="str">
        <f>AU58/AU56</f>
        <v>#DIV/0!</v>
      </c>
      <c r="AV57" s="88">
        <v>0.4</v>
      </c>
      <c r="AW57" s="81" t="str">
        <f>AW58/AW56</f>
        <v>#DIV/0!</v>
      </c>
      <c r="AX57" s="83">
        <f>AV57</f>
        <v>0.4</v>
      </c>
      <c r="AY57" s="81" t="str">
        <f>AY58/AY56</f>
        <v>#DIV/0!</v>
      </c>
      <c r="AZ57" s="83">
        <f>AV57</f>
        <v>0.4</v>
      </c>
      <c r="BA57" s="81" t="str">
        <f>BA58/BA56</f>
        <v>#DIV/0!</v>
      </c>
      <c r="BB57" s="83">
        <f>AV57</f>
        <v>0.4</v>
      </c>
      <c r="BC57" s="81" t="str">
        <f>BC58/BC56</f>
        <v>#DIV/0!</v>
      </c>
      <c r="BD57" s="83">
        <f>AV57</f>
        <v>0.4</v>
      </c>
      <c r="BE57" s="81" t="str">
        <f>BE58/BE56</f>
        <v>#DIV/0!</v>
      </c>
      <c r="BF57" s="88">
        <v>0.4</v>
      </c>
      <c r="BG57" s="81" t="str">
        <f>BG58/BG56</f>
        <v>#DIV/0!</v>
      </c>
      <c r="BH57" s="83">
        <f>BF57</f>
        <v>0.4</v>
      </c>
      <c r="BI57" s="81" t="str">
        <f>BI58/BI56</f>
        <v>#DIV/0!</v>
      </c>
      <c r="BJ57" s="83">
        <f>BF57</f>
        <v>0.4</v>
      </c>
      <c r="BK57" s="81" t="str">
        <f>BK58/BK56</f>
        <v>#DIV/0!</v>
      </c>
      <c r="BL57" s="83">
        <f>BF57</f>
        <v>0.4</v>
      </c>
      <c r="BM57" s="81" t="str">
        <f>BM58/BM56</f>
        <v>#DIV/0!</v>
      </c>
      <c r="BN57" s="83">
        <f>BF57</f>
        <v>0.4</v>
      </c>
      <c r="BO57" s="81" t="str">
        <f>BO58/BO56</f>
        <v>#DIV/0!</v>
      </c>
      <c r="BP57" s="88">
        <v>0.4</v>
      </c>
      <c r="BQ57" s="81" t="str">
        <f>BQ58/BQ56</f>
        <v>#DIV/0!</v>
      </c>
      <c r="BR57" s="83">
        <f>BP57</f>
        <v>0.4</v>
      </c>
      <c r="BS57" s="81" t="str">
        <f>BS58/BS56</f>
        <v>#DIV/0!</v>
      </c>
      <c r="BT57" s="83">
        <f>BP57</f>
        <v>0.4</v>
      </c>
      <c r="BU57" s="81" t="str">
        <f>BU58/BU56</f>
        <v>#DIV/0!</v>
      </c>
      <c r="BV57" s="83">
        <f>BP57</f>
        <v>0.4</v>
      </c>
      <c r="BW57" s="81" t="str">
        <f>BW58/BW56</f>
        <v>#DIV/0!</v>
      </c>
      <c r="BX57" s="83">
        <f>BP57</f>
        <v>0.4</v>
      </c>
      <c r="BY57" s="81" t="str">
        <f>BY58/BY56</f>
        <v>#DIV/0!</v>
      </c>
      <c r="BZ57" s="88">
        <v>0.4</v>
      </c>
      <c r="CA57" s="81" t="str">
        <f>CA58/CA56</f>
        <v>#DIV/0!</v>
      </c>
      <c r="CB57" s="83">
        <f>BZ57</f>
        <v>0.4</v>
      </c>
      <c r="CC57" s="81" t="str">
        <f>CC58/CC56</f>
        <v>#DIV/0!</v>
      </c>
      <c r="CD57" s="83">
        <f>BZ57</f>
        <v>0.4</v>
      </c>
      <c r="CE57" s="81" t="str">
        <f>CE58/CE56</f>
        <v>#DIV/0!</v>
      </c>
      <c r="CF57" s="83">
        <f>BZ57</f>
        <v>0.4</v>
      </c>
      <c r="CG57" s="81" t="str">
        <f>CG58/CG56</f>
        <v>#DIV/0!</v>
      </c>
      <c r="CH57" s="83">
        <f>BZ57</f>
        <v>0.4</v>
      </c>
      <c r="CI57" s="81" t="str">
        <f>CI58/CI56</f>
        <v>#DIV/0!</v>
      </c>
      <c r="CJ57" s="88">
        <v>0.4</v>
      </c>
      <c r="CK57" s="81" t="str">
        <f>CK58/CK56</f>
        <v>#DIV/0!</v>
      </c>
      <c r="CL57" s="83">
        <f>CJ57</f>
        <v>0.4</v>
      </c>
      <c r="CM57" s="81" t="str">
        <f>CM58/CM56</f>
        <v>#DIV/0!</v>
      </c>
      <c r="CN57" s="83">
        <f>CJ57</f>
        <v>0.4</v>
      </c>
      <c r="CO57" s="81" t="str">
        <f>CO58/CO56</f>
        <v>#DIV/0!</v>
      </c>
      <c r="CP57" s="83">
        <f>CJ57</f>
        <v>0.4</v>
      </c>
      <c r="CQ57" s="81" t="str">
        <f>CQ58/CQ56</f>
        <v>#DIV/0!</v>
      </c>
      <c r="CR57" s="83">
        <f>CJ57</f>
        <v>0.4</v>
      </c>
      <c r="CS57" s="81" t="str">
        <f>CS58/CS56</f>
        <v>#DIV/0!</v>
      </c>
      <c r="CT57" s="88">
        <v>0.4</v>
      </c>
      <c r="CU57" s="81" t="str">
        <f>CU58/CU56</f>
        <v>#DIV/0!</v>
      </c>
      <c r="CV57" s="83">
        <f>CT57</f>
        <v>0.4</v>
      </c>
      <c r="CW57" s="81" t="str">
        <f>CW58/CW56</f>
        <v>#DIV/0!</v>
      </c>
      <c r="CX57" s="83">
        <f>CT57</f>
        <v>0.4</v>
      </c>
      <c r="CY57" s="81" t="str">
        <f>CY58/CY56</f>
        <v>#DIV/0!</v>
      </c>
      <c r="CZ57" s="83">
        <f>CT57</f>
        <v>0.4</v>
      </c>
      <c r="DA57" s="81" t="str">
        <f>DA58/DA56</f>
        <v>#DIV/0!</v>
      </c>
      <c r="DB57" s="83">
        <f>CT57</f>
        <v>0.4</v>
      </c>
      <c r="DC57" s="81" t="str">
        <f>DC58/DC56</f>
        <v>#DIV/0!</v>
      </c>
      <c r="DD57" s="88">
        <v>0.4</v>
      </c>
      <c r="DE57" s="81" t="str">
        <f>DE58/DE56</f>
        <v>#DIV/0!</v>
      </c>
      <c r="DF57" s="83">
        <f>DD57</f>
        <v>0.4</v>
      </c>
      <c r="DG57" s="81" t="str">
        <f>DG58/DG56</f>
        <v>#DIV/0!</v>
      </c>
      <c r="DH57" s="83">
        <f>DD57</f>
        <v>0.4</v>
      </c>
      <c r="DI57" s="81" t="str">
        <f>DI58/DI56</f>
        <v>#DIV/0!</v>
      </c>
      <c r="DJ57" s="83">
        <f>DD57</f>
        <v>0.4</v>
      </c>
      <c r="DK57" s="81" t="str">
        <f>DK58/DK56</f>
        <v>#DIV/0!</v>
      </c>
      <c r="DL57" s="83">
        <f>DD57</f>
        <v>0.4</v>
      </c>
      <c r="DM57" s="81" t="str">
        <f>DM58/DM56</f>
        <v>#DIV/0!</v>
      </c>
      <c r="DN57" s="88">
        <v>0.4</v>
      </c>
      <c r="DO57" s="65" t="str">
        <f>DO58/DO56</f>
        <v>#DIV/0!</v>
      </c>
      <c r="DP57" s="93">
        <f>DN57</f>
        <v>0.4</v>
      </c>
      <c r="DQ57" s="66" t="str">
        <f>DQ58/DQ56</f>
        <v>#DIV/0!</v>
      </c>
      <c r="DR57" s="93">
        <f>DN57</f>
        <v>0.4</v>
      </c>
      <c r="DS57" s="66" t="str">
        <f>DS58/DS56</f>
        <v>#DIV/0!</v>
      </c>
      <c r="DT57" s="93">
        <f>DN57</f>
        <v>0.4</v>
      </c>
      <c r="DU57" s="66" t="str">
        <f>DU58/DU56</f>
        <v>#DIV/0!</v>
      </c>
      <c r="DV57" s="93">
        <f>DN57</f>
        <v>0.4</v>
      </c>
    </row>
    <row r="58" ht="15.75" hidden="1" customHeight="1">
      <c r="A58" s="35"/>
      <c r="B58" s="110"/>
      <c r="C58" s="97" t="s">
        <v>106</v>
      </c>
      <c r="D58" s="79">
        <f t="shared" ref="D58:E58" si="203">SUM(F58+Q58+AA58+AK58+AU58+BE58+BO58+BY58+CI58+CS58+DC58+DM58)</f>
        <v>0</v>
      </c>
      <c r="E58" s="91">
        <f t="shared" si="203"/>
        <v>0</v>
      </c>
      <c r="F58" s="81">
        <f t="shared" ref="F58:F59" si="205">SUM(I58+K58+M58+O58)</f>
        <v>0</v>
      </c>
      <c r="G58" s="82">
        <f>'Dados da Operação'!H29</f>
        <v>0</v>
      </c>
      <c r="H58" s="61" t="str">
        <f t="shared" ref="H58:H60" si="206">G58/F58</f>
        <v>#DIV/0!</v>
      </c>
      <c r="I58" s="83"/>
      <c r="J58" s="79">
        <f t="shared" ref="J58:J59" si="207">G58/4</f>
        <v>0</v>
      </c>
      <c r="K58" s="83"/>
      <c r="L58" s="79">
        <f t="shared" ref="L58:L59" si="208">G58/4</f>
        <v>0</v>
      </c>
      <c r="M58" s="83"/>
      <c r="N58" s="79">
        <f t="shared" ref="N58:N59" si="209">G58/4</f>
        <v>0</v>
      </c>
      <c r="O58" s="83"/>
      <c r="P58" s="79">
        <f t="shared" ref="P58:P59" si="210">G58/4</f>
        <v>0</v>
      </c>
      <c r="Q58" s="79">
        <f t="shared" ref="Q58:Q59" si="211">SUM(S58+U58+W58+Y58)</f>
        <v>0</v>
      </c>
      <c r="R58" s="82">
        <f>'Dados da Operação'!H38</f>
        <v>0</v>
      </c>
      <c r="S58" s="84"/>
      <c r="T58" s="79">
        <f t="shared" ref="T58:T59" si="212">R58/4</f>
        <v>0</v>
      </c>
      <c r="U58" s="84"/>
      <c r="V58" s="79">
        <f t="shared" ref="V58:V59" si="213">R58/4</f>
        <v>0</v>
      </c>
      <c r="W58" s="84"/>
      <c r="X58" s="79">
        <f t="shared" ref="X58:X59" si="214">R58/4</f>
        <v>0</v>
      </c>
      <c r="Y58" s="84"/>
      <c r="Z58" s="79">
        <f t="shared" ref="Z58:Z59" si="215">R58/4</f>
        <v>0</v>
      </c>
      <c r="AA58" s="79">
        <f t="shared" ref="AA58:AA59" si="216">SUM(AC58+AE58+AG58+AI58)</f>
        <v>0</v>
      </c>
      <c r="AB58" s="82">
        <f>'Dados da Operação'!H47</f>
        <v>0</v>
      </c>
      <c r="AC58" s="84"/>
      <c r="AD58" s="79">
        <f t="shared" ref="AD58:AD59" si="217">AB58/4</f>
        <v>0</v>
      </c>
      <c r="AE58" s="84"/>
      <c r="AF58" s="79">
        <f t="shared" ref="AF58:AF59" si="218">AB58/4</f>
        <v>0</v>
      </c>
      <c r="AG58" s="84"/>
      <c r="AH58" s="79">
        <f t="shared" ref="AH58:AH59" si="219">AB58/4</f>
        <v>0</v>
      </c>
      <c r="AI58" s="84"/>
      <c r="AJ58" s="79">
        <f t="shared" ref="AJ58:AJ59" si="220">AB58/4</f>
        <v>0</v>
      </c>
      <c r="AK58" s="79">
        <f t="shared" ref="AK58:AK59" si="221">SUM(AM58+AO58+AQ58+AS58)</f>
        <v>0</v>
      </c>
      <c r="AL58" s="82">
        <f>'Dados da Operação'!H56</f>
        <v>0</v>
      </c>
      <c r="AM58" s="84"/>
      <c r="AN58" s="79">
        <f t="shared" ref="AN58:AN59" si="222">AL58/4</f>
        <v>0</v>
      </c>
      <c r="AO58" s="84"/>
      <c r="AP58" s="79">
        <f t="shared" ref="AP58:AP59" si="223">AL58/4</f>
        <v>0</v>
      </c>
      <c r="AQ58" s="84"/>
      <c r="AR58" s="79">
        <f t="shared" ref="AR58:AR59" si="224">AL58/4</f>
        <v>0</v>
      </c>
      <c r="AS58" s="84"/>
      <c r="AT58" s="79">
        <f t="shared" ref="AT58:AT59" si="225">AL58/4</f>
        <v>0</v>
      </c>
      <c r="AU58" s="79">
        <f t="shared" ref="AU58:AU59" si="226">SUM(AW58+AY58+BA58+BC58)</f>
        <v>0</v>
      </c>
      <c r="AV58" s="82">
        <f>'Dados da Operação'!H65</f>
        <v>0</v>
      </c>
      <c r="AW58" s="84"/>
      <c r="AX58" s="79">
        <f t="shared" ref="AX58:AX59" si="227">AV58/4</f>
        <v>0</v>
      </c>
      <c r="AY58" s="84"/>
      <c r="AZ58" s="79">
        <f t="shared" ref="AZ58:AZ59" si="228">AV58/4</f>
        <v>0</v>
      </c>
      <c r="BA58" s="84"/>
      <c r="BB58" s="79">
        <f t="shared" ref="BB58:BB59" si="229">AV58/4</f>
        <v>0</v>
      </c>
      <c r="BC58" s="84"/>
      <c r="BD58" s="79">
        <f t="shared" ref="BD58:BD59" si="230">AV58/4</f>
        <v>0</v>
      </c>
      <c r="BE58" s="79">
        <f t="shared" ref="BE58:BE59" si="231">SUM(BG58+BI58+BK58+BM58)</f>
        <v>0</v>
      </c>
      <c r="BF58" s="82">
        <f>'Dados da Operação'!H74</f>
        <v>0</v>
      </c>
      <c r="BG58" s="84"/>
      <c r="BH58" s="79">
        <f t="shared" ref="BH58:BH59" si="232">BF58/4</f>
        <v>0</v>
      </c>
      <c r="BI58" s="84"/>
      <c r="BJ58" s="79">
        <f t="shared" ref="BJ58:BJ59" si="233">BF58/4</f>
        <v>0</v>
      </c>
      <c r="BK58" s="84"/>
      <c r="BL58" s="79">
        <f t="shared" ref="BL58:BL59" si="234">BF58/4</f>
        <v>0</v>
      </c>
      <c r="BM58" s="84"/>
      <c r="BN58" s="79">
        <f t="shared" ref="BN58:BN59" si="235">BF58/4</f>
        <v>0</v>
      </c>
      <c r="BO58" s="79">
        <f t="shared" ref="BO58:BO59" si="236">SUM(BQ58+BS58+BU58+BW58)</f>
        <v>0</v>
      </c>
      <c r="BP58" s="82">
        <f>'Dados da Operação'!H83</f>
        <v>0</v>
      </c>
      <c r="BQ58" s="84"/>
      <c r="BR58" s="79">
        <f t="shared" ref="BR58:BR59" si="237">BP58/4</f>
        <v>0</v>
      </c>
      <c r="BS58" s="84"/>
      <c r="BT58" s="79">
        <f t="shared" ref="BT58:BT59" si="238">BP58/4</f>
        <v>0</v>
      </c>
      <c r="BU58" s="84"/>
      <c r="BV58" s="79">
        <f t="shared" ref="BV58:BV59" si="239">BP58/4</f>
        <v>0</v>
      </c>
      <c r="BW58" s="84"/>
      <c r="BX58" s="79">
        <f t="shared" ref="BX58:BX59" si="240">BP58/4</f>
        <v>0</v>
      </c>
      <c r="BY58" s="79">
        <f t="shared" ref="BY58:BY59" si="241">SUM(CA58+CC58+CE58+CG58)</f>
        <v>0</v>
      </c>
      <c r="BZ58" s="82">
        <f>'Dados da Operação'!H92</f>
        <v>0</v>
      </c>
      <c r="CA58" s="84"/>
      <c r="CB58" s="79">
        <f t="shared" ref="CB58:CB59" si="242">BZ58/4</f>
        <v>0</v>
      </c>
      <c r="CC58" s="84"/>
      <c r="CD58" s="79">
        <f t="shared" ref="CD58:CD59" si="243">BZ58/4</f>
        <v>0</v>
      </c>
      <c r="CE58" s="84"/>
      <c r="CF58" s="79">
        <f t="shared" ref="CF58:CF59" si="244">BZ58/4</f>
        <v>0</v>
      </c>
      <c r="CG58" s="84"/>
      <c r="CH58" s="79">
        <f t="shared" ref="CH58:CH59" si="245">BZ58/4</f>
        <v>0</v>
      </c>
      <c r="CI58" s="79">
        <f t="shared" ref="CI58:CI59" si="246">SUM(CK58+CM58+CO58+CQ58)</f>
        <v>0</v>
      </c>
      <c r="CJ58" s="82">
        <f>'Dados da Operação'!H101</f>
        <v>0</v>
      </c>
      <c r="CK58" s="84"/>
      <c r="CL58" s="79">
        <f t="shared" ref="CL58:CL59" si="247">CJ58/4</f>
        <v>0</v>
      </c>
      <c r="CM58" s="84"/>
      <c r="CN58" s="79">
        <f t="shared" ref="CN58:CN59" si="248">CJ58/4</f>
        <v>0</v>
      </c>
      <c r="CO58" s="84"/>
      <c r="CP58" s="79">
        <f t="shared" ref="CP58:CP59" si="249">CJ58/4</f>
        <v>0</v>
      </c>
      <c r="CQ58" s="84"/>
      <c r="CR58" s="79">
        <f t="shared" ref="CR58:CR59" si="250">CJ58/4</f>
        <v>0</v>
      </c>
      <c r="CS58" s="79">
        <f t="shared" ref="CS58:CS59" si="251">SUM(CU58+CW58+CY58+DA58)</f>
        <v>0</v>
      </c>
      <c r="CT58" s="82">
        <f>'Dados da Operação'!H110</f>
        <v>0</v>
      </c>
      <c r="CU58" s="84"/>
      <c r="CV58" s="79">
        <f t="shared" ref="CV58:CV59" si="252">CT58/4</f>
        <v>0</v>
      </c>
      <c r="CW58" s="84"/>
      <c r="CX58" s="79">
        <f t="shared" ref="CX58:CX59" si="253">CT58/4</f>
        <v>0</v>
      </c>
      <c r="CY58" s="84"/>
      <c r="CZ58" s="79">
        <f t="shared" ref="CZ58:CZ59" si="254">CT58/4</f>
        <v>0</v>
      </c>
      <c r="DA58" s="84"/>
      <c r="DB58" s="79">
        <f t="shared" ref="DB58:DB59" si="255">CT58/4</f>
        <v>0</v>
      </c>
      <c r="DC58" s="79">
        <f t="shared" ref="DC58:DC59" si="256">SUM(DE58+DG58+DI58+DK58)</f>
        <v>0</v>
      </c>
      <c r="DD58" s="82">
        <f>'Dados da Operação'!H119</f>
        <v>0</v>
      </c>
      <c r="DE58" s="84"/>
      <c r="DF58" s="79">
        <f t="shared" ref="DF58:DF59" si="257">DD58/4</f>
        <v>0</v>
      </c>
      <c r="DG58" s="84"/>
      <c r="DH58" s="79">
        <f t="shared" ref="DH58:DH59" si="258">DD58/4</f>
        <v>0</v>
      </c>
      <c r="DI58" s="84"/>
      <c r="DJ58" s="79">
        <f t="shared" ref="DJ58:DJ59" si="259">DD58/4</f>
        <v>0</v>
      </c>
      <c r="DK58" s="84"/>
      <c r="DL58" s="79">
        <f t="shared" ref="DL58:DL59" si="260">DD58/4</f>
        <v>0</v>
      </c>
      <c r="DM58" s="79">
        <f t="shared" ref="DM58:DM59" si="261">SUM(DO58+DQ58+DS58+DU58)</f>
        <v>0</v>
      </c>
      <c r="DN58" s="82">
        <f>'Dados da Operação'!H128</f>
        <v>0</v>
      </c>
      <c r="DO58" s="92"/>
      <c r="DP58" s="62">
        <f t="shared" ref="DP58:DP59" si="262">DN58/4</f>
        <v>0</v>
      </c>
      <c r="DQ58" s="92"/>
      <c r="DR58" s="62">
        <f t="shared" ref="DR58:DR59" si="263">DN58/4</f>
        <v>0</v>
      </c>
      <c r="DS58" s="92"/>
      <c r="DT58" s="62">
        <f t="shared" ref="DT58:DT59" si="264">DN58/4</f>
        <v>0</v>
      </c>
      <c r="DU58" s="92"/>
      <c r="DV58" s="62">
        <f t="shared" ref="DV58:DV59" si="265">DN58/4</f>
        <v>0</v>
      </c>
    </row>
    <row r="59" ht="15.75" hidden="1" customHeight="1">
      <c r="A59" s="71"/>
      <c r="B59" s="110"/>
      <c r="C59" s="101" t="s">
        <v>107</v>
      </c>
      <c r="D59" s="102">
        <f t="shared" ref="D59:E59" si="204">SUM(F59+Q59+AA59+AK59+AU59+BE59+BO59+BY59+CI59+CS59+DC59+DM59)</f>
        <v>0</v>
      </c>
      <c r="E59" s="102">
        <f t="shared" si="204"/>
        <v>0</v>
      </c>
      <c r="F59" s="102">
        <f t="shared" si="205"/>
        <v>0</v>
      </c>
      <c r="G59" s="82">
        <f>'Dados da Operação'!G29</f>
        <v>0</v>
      </c>
      <c r="H59" s="61" t="str">
        <f t="shared" si="206"/>
        <v>#DIV/0!</v>
      </c>
      <c r="I59" s="76"/>
      <c r="J59" s="102">
        <f t="shared" si="207"/>
        <v>0</v>
      </c>
      <c r="K59" s="76"/>
      <c r="L59" s="102">
        <f t="shared" si="208"/>
        <v>0</v>
      </c>
      <c r="M59" s="76"/>
      <c r="N59" s="102">
        <f t="shared" si="209"/>
        <v>0</v>
      </c>
      <c r="O59" s="76"/>
      <c r="P59" s="102">
        <f t="shared" si="210"/>
        <v>0</v>
      </c>
      <c r="Q59" s="102">
        <f t="shared" si="211"/>
        <v>0</v>
      </c>
      <c r="R59" s="76">
        <f>'Dados da Operação'!G38</f>
        <v>0</v>
      </c>
      <c r="S59" s="76"/>
      <c r="T59" s="102">
        <f t="shared" si="212"/>
        <v>0</v>
      </c>
      <c r="U59" s="76"/>
      <c r="V59" s="102">
        <f t="shared" si="213"/>
        <v>0</v>
      </c>
      <c r="W59" s="76"/>
      <c r="X59" s="102">
        <f t="shared" si="214"/>
        <v>0</v>
      </c>
      <c r="Y59" s="76"/>
      <c r="Z59" s="102">
        <f t="shared" si="215"/>
        <v>0</v>
      </c>
      <c r="AA59" s="102">
        <f t="shared" si="216"/>
        <v>0</v>
      </c>
      <c r="AB59" s="76">
        <f>'Dados da Operação'!G47</f>
        <v>0</v>
      </c>
      <c r="AC59" s="76"/>
      <c r="AD59" s="102">
        <f t="shared" si="217"/>
        <v>0</v>
      </c>
      <c r="AE59" s="76"/>
      <c r="AF59" s="102">
        <f t="shared" si="218"/>
        <v>0</v>
      </c>
      <c r="AG59" s="76"/>
      <c r="AH59" s="102">
        <f t="shared" si="219"/>
        <v>0</v>
      </c>
      <c r="AI59" s="76"/>
      <c r="AJ59" s="102">
        <f t="shared" si="220"/>
        <v>0</v>
      </c>
      <c r="AK59" s="102">
        <f t="shared" si="221"/>
        <v>0</v>
      </c>
      <c r="AL59" s="76">
        <f>'Dados da Operação'!G56</f>
        <v>0</v>
      </c>
      <c r="AM59" s="76"/>
      <c r="AN59" s="102">
        <f t="shared" si="222"/>
        <v>0</v>
      </c>
      <c r="AO59" s="76"/>
      <c r="AP59" s="102">
        <f t="shared" si="223"/>
        <v>0</v>
      </c>
      <c r="AQ59" s="76"/>
      <c r="AR59" s="102">
        <f t="shared" si="224"/>
        <v>0</v>
      </c>
      <c r="AS59" s="76"/>
      <c r="AT59" s="102">
        <f t="shared" si="225"/>
        <v>0</v>
      </c>
      <c r="AU59" s="102">
        <f t="shared" si="226"/>
        <v>0</v>
      </c>
      <c r="AV59" s="76">
        <f>'Dados da Operação'!G65</f>
        <v>0</v>
      </c>
      <c r="AW59" s="76"/>
      <c r="AX59" s="102">
        <f t="shared" si="227"/>
        <v>0</v>
      </c>
      <c r="AY59" s="76"/>
      <c r="AZ59" s="102">
        <f t="shared" si="228"/>
        <v>0</v>
      </c>
      <c r="BA59" s="76"/>
      <c r="BB59" s="102">
        <f t="shared" si="229"/>
        <v>0</v>
      </c>
      <c r="BC59" s="76"/>
      <c r="BD59" s="102">
        <f t="shared" si="230"/>
        <v>0</v>
      </c>
      <c r="BE59" s="102">
        <f t="shared" si="231"/>
        <v>0</v>
      </c>
      <c r="BF59" s="76">
        <f>'Dados da Operação'!G74</f>
        <v>0</v>
      </c>
      <c r="BG59" s="76"/>
      <c r="BH59" s="102">
        <f t="shared" si="232"/>
        <v>0</v>
      </c>
      <c r="BI59" s="76"/>
      <c r="BJ59" s="102">
        <f t="shared" si="233"/>
        <v>0</v>
      </c>
      <c r="BK59" s="76"/>
      <c r="BL59" s="102">
        <f t="shared" si="234"/>
        <v>0</v>
      </c>
      <c r="BM59" s="76"/>
      <c r="BN59" s="102">
        <f t="shared" si="235"/>
        <v>0</v>
      </c>
      <c r="BO59" s="102">
        <f t="shared" si="236"/>
        <v>0</v>
      </c>
      <c r="BP59" s="76">
        <f>'Dados da Operação'!G83</f>
        <v>0</v>
      </c>
      <c r="BQ59" s="76"/>
      <c r="BR59" s="102">
        <f t="shared" si="237"/>
        <v>0</v>
      </c>
      <c r="BS59" s="76"/>
      <c r="BT59" s="102">
        <f t="shared" si="238"/>
        <v>0</v>
      </c>
      <c r="BU59" s="76"/>
      <c r="BV59" s="102">
        <f t="shared" si="239"/>
        <v>0</v>
      </c>
      <c r="BW59" s="76"/>
      <c r="BX59" s="102">
        <f t="shared" si="240"/>
        <v>0</v>
      </c>
      <c r="BY59" s="102">
        <f t="shared" si="241"/>
        <v>0</v>
      </c>
      <c r="BZ59" s="76">
        <f>'Dados da Operação'!G92</f>
        <v>0</v>
      </c>
      <c r="CA59" s="76"/>
      <c r="CB59" s="102">
        <f t="shared" si="242"/>
        <v>0</v>
      </c>
      <c r="CC59" s="76"/>
      <c r="CD59" s="102">
        <f t="shared" si="243"/>
        <v>0</v>
      </c>
      <c r="CE59" s="76"/>
      <c r="CF59" s="102">
        <f t="shared" si="244"/>
        <v>0</v>
      </c>
      <c r="CG59" s="76"/>
      <c r="CH59" s="102">
        <f t="shared" si="245"/>
        <v>0</v>
      </c>
      <c r="CI59" s="102">
        <f t="shared" si="246"/>
        <v>0</v>
      </c>
      <c r="CJ59" s="76">
        <f>'Dados da Operação'!G101</f>
        <v>0</v>
      </c>
      <c r="CK59" s="76"/>
      <c r="CL59" s="102">
        <f t="shared" si="247"/>
        <v>0</v>
      </c>
      <c r="CM59" s="76"/>
      <c r="CN59" s="102">
        <f t="shared" si="248"/>
        <v>0</v>
      </c>
      <c r="CO59" s="76"/>
      <c r="CP59" s="102">
        <f t="shared" si="249"/>
        <v>0</v>
      </c>
      <c r="CQ59" s="76"/>
      <c r="CR59" s="102">
        <f t="shared" si="250"/>
        <v>0</v>
      </c>
      <c r="CS59" s="102">
        <f t="shared" si="251"/>
        <v>0</v>
      </c>
      <c r="CT59" s="76">
        <f>'Dados da Operação'!G110</f>
        <v>0</v>
      </c>
      <c r="CU59" s="76"/>
      <c r="CV59" s="102">
        <f t="shared" si="252"/>
        <v>0</v>
      </c>
      <c r="CW59" s="76"/>
      <c r="CX59" s="102">
        <f t="shared" si="253"/>
        <v>0</v>
      </c>
      <c r="CY59" s="76"/>
      <c r="CZ59" s="102">
        <f t="shared" si="254"/>
        <v>0</v>
      </c>
      <c r="DA59" s="76"/>
      <c r="DB59" s="102">
        <f t="shared" si="255"/>
        <v>0</v>
      </c>
      <c r="DC59" s="102">
        <f t="shared" si="256"/>
        <v>0</v>
      </c>
      <c r="DD59" s="76">
        <f>'Dados da Operação'!G119</f>
        <v>0</v>
      </c>
      <c r="DE59" s="76"/>
      <c r="DF59" s="102">
        <f t="shared" si="257"/>
        <v>0</v>
      </c>
      <c r="DG59" s="76"/>
      <c r="DH59" s="102">
        <f t="shared" si="258"/>
        <v>0</v>
      </c>
      <c r="DI59" s="76"/>
      <c r="DJ59" s="102">
        <f t="shared" si="259"/>
        <v>0</v>
      </c>
      <c r="DK59" s="76"/>
      <c r="DL59" s="102">
        <f t="shared" si="260"/>
        <v>0</v>
      </c>
      <c r="DM59" s="102">
        <f t="shared" si="261"/>
        <v>0</v>
      </c>
      <c r="DN59" s="76">
        <f>'Dados da Operação'!G128</f>
        <v>0</v>
      </c>
      <c r="DO59" s="103"/>
      <c r="DP59" s="74">
        <f t="shared" si="262"/>
        <v>0</v>
      </c>
      <c r="DQ59" s="103"/>
      <c r="DR59" s="74">
        <f t="shared" si="263"/>
        <v>0</v>
      </c>
      <c r="DS59" s="103"/>
      <c r="DT59" s="74">
        <f t="shared" si="264"/>
        <v>0</v>
      </c>
      <c r="DU59" s="103"/>
      <c r="DV59" s="74">
        <f t="shared" si="265"/>
        <v>0</v>
      </c>
    </row>
    <row r="60" ht="15.75" hidden="1" customHeight="1">
      <c r="A60" s="71"/>
      <c r="B60" s="113"/>
      <c r="C60" s="101" t="s">
        <v>12</v>
      </c>
      <c r="D60" s="102" t="str">
        <f t="shared" ref="D60:F60" si="266">D59/D58</f>
        <v>#DIV/0!</v>
      </c>
      <c r="E60" s="102" t="str">
        <f t="shared" si="266"/>
        <v>#DIV/0!</v>
      </c>
      <c r="F60" s="102" t="str">
        <f t="shared" si="266"/>
        <v>#DIV/0!</v>
      </c>
      <c r="G60" s="82">
        <f>'Dados da Operação'!$C$5</f>
        <v>2500</v>
      </c>
      <c r="H60" s="61" t="str">
        <f t="shared" si="206"/>
        <v>#DIV/0!</v>
      </c>
      <c r="I60" s="102" t="str">
        <f>I59/I58</f>
        <v>#DIV/0!</v>
      </c>
      <c r="J60" s="76">
        <f>G60</f>
        <v>2500</v>
      </c>
      <c r="K60" s="102" t="str">
        <f>K59/K58</f>
        <v>#DIV/0!</v>
      </c>
      <c r="L60" s="76">
        <f>G60</f>
        <v>2500</v>
      </c>
      <c r="M60" s="102" t="str">
        <f>M59/M58</f>
        <v>#DIV/0!</v>
      </c>
      <c r="N60" s="76">
        <f>G60</f>
        <v>2500</v>
      </c>
      <c r="O60" s="102" t="str">
        <f>O59/O58</f>
        <v>#DIV/0!</v>
      </c>
      <c r="P60" s="76">
        <f>G60</f>
        <v>2500</v>
      </c>
      <c r="Q60" s="102" t="str">
        <f>Q59/Q58</f>
        <v>#DIV/0!</v>
      </c>
      <c r="R60" s="76">
        <f>'Dados da Operação'!$C$5</f>
        <v>2500</v>
      </c>
      <c r="S60" s="102" t="str">
        <f>S59/S58</f>
        <v>#DIV/0!</v>
      </c>
      <c r="T60" s="76">
        <f>R60</f>
        <v>2500</v>
      </c>
      <c r="U60" s="102" t="str">
        <f>U59/U58</f>
        <v>#DIV/0!</v>
      </c>
      <c r="V60" s="76">
        <f>R60</f>
        <v>2500</v>
      </c>
      <c r="W60" s="102" t="str">
        <f>W59/W58</f>
        <v>#DIV/0!</v>
      </c>
      <c r="X60" s="76">
        <f>R60</f>
        <v>2500</v>
      </c>
      <c r="Y60" s="102" t="str">
        <f>Y59/Y58</f>
        <v>#DIV/0!</v>
      </c>
      <c r="Z60" s="76">
        <f>R60</f>
        <v>2500</v>
      </c>
      <c r="AA60" s="102" t="str">
        <f>AA59/AA58</f>
        <v>#DIV/0!</v>
      </c>
      <c r="AB60" s="76">
        <f>'Dados da Operação'!$C$5</f>
        <v>2500</v>
      </c>
      <c r="AC60" s="102" t="str">
        <f>AC59/AC58</f>
        <v>#DIV/0!</v>
      </c>
      <c r="AD60" s="76">
        <f>AB60</f>
        <v>2500</v>
      </c>
      <c r="AE60" s="102" t="str">
        <f>AE59/AE58</f>
        <v>#DIV/0!</v>
      </c>
      <c r="AF60" s="76">
        <f>AB60</f>
        <v>2500</v>
      </c>
      <c r="AG60" s="102" t="str">
        <f>AG59/AG58</f>
        <v>#DIV/0!</v>
      </c>
      <c r="AH60" s="76">
        <f>AB60</f>
        <v>2500</v>
      </c>
      <c r="AI60" s="102" t="str">
        <f>AI59/AI58</f>
        <v>#DIV/0!</v>
      </c>
      <c r="AJ60" s="76">
        <f>AB60</f>
        <v>2500</v>
      </c>
      <c r="AK60" s="102" t="str">
        <f>AK59/AK58</f>
        <v>#DIV/0!</v>
      </c>
      <c r="AL60" s="76">
        <f>'Dados da Operação'!$C$5</f>
        <v>2500</v>
      </c>
      <c r="AM60" s="102" t="str">
        <f>AM59/AM58</f>
        <v>#DIV/0!</v>
      </c>
      <c r="AN60" s="76">
        <f>AL60</f>
        <v>2500</v>
      </c>
      <c r="AO60" s="102" t="str">
        <f>AO59/AO58</f>
        <v>#DIV/0!</v>
      </c>
      <c r="AP60" s="76">
        <f>AL60</f>
        <v>2500</v>
      </c>
      <c r="AQ60" s="102" t="str">
        <f>AQ59/AQ58</f>
        <v>#DIV/0!</v>
      </c>
      <c r="AR60" s="76">
        <f>AL60</f>
        <v>2500</v>
      </c>
      <c r="AS60" s="102" t="str">
        <f>AS59/AS58</f>
        <v>#DIV/0!</v>
      </c>
      <c r="AT60" s="76">
        <f>AL60</f>
        <v>2500</v>
      </c>
      <c r="AU60" s="102" t="str">
        <f>AU59/AU58</f>
        <v>#DIV/0!</v>
      </c>
      <c r="AV60" s="76">
        <f>'Dados da Operação'!$C$5</f>
        <v>2500</v>
      </c>
      <c r="AW60" s="102" t="str">
        <f>AW59/AW58</f>
        <v>#DIV/0!</v>
      </c>
      <c r="AX60" s="76">
        <f>AV60</f>
        <v>2500</v>
      </c>
      <c r="AY60" s="102" t="str">
        <f>AY59/AY58</f>
        <v>#DIV/0!</v>
      </c>
      <c r="AZ60" s="76">
        <f>AV60</f>
        <v>2500</v>
      </c>
      <c r="BA60" s="102" t="str">
        <f>BA59/BA58</f>
        <v>#DIV/0!</v>
      </c>
      <c r="BB60" s="76">
        <f>AV60</f>
        <v>2500</v>
      </c>
      <c r="BC60" s="102" t="str">
        <f>BC59/BC58</f>
        <v>#DIV/0!</v>
      </c>
      <c r="BD60" s="76">
        <f>AV60</f>
        <v>2500</v>
      </c>
      <c r="BE60" s="102" t="str">
        <f>BE59/BE58</f>
        <v>#DIV/0!</v>
      </c>
      <c r="BF60" s="76">
        <f>'Dados da Operação'!$C$5</f>
        <v>2500</v>
      </c>
      <c r="BG60" s="102" t="str">
        <f>BG59/BG58</f>
        <v>#DIV/0!</v>
      </c>
      <c r="BH60" s="76">
        <f>BF60</f>
        <v>2500</v>
      </c>
      <c r="BI60" s="102" t="str">
        <f>BI59/BI58</f>
        <v>#DIV/0!</v>
      </c>
      <c r="BJ60" s="76">
        <f>BF60</f>
        <v>2500</v>
      </c>
      <c r="BK60" s="102" t="str">
        <f>BK59/BK58</f>
        <v>#DIV/0!</v>
      </c>
      <c r="BL60" s="76">
        <f>BF60</f>
        <v>2500</v>
      </c>
      <c r="BM60" s="102" t="str">
        <f>BM59/BM58</f>
        <v>#DIV/0!</v>
      </c>
      <c r="BN60" s="76">
        <f>BF60</f>
        <v>2500</v>
      </c>
      <c r="BO60" s="102" t="str">
        <f>BO59/BO58</f>
        <v>#DIV/0!</v>
      </c>
      <c r="BP60" s="76">
        <f>'Dados da Operação'!$C$5</f>
        <v>2500</v>
      </c>
      <c r="BQ60" s="102" t="str">
        <f>BQ59/BQ58</f>
        <v>#DIV/0!</v>
      </c>
      <c r="BR60" s="76">
        <f>BP60</f>
        <v>2500</v>
      </c>
      <c r="BS60" s="102" t="str">
        <f>BS59/BS58</f>
        <v>#DIV/0!</v>
      </c>
      <c r="BT60" s="76">
        <f>BP60</f>
        <v>2500</v>
      </c>
      <c r="BU60" s="102" t="str">
        <f>BU59/BU58</f>
        <v>#DIV/0!</v>
      </c>
      <c r="BV60" s="76">
        <f>BP60</f>
        <v>2500</v>
      </c>
      <c r="BW60" s="102" t="str">
        <f>BW59/BW58</f>
        <v>#DIV/0!</v>
      </c>
      <c r="BX60" s="76">
        <f>BP60</f>
        <v>2500</v>
      </c>
      <c r="BY60" s="102" t="str">
        <f>BY59/BY58</f>
        <v>#DIV/0!</v>
      </c>
      <c r="BZ60" s="76">
        <f>'Dados da Operação'!$C$5</f>
        <v>2500</v>
      </c>
      <c r="CA60" s="102" t="str">
        <f>CA59/CA58</f>
        <v>#DIV/0!</v>
      </c>
      <c r="CB60" s="76">
        <f>BZ60</f>
        <v>2500</v>
      </c>
      <c r="CC60" s="102" t="str">
        <f>CC59/CC58</f>
        <v>#DIV/0!</v>
      </c>
      <c r="CD60" s="76">
        <f>BZ60</f>
        <v>2500</v>
      </c>
      <c r="CE60" s="102" t="str">
        <f>CE59/CE58</f>
        <v>#DIV/0!</v>
      </c>
      <c r="CF60" s="76">
        <f>BZ60</f>
        <v>2500</v>
      </c>
      <c r="CG60" s="102" t="str">
        <f>CG59/CG58</f>
        <v>#DIV/0!</v>
      </c>
      <c r="CH60" s="76">
        <f>BZ60</f>
        <v>2500</v>
      </c>
      <c r="CI60" s="102" t="str">
        <f>CI59/CI58</f>
        <v>#DIV/0!</v>
      </c>
      <c r="CJ60" s="76">
        <f>'Dados da Operação'!$C$5</f>
        <v>2500</v>
      </c>
      <c r="CK60" s="102" t="str">
        <f>CK59/CK58</f>
        <v>#DIV/0!</v>
      </c>
      <c r="CL60" s="76">
        <f>CJ60</f>
        <v>2500</v>
      </c>
      <c r="CM60" s="102" t="str">
        <f>CM59/CM58</f>
        <v>#DIV/0!</v>
      </c>
      <c r="CN60" s="76">
        <f>CJ60</f>
        <v>2500</v>
      </c>
      <c r="CO60" s="102" t="str">
        <f>CO59/CO58</f>
        <v>#DIV/0!</v>
      </c>
      <c r="CP60" s="76">
        <f>CJ60</f>
        <v>2500</v>
      </c>
      <c r="CQ60" s="102" t="str">
        <f>CQ59/CQ58</f>
        <v>#DIV/0!</v>
      </c>
      <c r="CR60" s="76">
        <f>CJ60</f>
        <v>2500</v>
      </c>
      <c r="CS60" s="102" t="str">
        <f>CS59/CS58</f>
        <v>#DIV/0!</v>
      </c>
      <c r="CT60" s="76">
        <f>'Dados da Operação'!$C$5</f>
        <v>2500</v>
      </c>
      <c r="CU60" s="102" t="str">
        <f>CU59/CU58</f>
        <v>#DIV/0!</v>
      </c>
      <c r="CV60" s="76">
        <f>CT60</f>
        <v>2500</v>
      </c>
      <c r="CW60" s="102" t="str">
        <f>CW59/CW58</f>
        <v>#DIV/0!</v>
      </c>
      <c r="CX60" s="76">
        <f>CT60</f>
        <v>2500</v>
      </c>
      <c r="CY60" s="102" t="str">
        <f>CY59/CY58</f>
        <v>#DIV/0!</v>
      </c>
      <c r="CZ60" s="76">
        <f>CT60</f>
        <v>2500</v>
      </c>
      <c r="DA60" s="102" t="str">
        <f>DA59/DA58</f>
        <v>#DIV/0!</v>
      </c>
      <c r="DB60" s="76">
        <f>CT60</f>
        <v>2500</v>
      </c>
      <c r="DC60" s="102" t="str">
        <f>DC59/DC58</f>
        <v>#DIV/0!</v>
      </c>
      <c r="DD60" s="76">
        <f>'Dados da Operação'!$C$5</f>
        <v>2500</v>
      </c>
      <c r="DE60" s="102" t="str">
        <f>DE59/DE58</f>
        <v>#DIV/0!</v>
      </c>
      <c r="DF60" s="76">
        <f>DD60</f>
        <v>2500</v>
      </c>
      <c r="DG60" s="102" t="str">
        <f>DG59/DG58</f>
        <v>#DIV/0!</v>
      </c>
      <c r="DH60" s="76">
        <f>DD60</f>
        <v>2500</v>
      </c>
      <c r="DI60" s="102" t="str">
        <f>DI59/DI58</f>
        <v>#DIV/0!</v>
      </c>
      <c r="DJ60" s="76">
        <f>DD60</f>
        <v>2500</v>
      </c>
      <c r="DK60" s="102" t="str">
        <f>DK59/DK58</f>
        <v>#DIV/0!</v>
      </c>
      <c r="DL60" s="76">
        <f>DD60</f>
        <v>2500</v>
      </c>
      <c r="DM60" s="102" t="str">
        <f>DM59/DM58</f>
        <v>#DIV/0!</v>
      </c>
      <c r="DN60" s="76">
        <f>'Dados da Operação'!$C$5</f>
        <v>2500</v>
      </c>
      <c r="DO60" s="73" t="str">
        <f>DO59/DO58</f>
        <v>#DIV/0!</v>
      </c>
      <c r="DP60" s="105">
        <f>DN60</f>
        <v>2500</v>
      </c>
      <c r="DQ60" s="73" t="str">
        <f>DQ59/DQ58</f>
        <v>#DIV/0!</v>
      </c>
      <c r="DR60" s="105">
        <f>DN60</f>
        <v>2500</v>
      </c>
      <c r="DS60" s="73" t="str">
        <f>DS59/DS58</f>
        <v>#DIV/0!</v>
      </c>
      <c r="DT60" s="105">
        <f>DN60</f>
        <v>2500</v>
      </c>
      <c r="DU60" s="73" t="str">
        <f>DU59/DU58</f>
        <v>#DIV/0!</v>
      </c>
      <c r="DV60" s="105">
        <f>DN60</f>
        <v>2500</v>
      </c>
    </row>
    <row r="61" ht="39.0" hidden="1" customHeight="1">
      <c r="A61" s="35"/>
      <c r="B61" s="42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</row>
    <row r="62" ht="15.75" hidden="1" customHeight="1">
      <c r="A62" s="35"/>
      <c r="B62" s="108" t="s">
        <v>112</v>
      </c>
      <c r="C62" s="78" t="s">
        <v>95</v>
      </c>
      <c r="D62" s="79">
        <f t="shared" ref="D62:E62" si="267">SUM(F62+Q62+AA62+AK62+AU62+BE62+BO62+BY62+CI62+CS62+DC62+DM62)</f>
        <v>0</v>
      </c>
      <c r="E62" s="91">
        <f t="shared" si="267"/>
        <v>0</v>
      </c>
      <c r="F62" s="81">
        <f>SUM(I62+K62+M62+O62)</f>
        <v>0</v>
      </c>
      <c r="G62" s="82">
        <f>G64/G63</f>
        <v>0</v>
      </c>
      <c r="H62" s="61" t="str">
        <f>F62/G62</f>
        <v>#DIV/0!</v>
      </c>
      <c r="I62" s="83"/>
      <c r="J62" s="79">
        <f>G62/4</f>
        <v>0</v>
      </c>
      <c r="K62" s="83"/>
      <c r="L62" s="79">
        <f>G62/4</f>
        <v>0</v>
      </c>
      <c r="M62" s="83"/>
      <c r="N62" s="79">
        <f>G62/4</f>
        <v>0</v>
      </c>
      <c r="O62" s="83"/>
      <c r="P62" s="79">
        <f>G62/4</f>
        <v>0</v>
      </c>
      <c r="Q62" s="79">
        <f>SUM(S62+U62+W62+Y62)</f>
        <v>0</v>
      </c>
      <c r="R62" s="82">
        <f>R64/R63</f>
        <v>0</v>
      </c>
      <c r="S62" s="84"/>
      <c r="T62" s="79">
        <f>R62/4</f>
        <v>0</v>
      </c>
      <c r="U62" s="84"/>
      <c r="V62" s="79">
        <f>R62/4</f>
        <v>0</v>
      </c>
      <c r="W62" s="84"/>
      <c r="X62" s="79">
        <f>R62/4</f>
        <v>0</v>
      </c>
      <c r="Y62" s="84"/>
      <c r="Z62" s="79">
        <f>R62/4</f>
        <v>0</v>
      </c>
      <c r="AA62" s="79">
        <f>SUM(AC62+AE62+AG62+AI62)</f>
        <v>0</v>
      </c>
      <c r="AB62" s="82">
        <f>AB64/AB63</f>
        <v>0</v>
      </c>
      <c r="AC62" s="84"/>
      <c r="AD62" s="79">
        <f>AB62/4</f>
        <v>0</v>
      </c>
      <c r="AE62" s="84"/>
      <c r="AF62" s="79">
        <f>AB62/4</f>
        <v>0</v>
      </c>
      <c r="AG62" s="84"/>
      <c r="AH62" s="79">
        <f>AB62/4</f>
        <v>0</v>
      </c>
      <c r="AI62" s="84"/>
      <c r="AJ62" s="79">
        <f>AB62/4</f>
        <v>0</v>
      </c>
      <c r="AK62" s="79">
        <f>SUM(AM62+AO62+AQ62+AS62)</f>
        <v>0</v>
      </c>
      <c r="AL62" s="82">
        <f>AL64/AL63</f>
        <v>0</v>
      </c>
      <c r="AM62" s="84"/>
      <c r="AN62" s="79">
        <f>AL62/4</f>
        <v>0</v>
      </c>
      <c r="AO62" s="84"/>
      <c r="AP62" s="79">
        <f>AL62/4</f>
        <v>0</v>
      </c>
      <c r="AQ62" s="84"/>
      <c r="AR62" s="79">
        <f>AL62/4</f>
        <v>0</v>
      </c>
      <c r="AS62" s="84"/>
      <c r="AT62" s="79">
        <f>AL62/4</f>
        <v>0</v>
      </c>
      <c r="AU62" s="79">
        <f>SUM(AW62+AY62+BA62+BC62)</f>
        <v>0</v>
      </c>
      <c r="AV62" s="82">
        <f>AV64/AV63</f>
        <v>0</v>
      </c>
      <c r="AW62" s="84"/>
      <c r="AX62" s="79">
        <f>AV62/4</f>
        <v>0</v>
      </c>
      <c r="AY62" s="84"/>
      <c r="AZ62" s="79">
        <f>AV62/4</f>
        <v>0</v>
      </c>
      <c r="BA62" s="84"/>
      <c r="BB62" s="79">
        <f>AV62/4</f>
        <v>0</v>
      </c>
      <c r="BC62" s="84"/>
      <c r="BD62" s="79">
        <f>AV62/4</f>
        <v>0</v>
      </c>
      <c r="BE62" s="79">
        <f>SUM(BG62+BI62+BK62+BM62)</f>
        <v>0</v>
      </c>
      <c r="BF62" s="82">
        <f>BF64/BF63</f>
        <v>0</v>
      </c>
      <c r="BG62" s="84"/>
      <c r="BH62" s="79">
        <f>BF62/4</f>
        <v>0</v>
      </c>
      <c r="BI62" s="84"/>
      <c r="BJ62" s="79">
        <f>BF62/4</f>
        <v>0</v>
      </c>
      <c r="BK62" s="84"/>
      <c r="BL62" s="79">
        <f>BF62/4</f>
        <v>0</v>
      </c>
      <c r="BM62" s="84"/>
      <c r="BN62" s="79">
        <f>BF62/4</f>
        <v>0</v>
      </c>
      <c r="BO62" s="79">
        <f>SUM(BQ62+BS62+BU62+BW62)</f>
        <v>0</v>
      </c>
      <c r="BP62" s="82">
        <f>BP64/BP63</f>
        <v>0</v>
      </c>
      <c r="BQ62" s="84"/>
      <c r="BR62" s="79">
        <f>BP62/4</f>
        <v>0</v>
      </c>
      <c r="BS62" s="84"/>
      <c r="BT62" s="79">
        <f>BP62/4</f>
        <v>0</v>
      </c>
      <c r="BU62" s="84"/>
      <c r="BV62" s="79">
        <f>BP62/4</f>
        <v>0</v>
      </c>
      <c r="BW62" s="84"/>
      <c r="BX62" s="79">
        <f>BP62/4</f>
        <v>0</v>
      </c>
      <c r="BY62" s="79">
        <f>SUM(CA62+CC62+CE62+CG62)</f>
        <v>0</v>
      </c>
      <c r="BZ62" s="82">
        <f>BZ64/BZ63</f>
        <v>0</v>
      </c>
      <c r="CA62" s="84"/>
      <c r="CB62" s="79">
        <f>BZ62/4</f>
        <v>0</v>
      </c>
      <c r="CC62" s="84"/>
      <c r="CD62" s="79">
        <f>BZ62/4</f>
        <v>0</v>
      </c>
      <c r="CE62" s="84"/>
      <c r="CF62" s="79">
        <f>BZ62/4</f>
        <v>0</v>
      </c>
      <c r="CG62" s="84"/>
      <c r="CH62" s="79">
        <f>BZ62/4</f>
        <v>0</v>
      </c>
      <c r="CI62" s="79">
        <f>SUM(CK62+CM62+CO62+CQ62)</f>
        <v>0</v>
      </c>
      <c r="CJ62" s="82">
        <f>CJ64/CJ63</f>
        <v>0</v>
      </c>
      <c r="CK62" s="84"/>
      <c r="CL62" s="79">
        <f>CJ62/4</f>
        <v>0</v>
      </c>
      <c r="CM62" s="84"/>
      <c r="CN62" s="79">
        <f>CJ62/4</f>
        <v>0</v>
      </c>
      <c r="CO62" s="84"/>
      <c r="CP62" s="79">
        <f>CJ62/4</f>
        <v>0</v>
      </c>
      <c r="CQ62" s="84"/>
      <c r="CR62" s="79">
        <f>CJ62/4</f>
        <v>0</v>
      </c>
      <c r="CS62" s="79">
        <f>SUM(CU62+CW62+CY62+DA62)</f>
        <v>0</v>
      </c>
      <c r="CT62" s="82">
        <f>CT64/CT63</f>
        <v>0</v>
      </c>
      <c r="CU62" s="84"/>
      <c r="CV62" s="79">
        <f>CT62/4</f>
        <v>0</v>
      </c>
      <c r="CW62" s="84"/>
      <c r="CX62" s="79">
        <f>CT62/4</f>
        <v>0</v>
      </c>
      <c r="CY62" s="84"/>
      <c r="CZ62" s="79">
        <f>CT62/4</f>
        <v>0</v>
      </c>
      <c r="DA62" s="84"/>
      <c r="DB62" s="79">
        <f>CT62/4</f>
        <v>0</v>
      </c>
      <c r="DC62" s="79">
        <f>SUM(DE62+DG62+DI62+DK62)</f>
        <v>0</v>
      </c>
      <c r="DD62" s="82">
        <f>DD64/DD63</f>
        <v>0</v>
      </c>
      <c r="DE62" s="84"/>
      <c r="DF62" s="79">
        <f>DD62/4</f>
        <v>0</v>
      </c>
      <c r="DG62" s="84"/>
      <c r="DH62" s="79">
        <f>DD62/4</f>
        <v>0</v>
      </c>
      <c r="DI62" s="84"/>
      <c r="DJ62" s="79">
        <f>DD62/4</f>
        <v>0</v>
      </c>
      <c r="DK62" s="84"/>
      <c r="DL62" s="79">
        <f>DD62/4</f>
        <v>0</v>
      </c>
      <c r="DM62" s="79">
        <f>SUM(DO62+DQ62+DS62+DU62)</f>
        <v>0</v>
      </c>
      <c r="DN62" s="82">
        <f>DN64/DN63</f>
        <v>0</v>
      </c>
      <c r="DO62" s="85"/>
      <c r="DP62" s="86">
        <f>DN62/4</f>
        <v>0</v>
      </c>
      <c r="DQ62" s="85"/>
      <c r="DR62" s="86">
        <f>DN62/4</f>
        <v>0</v>
      </c>
      <c r="DS62" s="85"/>
      <c r="DT62" s="86">
        <f>DN62/4</f>
        <v>0</v>
      </c>
      <c r="DU62" s="85"/>
      <c r="DV62" s="86">
        <f>DN62/4</f>
        <v>0</v>
      </c>
    </row>
    <row r="63" ht="15.75" hidden="1" customHeight="1">
      <c r="A63" s="35"/>
      <c r="B63" s="110"/>
      <c r="C63" s="111" t="s">
        <v>96</v>
      </c>
      <c r="D63" s="91" t="str">
        <f t="shared" ref="D63:F63" si="268">D64/D62</f>
        <v>#DIV/0!</v>
      </c>
      <c r="E63" s="91" t="str">
        <f t="shared" si="268"/>
        <v>#DIV/0!</v>
      </c>
      <c r="F63" s="81" t="str">
        <f t="shared" si="268"/>
        <v>#DIV/0!</v>
      </c>
      <c r="G63" s="88">
        <v>0.6</v>
      </c>
      <c r="H63" s="61" t="s">
        <v>97</v>
      </c>
      <c r="I63" s="81" t="str">
        <f>I64/I62</f>
        <v>#DIV/0!</v>
      </c>
      <c r="J63" s="83">
        <f>G63</f>
        <v>0.6</v>
      </c>
      <c r="K63" s="81" t="str">
        <f>K64/K62</f>
        <v>#DIV/0!</v>
      </c>
      <c r="L63" s="83">
        <f>G63</f>
        <v>0.6</v>
      </c>
      <c r="M63" s="81" t="str">
        <f>M64/M62</f>
        <v>#DIV/0!</v>
      </c>
      <c r="N63" s="83">
        <f>G63</f>
        <v>0.6</v>
      </c>
      <c r="O63" s="81" t="str">
        <f>O64/O62</f>
        <v>#DIV/0!</v>
      </c>
      <c r="P63" s="83">
        <f>G63</f>
        <v>0.6</v>
      </c>
      <c r="Q63" s="81" t="str">
        <f>Q64/Q62</f>
        <v>#DIV/0!</v>
      </c>
      <c r="R63" s="88">
        <v>0.6</v>
      </c>
      <c r="S63" s="81" t="str">
        <f>S64/S62</f>
        <v>#DIV/0!</v>
      </c>
      <c r="T63" s="83">
        <f>R63</f>
        <v>0.6</v>
      </c>
      <c r="U63" s="81" t="str">
        <f>U64/U62</f>
        <v>#DIV/0!</v>
      </c>
      <c r="V63" s="83">
        <f>R63</f>
        <v>0.6</v>
      </c>
      <c r="W63" s="81" t="str">
        <f>W64/W62</f>
        <v>#DIV/0!</v>
      </c>
      <c r="X63" s="83">
        <f>R63</f>
        <v>0.6</v>
      </c>
      <c r="Y63" s="81" t="str">
        <f>Y64/Y62</f>
        <v>#DIV/0!</v>
      </c>
      <c r="Z63" s="83">
        <f>R63</f>
        <v>0.6</v>
      </c>
      <c r="AA63" s="81" t="str">
        <f>AA64/AA62</f>
        <v>#DIV/0!</v>
      </c>
      <c r="AB63" s="88">
        <v>0.6</v>
      </c>
      <c r="AC63" s="81" t="str">
        <f>AC64/AC62</f>
        <v>#DIV/0!</v>
      </c>
      <c r="AD63" s="83">
        <f>AB63</f>
        <v>0.6</v>
      </c>
      <c r="AE63" s="81" t="str">
        <f>AE64/AE62</f>
        <v>#DIV/0!</v>
      </c>
      <c r="AF63" s="83">
        <f>AB63</f>
        <v>0.6</v>
      </c>
      <c r="AG63" s="81" t="str">
        <f>AG64/AG62</f>
        <v>#DIV/0!</v>
      </c>
      <c r="AH63" s="83">
        <f>AB63</f>
        <v>0.6</v>
      </c>
      <c r="AI63" s="81" t="str">
        <f>AI64/AI62</f>
        <v>#DIV/0!</v>
      </c>
      <c r="AJ63" s="83">
        <f>AB63</f>
        <v>0.6</v>
      </c>
      <c r="AK63" s="81" t="str">
        <f>AK64/AK62</f>
        <v>#DIV/0!</v>
      </c>
      <c r="AL63" s="88">
        <v>0.6</v>
      </c>
      <c r="AM63" s="81" t="str">
        <f>AM64/AM62</f>
        <v>#DIV/0!</v>
      </c>
      <c r="AN63" s="83">
        <f>AL63</f>
        <v>0.6</v>
      </c>
      <c r="AO63" s="81" t="str">
        <f>AO64/AO62</f>
        <v>#DIV/0!</v>
      </c>
      <c r="AP63" s="83">
        <f>AL63</f>
        <v>0.6</v>
      </c>
      <c r="AQ63" s="81" t="str">
        <f>AQ64/AQ62</f>
        <v>#DIV/0!</v>
      </c>
      <c r="AR63" s="83">
        <f>AL63</f>
        <v>0.6</v>
      </c>
      <c r="AS63" s="81" t="str">
        <f>AS64/AS62</f>
        <v>#DIV/0!</v>
      </c>
      <c r="AT63" s="83">
        <f>AL63</f>
        <v>0.6</v>
      </c>
      <c r="AU63" s="81" t="str">
        <f>AU64/AU62</f>
        <v>#DIV/0!</v>
      </c>
      <c r="AV63" s="88">
        <v>0.6</v>
      </c>
      <c r="AW63" s="81" t="str">
        <f>AW64/AW62</f>
        <v>#DIV/0!</v>
      </c>
      <c r="AX63" s="83">
        <f>AV63</f>
        <v>0.6</v>
      </c>
      <c r="AY63" s="81" t="str">
        <f>AY64/AY62</f>
        <v>#DIV/0!</v>
      </c>
      <c r="AZ63" s="83">
        <f>AV63</f>
        <v>0.6</v>
      </c>
      <c r="BA63" s="81" t="str">
        <f>BA64/BA62</f>
        <v>#DIV/0!</v>
      </c>
      <c r="BB63" s="83">
        <f>AV63</f>
        <v>0.6</v>
      </c>
      <c r="BC63" s="81" t="str">
        <f>BC64/BC62</f>
        <v>#DIV/0!</v>
      </c>
      <c r="BD63" s="83">
        <f>AV63</f>
        <v>0.6</v>
      </c>
      <c r="BE63" s="81" t="str">
        <f>BE64/BE62</f>
        <v>#DIV/0!</v>
      </c>
      <c r="BF63" s="88">
        <v>0.6</v>
      </c>
      <c r="BG63" s="81" t="str">
        <f>BG64/BG62</f>
        <v>#DIV/0!</v>
      </c>
      <c r="BH63" s="83">
        <f>BF63</f>
        <v>0.6</v>
      </c>
      <c r="BI63" s="81" t="str">
        <f>BI64/BI62</f>
        <v>#DIV/0!</v>
      </c>
      <c r="BJ63" s="83">
        <f>BF63</f>
        <v>0.6</v>
      </c>
      <c r="BK63" s="81" t="str">
        <f>BK64/BK62</f>
        <v>#DIV/0!</v>
      </c>
      <c r="BL63" s="83">
        <f>BF63</f>
        <v>0.6</v>
      </c>
      <c r="BM63" s="81" t="str">
        <f>BM64/BM62</f>
        <v>#DIV/0!</v>
      </c>
      <c r="BN63" s="83">
        <f>BF63</f>
        <v>0.6</v>
      </c>
      <c r="BO63" s="81" t="str">
        <f>BO64/BO62</f>
        <v>#DIV/0!</v>
      </c>
      <c r="BP63" s="88">
        <v>0.6</v>
      </c>
      <c r="BQ63" s="81" t="str">
        <f>BQ64/BQ62</f>
        <v>#DIV/0!</v>
      </c>
      <c r="BR63" s="83">
        <f>BP63</f>
        <v>0.6</v>
      </c>
      <c r="BS63" s="81" t="str">
        <f>BS64/BS62</f>
        <v>#DIV/0!</v>
      </c>
      <c r="BT63" s="83">
        <f>BP63</f>
        <v>0.6</v>
      </c>
      <c r="BU63" s="81" t="str">
        <f>BU64/BU62</f>
        <v>#DIV/0!</v>
      </c>
      <c r="BV63" s="83">
        <f>BP63</f>
        <v>0.6</v>
      </c>
      <c r="BW63" s="81" t="str">
        <f>BW64/BW62</f>
        <v>#DIV/0!</v>
      </c>
      <c r="BX63" s="83">
        <f>BP63</f>
        <v>0.6</v>
      </c>
      <c r="BY63" s="81" t="str">
        <f>BY64/BY62</f>
        <v>#DIV/0!</v>
      </c>
      <c r="BZ63" s="88">
        <v>0.6</v>
      </c>
      <c r="CA63" s="81" t="str">
        <f>CA64/CA62</f>
        <v>#DIV/0!</v>
      </c>
      <c r="CB63" s="83">
        <f>BZ63</f>
        <v>0.6</v>
      </c>
      <c r="CC63" s="81" t="str">
        <f>CC64/CC62</f>
        <v>#DIV/0!</v>
      </c>
      <c r="CD63" s="83">
        <f>BZ63</f>
        <v>0.6</v>
      </c>
      <c r="CE63" s="81" t="str">
        <f>CE64/CE62</f>
        <v>#DIV/0!</v>
      </c>
      <c r="CF63" s="83">
        <f>BZ63</f>
        <v>0.6</v>
      </c>
      <c r="CG63" s="81" t="str">
        <f>CG64/CG62</f>
        <v>#DIV/0!</v>
      </c>
      <c r="CH63" s="83">
        <f>BZ63</f>
        <v>0.6</v>
      </c>
      <c r="CI63" s="81" t="str">
        <f>CI64/CI62</f>
        <v>#DIV/0!</v>
      </c>
      <c r="CJ63" s="88">
        <v>0.6</v>
      </c>
      <c r="CK63" s="81" t="str">
        <f>CK64/CK62</f>
        <v>#DIV/0!</v>
      </c>
      <c r="CL63" s="83">
        <f>CJ63</f>
        <v>0.6</v>
      </c>
      <c r="CM63" s="81" t="str">
        <f>CM64/CM62</f>
        <v>#DIV/0!</v>
      </c>
      <c r="CN63" s="83">
        <f>CJ63</f>
        <v>0.6</v>
      </c>
      <c r="CO63" s="81" t="str">
        <f>CO64/CO62</f>
        <v>#DIV/0!</v>
      </c>
      <c r="CP63" s="83">
        <f>CJ63</f>
        <v>0.6</v>
      </c>
      <c r="CQ63" s="81" t="str">
        <f>CQ64/CQ62</f>
        <v>#DIV/0!</v>
      </c>
      <c r="CR63" s="83">
        <f>CJ63</f>
        <v>0.6</v>
      </c>
      <c r="CS63" s="81" t="str">
        <f>CS64/CS62</f>
        <v>#DIV/0!</v>
      </c>
      <c r="CT63" s="88">
        <v>0.6</v>
      </c>
      <c r="CU63" s="81" t="str">
        <f>CU64/CU62</f>
        <v>#DIV/0!</v>
      </c>
      <c r="CV63" s="83">
        <f>CT63</f>
        <v>0.6</v>
      </c>
      <c r="CW63" s="81" t="str">
        <f>CW64/CW62</f>
        <v>#DIV/0!</v>
      </c>
      <c r="CX63" s="83">
        <f>CT63</f>
        <v>0.6</v>
      </c>
      <c r="CY63" s="81" t="str">
        <f>CY64/CY62</f>
        <v>#DIV/0!</v>
      </c>
      <c r="CZ63" s="83">
        <f>CT63</f>
        <v>0.6</v>
      </c>
      <c r="DA63" s="81" t="str">
        <f>DA64/DA62</f>
        <v>#DIV/0!</v>
      </c>
      <c r="DB63" s="83">
        <f>CT63</f>
        <v>0.6</v>
      </c>
      <c r="DC63" s="81" t="str">
        <f>DC64/DC62</f>
        <v>#DIV/0!</v>
      </c>
      <c r="DD63" s="88">
        <v>0.6</v>
      </c>
      <c r="DE63" s="81" t="str">
        <f>DE64/DE62</f>
        <v>#DIV/0!</v>
      </c>
      <c r="DF63" s="83">
        <f>DD63</f>
        <v>0.6</v>
      </c>
      <c r="DG63" s="81" t="str">
        <f>DG64/DG62</f>
        <v>#DIV/0!</v>
      </c>
      <c r="DH63" s="83">
        <f>DD63</f>
        <v>0.6</v>
      </c>
      <c r="DI63" s="81" t="str">
        <f>DI64/DI62</f>
        <v>#DIV/0!</v>
      </c>
      <c r="DJ63" s="83">
        <f>DD63</f>
        <v>0.6</v>
      </c>
      <c r="DK63" s="81" t="str">
        <f>DK64/DK62</f>
        <v>#DIV/0!</v>
      </c>
      <c r="DL63" s="83">
        <f>DD63</f>
        <v>0.6</v>
      </c>
      <c r="DM63" s="81" t="str">
        <f>DM64/DM62</f>
        <v>#DIV/0!</v>
      </c>
      <c r="DN63" s="88">
        <v>0.6</v>
      </c>
      <c r="DO63" s="66" t="str">
        <f>DO64/DO62</f>
        <v>#DIV/0!</v>
      </c>
      <c r="DP63" s="93">
        <f>DN63</f>
        <v>0.6</v>
      </c>
      <c r="DQ63" s="65" t="str">
        <f>DQ64/DQ62</f>
        <v>#DIV/0!</v>
      </c>
      <c r="DR63" s="90">
        <f>DN63</f>
        <v>0.6</v>
      </c>
      <c r="DS63" s="65" t="str">
        <f>DS64/DS62</f>
        <v>#DIV/0!</v>
      </c>
      <c r="DT63" s="90">
        <f>DN63</f>
        <v>0.6</v>
      </c>
      <c r="DU63" s="65" t="str">
        <f>DU64/DU62</f>
        <v>#DIV/0!</v>
      </c>
      <c r="DV63" s="90">
        <f>DN63</f>
        <v>0.6</v>
      </c>
    </row>
    <row r="64" ht="15.75" hidden="1" customHeight="1">
      <c r="A64" s="35"/>
      <c r="B64" s="110"/>
      <c r="C64" s="78" t="s">
        <v>98</v>
      </c>
      <c r="D64" s="91">
        <f t="shared" ref="D64:E64" si="269">SUM(F64+Q64+AA64+AK64+AU64+BE64+BO64+BY64+CI64+CS64+DC64+DM64)</f>
        <v>0</v>
      </c>
      <c r="E64" s="91">
        <f t="shared" si="269"/>
        <v>0</v>
      </c>
      <c r="F64" s="81">
        <f>SUM(I64+K64+M64+O64)</f>
        <v>0</v>
      </c>
      <c r="G64" s="82">
        <f>G66/G65</f>
        <v>0</v>
      </c>
      <c r="H64" s="61" t="str">
        <f>G64/F64</f>
        <v>#DIV/0!</v>
      </c>
      <c r="I64" s="83"/>
      <c r="J64" s="79">
        <f>G64/4</f>
        <v>0</v>
      </c>
      <c r="K64" s="83"/>
      <c r="L64" s="79">
        <f>G64/4</f>
        <v>0</v>
      </c>
      <c r="M64" s="83"/>
      <c r="N64" s="79">
        <f>G64/4</f>
        <v>0</v>
      </c>
      <c r="O64" s="83"/>
      <c r="P64" s="79">
        <f>G64/4</f>
        <v>0</v>
      </c>
      <c r="Q64" s="79">
        <f>SUM(S64+U64+W64+Y64)</f>
        <v>0</v>
      </c>
      <c r="R64" s="82">
        <f>R66/R65</f>
        <v>0</v>
      </c>
      <c r="S64" s="84"/>
      <c r="T64" s="79">
        <f>R64/4</f>
        <v>0</v>
      </c>
      <c r="U64" s="84"/>
      <c r="V64" s="79">
        <f>R64/4</f>
        <v>0</v>
      </c>
      <c r="W64" s="84"/>
      <c r="X64" s="79">
        <f>R64/4</f>
        <v>0</v>
      </c>
      <c r="Y64" s="84"/>
      <c r="Z64" s="79">
        <f>R64/4</f>
        <v>0</v>
      </c>
      <c r="AA64" s="79">
        <f>SUM(AC64+AE64+AG64+AI64)</f>
        <v>0</v>
      </c>
      <c r="AB64" s="82">
        <f>AB66/AB65</f>
        <v>0</v>
      </c>
      <c r="AC64" s="84"/>
      <c r="AD64" s="79">
        <f>AB64/4</f>
        <v>0</v>
      </c>
      <c r="AE64" s="84"/>
      <c r="AF64" s="79">
        <f>AB64/4</f>
        <v>0</v>
      </c>
      <c r="AG64" s="84"/>
      <c r="AH64" s="79">
        <f>AB64/4</f>
        <v>0</v>
      </c>
      <c r="AI64" s="84"/>
      <c r="AJ64" s="79">
        <f>AB64/4</f>
        <v>0</v>
      </c>
      <c r="AK64" s="79">
        <f>SUM(AM64+AO64+AQ64+AS64)</f>
        <v>0</v>
      </c>
      <c r="AL64" s="82">
        <f>AL66/AL65</f>
        <v>0</v>
      </c>
      <c r="AM64" s="84"/>
      <c r="AN64" s="79">
        <f>AL64/4</f>
        <v>0</v>
      </c>
      <c r="AO64" s="84"/>
      <c r="AP64" s="79">
        <f>AL64/4</f>
        <v>0</v>
      </c>
      <c r="AQ64" s="84"/>
      <c r="AR64" s="79">
        <f>AL64/4</f>
        <v>0</v>
      </c>
      <c r="AS64" s="84"/>
      <c r="AT64" s="79">
        <f>AL64/4</f>
        <v>0</v>
      </c>
      <c r="AU64" s="79">
        <f>SUM(AW64+AY64+BA64+BC64)</f>
        <v>0</v>
      </c>
      <c r="AV64" s="82">
        <f>AV66/AV65</f>
        <v>0</v>
      </c>
      <c r="AW64" s="84"/>
      <c r="AX64" s="79">
        <f>AV64/4</f>
        <v>0</v>
      </c>
      <c r="AY64" s="84"/>
      <c r="AZ64" s="79">
        <f>AV64/4</f>
        <v>0</v>
      </c>
      <c r="BA64" s="84"/>
      <c r="BB64" s="79">
        <f>AV64/4</f>
        <v>0</v>
      </c>
      <c r="BC64" s="84"/>
      <c r="BD64" s="79">
        <f>AV64/4</f>
        <v>0</v>
      </c>
      <c r="BE64" s="79">
        <f>SUM(BG64+BI64+BK64+BM64)</f>
        <v>0</v>
      </c>
      <c r="BF64" s="82">
        <f>BF66/BF65</f>
        <v>0</v>
      </c>
      <c r="BG64" s="84"/>
      <c r="BH64" s="79">
        <f>BF64/4</f>
        <v>0</v>
      </c>
      <c r="BI64" s="84"/>
      <c r="BJ64" s="79">
        <f>BF64/4</f>
        <v>0</v>
      </c>
      <c r="BK64" s="84"/>
      <c r="BL64" s="79">
        <f>BF64/4</f>
        <v>0</v>
      </c>
      <c r="BM64" s="84"/>
      <c r="BN64" s="79">
        <f>BF64/4</f>
        <v>0</v>
      </c>
      <c r="BO64" s="79">
        <f>SUM(BQ64+BS64+BU64+BW64)</f>
        <v>0</v>
      </c>
      <c r="BP64" s="82">
        <f>BP66/BP65</f>
        <v>0</v>
      </c>
      <c r="BQ64" s="84"/>
      <c r="BR64" s="79">
        <f>BP64/4</f>
        <v>0</v>
      </c>
      <c r="BS64" s="84"/>
      <c r="BT64" s="79">
        <f>BP64/4</f>
        <v>0</v>
      </c>
      <c r="BU64" s="84"/>
      <c r="BV64" s="79">
        <f>BP64/4</f>
        <v>0</v>
      </c>
      <c r="BW64" s="84"/>
      <c r="BX64" s="79">
        <f>BP64/4</f>
        <v>0</v>
      </c>
      <c r="BY64" s="79">
        <f>SUM(CA64+CC64+CE64+CG64)</f>
        <v>0</v>
      </c>
      <c r="BZ64" s="82">
        <f>BZ66/BZ65</f>
        <v>0</v>
      </c>
      <c r="CA64" s="84"/>
      <c r="CB64" s="79">
        <f>BZ64/4</f>
        <v>0</v>
      </c>
      <c r="CC64" s="84"/>
      <c r="CD64" s="79">
        <f>BZ64/4</f>
        <v>0</v>
      </c>
      <c r="CE64" s="84"/>
      <c r="CF64" s="79">
        <f>BZ64/4</f>
        <v>0</v>
      </c>
      <c r="CG64" s="84"/>
      <c r="CH64" s="79">
        <f>BZ64/4</f>
        <v>0</v>
      </c>
      <c r="CI64" s="79">
        <f>SUM(CK64+CM64+CO64+CQ64)</f>
        <v>0</v>
      </c>
      <c r="CJ64" s="82">
        <f>CJ66/CJ65</f>
        <v>0</v>
      </c>
      <c r="CK64" s="84"/>
      <c r="CL64" s="79">
        <f>CJ64/4</f>
        <v>0</v>
      </c>
      <c r="CM64" s="84"/>
      <c r="CN64" s="79">
        <f>CJ64/4</f>
        <v>0</v>
      </c>
      <c r="CO64" s="84"/>
      <c r="CP64" s="79">
        <f>CJ64/4</f>
        <v>0</v>
      </c>
      <c r="CQ64" s="84"/>
      <c r="CR64" s="79">
        <f>CJ64/4</f>
        <v>0</v>
      </c>
      <c r="CS64" s="79">
        <f>SUM(CU64+CW64+CY64+DA64)</f>
        <v>0</v>
      </c>
      <c r="CT64" s="82">
        <f>CT66/CT65</f>
        <v>0</v>
      </c>
      <c r="CU64" s="84"/>
      <c r="CV64" s="79">
        <f>CT64/4</f>
        <v>0</v>
      </c>
      <c r="CW64" s="84"/>
      <c r="CX64" s="79">
        <f>CT64/4</f>
        <v>0</v>
      </c>
      <c r="CY64" s="84"/>
      <c r="CZ64" s="79">
        <f>CT64/4</f>
        <v>0</v>
      </c>
      <c r="DA64" s="84"/>
      <c r="DB64" s="79">
        <f>CT64/4</f>
        <v>0</v>
      </c>
      <c r="DC64" s="79">
        <f>SUM(DE64+DG64+DI64+DK64)</f>
        <v>0</v>
      </c>
      <c r="DD64" s="82">
        <f>DD66/DD65</f>
        <v>0</v>
      </c>
      <c r="DE64" s="84"/>
      <c r="DF64" s="79">
        <f>DD64/4</f>
        <v>0</v>
      </c>
      <c r="DG64" s="84"/>
      <c r="DH64" s="79">
        <f>DD64/4</f>
        <v>0</v>
      </c>
      <c r="DI64" s="84"/>
      <c r="DJ64" s="79">
        <f>DD64/4</f>
        <v>0</v>
      </c>
      <c r="DK64" s="84"/>
      <c r="DL64" s="79">
        <f>DD64/4</f>
        <v>0</v>
      </c>
      <c r="DM64" s="79">
        <f>SUM(DO64+DQ64+DS64+DU64)</f>
        <v>0</v>
      </c>
      <c r="DN64" s="82">
        <f>DN66/DN65</f>
        <v>0</v>
      </c>
      <c r="DO64" s="92"/>
      <c r="DP64" s="62">
        <f>DN64/4</f>
        <v>0</v>
      </c>
      <c r="DQ64" s="92"/>
      <c r="DR64" s="62">
        <f>DN64/4</f>
        <v>0</v>
      </c>
      <c r="DS64" s="92"/>
      <c r="DT64" s="62">
        <f>DN64/4</f>
        <v>0</v>
      </c>
      <c r="DU64" s="92"/>
      <c r="DV64" s="62">
        <f>DN64/4</f>
        <v>0</v>
      </c>
    </row>
    <row r="65" ht="15.75" hidden="1" customHeight="1">
      <c r="A65" s="35"/>
      <c r="B65" s="110"/>
      <c r="C65" s="111" t="s">
        <v>99</v>
      </c>
      <c r="D65" s="91" t="str">
        <f t="shared" ref="D65:F65" si="270">D66/D64</f>
        <v>#DIV/0!</v>
      </c>
      <c r="E65" s="91" t="str">
        <f t="shared" si="270"/>
        <v>#DIV/0!</v>
      </c>
      <c r="F65" s="81" t="str">
        <f t="shared" si="270"/>
        <v>#DIV/0!</v>
      </c>
      <c r="G65" s="88">
        <v>0.4</v>
      </c>
      <c r="H65" s="61" t="s">
        <v>97</v>
      </c>
      <c r="I65" s="81" t="str">
        <f>I66/I64</f>
        <v>#DIV/0!</v>
      </c>
      <c r="J65" s="83">
        <f>G65</f>
        <v>0.4</v>
      </c>
      <c r="K65" s="81" t="str">
        <f>K66/K64</f>
        <v>#DIV/0!</v>
      </c>
      <c r="L65" s="83">
        <f>G65</f>
        <v>0.4</v>
      </c>
      <c r="M65" s="81" t="str">
        <f>M66/M64</f>
        <v>#DIV/0!</v>
      </c>
      <c r="N65" s="83">
        <f>G65</f>
        <v>0.4</v>
      </c>
      <c r="O65" s="81" t="str">
        <f>O66/O64</f>
        <v>#DIV/0!</v>
      </c>
      <c r="P65" s="83">
        <f>G65</f>
        <v>0.4</v>
      </c>
      <c r="Q65" s="81" t="str">
        <f>Q66/Q64</f>
        <v>#DIV/0!</v>
      </c>
      <c r="R65" s="88">
        <v>0.4</v>
      </c>
      <c r="S65" s="81" t="str">
        <f>S66/S64</f>
        <v>#DIV/0!</v>
      </c>
      <c r="T65" s="83">
        <f>R65</f>
        <v>0.4</v>
      </c>
      <c r="U65" s="81" t="str">
        <f>U66/U64</f>
        <v>#DIV/0!</v>
      </c>
      <c r="V65" s="83">
        <f>R65</f>
        <v>0.4</v>
      </c>
      <c r="W65" s="81" t="str">
        <f>W66/W64</f>
        <v>#DIV/0!</v>
      </c>
      <c r="X65" s="83">
        <f>R65</f>
        <v>0.4</v>
      </c>
      <c r="Y65" s="81" t="str">
        <f>Y66/Y64</f>
        <v>#DIV/0!</v>
      </c>
      <c r="Z65" s="83">
        <f>R65</f>
        <v>0.4</v>
      </c>
      <c r="AA65" s="81" t="str">
        <f>AA66/AA64</f>
        <v>#DIV/0!</v>
      </c>
      <c r="AB65" s="88">
        <v>0.4</v>
      </c>
      <c r="AC65" s="81" t="str">
        <f>AC66/AC64</f>
        <v>#DIV/0!</v>
      </c>
      <c r="AD65" s="83">
        <f>AB65</f>
        <v>0.4</v>
      </c>
      <c r="AE65" s="81" t="str">
        <f>AE66/AE64</f>
        <v>#DIV/0!</v>
      </c>
      <c r="AF65" s="83">
        <f>AB65</f>
        <v>0.4</v>
      </c>
      <c r="AG65" s="81" t="str">
        <f>AG66/AG64</f>
        <v>#DIV/0!</v>
      </c>
      <c r="AH65" s="83">
        <f>AB65</f>
        <v>0.4</v>
      </c>
      <c r="AI65" s="81" t="str">
        <f>AI66/AI64</f>
        <v>#DIV/0!</v>
      </c>
      <c r="AJ65" s="83">
        <f>AB65</f>
        <v>0.4</v>
      </c>
      <c r="AK65" s="81" t="str">
        <f>AK66/AK64</f>
        <v>#DIV/0!</v>
      </c>
      <c r="AL65" s="88">
        <v>0.4</v>
      </c>
      <c r="AM65" s="81" t="str">
        <f>AM66/AM64</f>
        <v>#DIV/0!</v>
      </c>
      <c r="AN65" s="83">
        <f>AL65</f>
        <v>0.4</v>
      </c>
      <c r="AO65" s="81" t="str">
        <f>AO66/AO64</f>
        <v>#DIV/0!</v>
      </c>
      <c r="AP65" s="83">
        <f>AL65</f>
        <v>0.4</v>
      </c>
      <c r="AQ65" s="81" t="str">
        <f>AQ66/AQ64</f>
        <v>#DIV/0!</v>
      </c>
      <c r="AR65" s="83">
        <f>AL65</f>
        <v>0.4</v>
      </c>
      <c r="AS65" s="81" t="str">
        <f>AS66/AS64</f>
        <v>#DIV/0!</v>
      </c>
      <c r="AT65" s="83">
        <f>AL65</f>
        <v>0.4</v>
      </c>
      <c r="AU65" s="81" t="str">
        <f>AU66/AU64</f>
        <v>#DIV/0!</v>
      </c>
      <c r="AV65" s="88">
        <v>0.4</v>
      </c>
      <c r="AW65" s="81" t="str">
        <f>AW66/AW64</f>
        <v>#DIV/0!</v>
      </c>
      <c r="AX65" s="83">
        <f>AV65</f>
        <v>0.4</v>
      </c>
      <c r="AY65" s="81" t="str">
        <f>AY66/AY64</f>
        <v>#DIV/0!</v>
      </c>
      <c r="AZ65" s="83">
        <f>AV65</f>
        <v>0.4</v>
      </c>
      <c r="BA65" s="81" t="str">
        <f>BA66/BA64</f>
        <v>#DIV/0!</v>
      </c>
      <c r="BB65" s="83">
        <f>AV65</f>
        <v>0.4</v>
      </c>
      <c r="BC65" s="81" t="str">
        <f>BC66/BC64</f>
        <v>#DIV/0!</v>
      </c>
      <c r="BD65" s="83">
        <f>AV65</f>
        <v>0.4</v>
      </c>
      <c r="BE65" s="81" t="str">
        <f>BE66/BE64</f>
        <v>#DIV/0!</v>
      </c>
      <c r="BF65" s="88">
        <v>0.4</v>
      </c>
      <c r="BG65" s="81" t="str">
        <f>BG66/BG64</f>
        <v>#DIV/0!</v>
      </c>
      <c r="BH65" s="83">
        <f>BF65</f>
        <v>0.4</v>
      </c>
      <c r="BI65" s="81" t="str">
        <f>BI66/BI64</f>
        <v>#DIV/0!</v>
      </c>
      <c r="BJ65" s="83">
        <f>BF65</f>
        <v>0.4</v>
      </c>
      <c r="BK65" s="81" t="str">
        <f>BK66/BK64</f>
        <v>#DIV/0!</v>
      </c>
      <c r="BL65" s="83">
        <f>BF65</f>
        <v>0.4</v>
      </c>
      <c r="BM65" s="81" t="str">
        <f>BM66/BM64</f>
        <v>#DIV/0!</v>
      </c>
      <c r="BN65" s="83">
        <f>BF65</f>
        <v>0.4</v>
      </c>
      <c r="BO65" s="81" t="str">
        <f>BO66/BO64</f>
        <v>#DIV/0!</v>
      </c>
      <c r="BP65" s="88">
        <v>0.4</v>
      </c>
      <c r="BQ65" s="81" t="str">
        <f>BQ66/BQ64</f>
        <v>#DIV/0!</v>
      </c>
      <c r="BR65" s="83">
        <f>BP65</f>
        <v>0.4</v>
      </c>
      <c r="BS65" s="81" t="str">
        <f>BS66/BS64</f>
        <v>#DIV/0!</v>
      </c>
      <c r="BT65" s="83">
        <f>BP65</f>
        <v>0.4</v>
      </c>
      <c r="BU65" s="81" t="str">
        <f>BU66/BU64</f>
        <v>#DIV/0!</v>
      </c>
      <c r="BV65" s="83">
        <f>BP65</f>
        <v>0.4</v>
      </c>
      <c r="BW65" s="81" t="str">
        <f>BW66/BW64</f>
        <v>#DIV/0!</v>
      </c>
      <c r="BX65" s="83">
        <f>BP65</f>
        <v>0.4</v>
      </c>
      <c r="BY65" s="81" t="str">
        <f>BY66/BY64</f>
        <v>#DIV/0!</v>
      </c>
      <c r="BZ65" s="88">
        <v>0.4</v>
      </c>
      <c r="CA65" s="81" t="str">
        <f>CA66/CA64</f>
        <v>#DIV/0!</v>
      </c>
      <c r="CB65" s="83">
        <f>BZ65</f>
        <v>0.4</v>
      </c>
      <c r="CC65" s="81" t="str">
        <f>CC66/CC64</f>
        <v>#DIV/0!</v>
      </c>
      <c r="CD65" s="83">
        <f>BZ65</f>
        <v>0.4</v>
      </c>
      <c r="CE65" s="81" t="str">
        <f>CE66/CE64</f>
        <v>#DIV/0!</v>
      </c>
      <c r="CF65" s="83">
        <f>BZ65</f>
        <v>0.4</v>
      </c>
      <c r="CG65" s="81" t="str">
        <f>CG66/CG64</f>
        <v>#DIV/0!</v>
      </c>
      <c r="CH65" s="83">
        <f>BZ65</f>
        <v>0.4</v>
      </c>
      <c r="CI65" s="81" t="str">
        <f>CI66/CI64</f>
        <v>#DIV/0!</v>
      </c>
      <c r="CJ65" s="88">
        <v>0.4</v>
      </c>
      <c r="CK65" s="81" t="str">
        <f>CK66/CK64</f>
        <v>#DIV/0!</v>
      </c>
      <c r="CL65" s="83">
        <f>CJ65</f>
        <v>0.4</v>
      </c>
      <c r="CM65" s="81" t="str">
        <f>CM66/CM64</f>
        <v>#DIV/0!</v>
      </c>
      <c r="CN65" s="83">
        <f>CJ65</f>
        <v>0.4</v>
      </c>
      <c r="CO65" s="81" t="str">
        <f>CO66/CO64</f>
        <v>#DIV/0!</v>
      </c>
      <c r="CP65" s="83">
        <f>CJ65</f>
        <v>0.4</v>
      </c>
      <c r="CQ65" s="81" t="str">
        <f>CQ66/CQ64</f>
        <v>#DIV/0!</v>
      </c>
      <c r="CR65" s="83">
        <f>CJ65</f>
        <v>0.4</v>
      </c>
      <c r="CS65" s="81" t="str">
        <f>CS66/CS64</f>
        <v>#DIV/0!</v>
      </c>
      <c r="CT65" s="88">
        <v>0.4</v>
      </c>
      <c r="CU65" s="81" t="str">
        <f>CU66/CU64</f>
        <v>#DIV/0!</v>
      </c>
      <c r="CV65" s="83">
        <f>CT65</f>
        <v>0.4</v>
      </c>
      <c r="CW65" s="81" t="str">
        <f>CW66/CW64</f>
        <v>#DIV/0!</v>
      </c>
      <c r="CX65" s="83">
        <f>CT65</f>
        <v>0.4</v>
      </c>
      <c r="CY65" s="81" t="str">
        <f>CY66/CY64</f>
        <v>#DIV/0!</v>
      </c>
      <c r="CZ65" s="83">
        <f>CT65</f>
        <v>0.4</v>
      </c>
      <c r="DA65" s="81" t="str">
        <f>DA66/DA64</f>
        <v>#DIV/0!</v>
      </c>
      <c r="DB65" s="83">
        <f>CT65</f>
        <v>0.4</v>
      </c>
      <c r="DC65" s="81" t="str">
        <f>DC66/DC64</f>
        <v>#DIV/0!</v>
      </c>
      <c r="DD65" s="88">
        <v>0.4</v>
      </c>
      <c r="DE65" s="81" t="str">
        <f>DE66/DE64</f>
        <v>#DIV/0!</v>
      </c>
      <c r="DF65" s="83">
        <f>DD65</f>
        <v>0.4</v>
      </c>
      <c r="DG65" s="81" t="str">
        <f>DG66/DG64</f>
        <v>#DIV/0!</v>
      </c>
      <c r="DH65" s="83">
        <f>DD65</f>
        <v>0.4</v>
      </c>
      <c r="DI65" s="81" t="str">
        <f>DI66/DI64</f>
        <v>#DIV/0!</v>
      </c>
      <c r="DJ65" s="83">
        <f>DD65</f>
        <v>0.4</v>
      </c>
      <c r="DK65" s="81" t="str">
        <f>DK66/DK64</f>
        <v>#DIV/0!</v>
      </c>
      <c r="DL65" s="83">
        <f>DD65</f>
        <v>0.4</v>
      </c>
      <c r="DM65" s="81" t="str">
        <f>DM66/DM64</f>
        <v>#DIV/0!</v>
      </c>
      <c r="DN65" s="88">
        <v>0.4</v>
      </c>
      <c r="DO65" s="66" t="str">
        <f>DO66/DO64</f>
        <v>#DIV/0!</v>
      </c>
      <c r="DP65" s="93">
        <f>DN65</f>
        <v>0.4</v>
      </c>
      <c r="DQ65" s="66" t="str">
        <f>DQ66/DQ64</f>
        <v>#DIV/0!</v>
      </c>
      <c r="DR65" s="93">
        <f>DN65</f>
        <v>0.4</v>
      </c>
      <c r="DS65" s="66" t="str">
        <f>DS66/DS64</f>
        <v>#DIV/0!</v>
      </c>
      <c r="DT65" s="93">
        <f>DN65</f>
        <v>0.4</v>
      </c>
      <c r="DU65" s="66" t="str">
        <f>DU66/DU64</f>
        <v>#DIV/0!</v>
      </c>
      <c r="DV65" s="93">
        <f>DN65</f>
        <v>0.4</v>
      </c>
    </row>
    <row r="66" ht="15.75" hidden="1" customHeight="1">
      <c r="A66" s="35"/>
      <c r="B66" s="110"/>
      <c r="C66" s="78" t="s">
        <v>100</v>
      </c>
      <c r="D66" s="91">
        <f t="shared" ref="D66:E66" si="271">SUM(F66+Q66+AA66+AK66+AU66+BE66+BO66+BY66+CI66+CS66+DC66+DM66)</f>
        <v>0</v>
      </c>
      <c r="E66" s="91">
        <f t="shared" si="271"/>
        <v>0</v>
      </c>
      <c r="F66" s="81">
        <f>SUM(I66+K66+M66+O66)</f>
        <v>0</v>
      </c>
      <c r="G66" s="82">
        <f>G68/G67</f>
        <v>0</v>
      </c>
      <c r="H66" s="61" t="str">
        <f>G66/F66</f>
        <v>#DIV/0!</v>
      </c>
      <c r="I66" s="83"/>
      <c r="J66" s="79">
        <f>G66/4</f>
        <v>0</v>
      </c>
      <c r="K66" s="83"/>
      <c r="L66" s="79">
        <f>G66/4</f>
        <v>0</v>
      </c>
      <c r="M66" s="83"/>
      <c r="N66" s="79">
        <f>G66/4</f>
        <v>0</v>
      </c>
      <c r="O66" s="83"/>
      <c r="P66" s="79">
        <f>G66/4</f>
        <v>0</v>
      </c>
      <c r="Q66" s="79">
        <f>SUM(S66+U66+W66+Y66)</f>
        <v>0</v>
      </c>
      <c r="R66" s="82">
        <f>R68/R67</f>
        <v>0</v>
      </c>
      <c r="S66" s="84"/>
      <c r="T66" s="79">
        <f>R66/4</f>
        <v>0</v>
      </c>
      <c r="U66" s="84"/>
      <c r="V66" s="79">
        <f>R66/4</f>
        <v>0</v>
      </c>
      <c r="W66" s="84"/>
      <c r="X66" s="79">
        <f>R66/4</f>
        <v>0</v>
      </c>
      <c r="Y66" s="84"/>
      <c r="Z66" s="79">
        <f>R66/4</f>
        <v>0</v>
      </c>
      <c r="AA66" s="79">
        <f>SUM(AC66+AE66+AG66+AI66)</f>
        <v>0</v>
      </c>
      <c r="AB66" s="82">
        <f>AB68/AB67</f>
        <v>0</v>
      </c>
      <c r="AC66" s="84"/>
      <c r="AD66" s="79">
        <f>AB66/4</f>
        <v>0</v>
      </c>
      <c r="AE66" s="84"/>
      <c r="AF66" s="79">
        <f>AB66/4</f>
        <v>0</v>
      </c>
      <c r="AG66" s="84"/>
      <c r="AH66" s="79">
        <f>AB66/4</f>
        <v>0</v>
      </c>
      <c r="AI66" s="84"/>
      <c r="AJ66" s="79">
        <f>AB66/4</f>
        <v>0</v>
      </c>
      <c r="AK66" s="79">
        <f>SUM(AM66+AO66+AQ66+AS66)</f>
        <v>0</v>
      </c>
      <c r="AL66" s="82">
        <f>AL68/AL67</f>
        <v>0</v>
      </c>
      <c r="AM66" s="84"/>
      <c r="AN66" s="79">
        <f>AL66/4</f>
        <v>0</v>
      </c>
      <c r="AO66" s="84"/>
      <c r="AP66" s="79">
        <f>AL66/4</f>
        <v>0</v>
      </c>
      <c r="AQ66" s="84"/>
      <c r="AR66" s="79">
        <f>AL66/4</f>
        <v>0</v>
      </c>
      <c r="AS66" s="84"/>
      <c r="AT66" s="79">
        <f>AL66/4</f>
        <v>0</v>
      </c>
      <c r="AU66" s="79">
        <f>SUM(AW66+AY66+BA66+BC66)</f>
        <v>0</v>
      </c>
      <c r="AV66" s="82">
        <f>AV68/AV67</f>
        <v>0</v>
      </c>
      <c r="AW66" s="84"/>
      <c r="AX66" s="79">
        <f>AV66/4</f>
        <v>0</v>
      </c>
      <c r="AY66" s="84"/>
      <c r="AZ66" s="79">
        <f>AV66/4</f>
        <v>0</v>
      </c>
      <c r="BA66" s="84"/>
      <c r="BB66" s="79">
        <f>AV66/4</f>
        <v>0</v>
      </c>
      <c r="BC66" s="84"/>
      <c r="BD66" s="79">
        <f>AV66/4</f>
        <v>0</v>
      </c>
      <c r="BE66" s="79">
        <f>SUM(BG66+BI66+BK66+BM66)</f>
        <v>0</v>
      </c>
      <c r="BF66" s="82">
        <f>BF68/BF67</f>
        <v>0</v>
      </c>
      <c r="BG66" s="84"/>
      <c r="BH66" s="79">
        <f>BF66/4</f>
        <v>0</v>
      </c>
      <c r="BI66" s="84"/>
      <c r="BJ66" s="79">
        <f>BF66/4</f>
        <v>0</v>
      </c>
      <c r="BK66" s="84"/>
      <c r="BL66" s="79">
        <f>BF66/4</f>
        <v>0</v>
      </c>
      <c r="BM66" s="84"/>
      <c r="BN66" s="79">
        <f>BF66/4</f>
        <v>0</v>
      </c>
      <c r="BO66" s="79">
        <f>SUM(BQ66+BS66+BU66+BW66)</f>
        <v>0</v>
      </c>
      <c r="BP66" s="82">
        <f>BP68/BP67</f>
        <v>0</v>
      </c>
      <c r="BQ66" s="84"/>
      <c r="BR66" s="79">
        <f>BP66/4</f>
        <v>0</v>
      </c>
      <c r="BS66" s="84"/>
      <c r="BT66" s="79">
        <f>BP66/4</f>
        <v>0</v>
      </c>
      <c r="BU66" s="84"/>
      <c r="BV66" s="79">
        <f>BP66/4</f>
        <v>0</v>
      </c>
      <c r="BW66" s="84"/>
      <c r="BX66" s="79">
        <f>BP66/4</f>
        <v>0</v>
      </c>
      <c r="BY66" s="79">
        <f>SUM(CA66+CC66+CE66+CG66)</f>
        <v>0</v>
      </c>
      <c r="BZ66" s="82">
        <f>BZ68/BZ67</f>
        <v>0</v>
      </c>
      <c r="CA66" s="84"/>
      <c r="CB66" s="79">
        <f>BZ66/4</f>
        <v>0</v>
      </c>
      <c r="CC66" s="84"/>
      <c r="CD66" s="79">
        <f>BZ66/4</f>
        <v>0</v>
      </c>
      <c r="CE66" s="84"/>
      <c r="CF66" s="79">
        <f>BZ66/4</f>
        <v>0</v>
      </c>
      <c r="CG66" s="84"/>
      <c r="CH66" s="79">
        <f>BZ66/4</f>
        <v>0</v>
      </c>
      <c r="CI66" s="79">
        <f>SUM(CK66+CM66+CO66+CQ66)</f>
        <v>0</v>
      </c>
      <c r="CJ66" s="82">
        <f>CJ68/CJ67</f>
        <v>0</v>
      </c>
      <c r="CK66" s="84"/>
      <c r="CL66" s="79">
        <f>CJ66/4</f>
        <v>0</v>
      </c>
      <c r="CM66" s="84"/>
      <c r="CN66" s="79">
        <f>CJ66/4</f>
        <v>0</v>
      </c>
      <c r="CO66" s="84"/>
      <c r="CP66" s="79">
        <f>CJ66/4</f>
        <v>0</v>
      </c>
      <c r="CQ66" s="84"/>
      <c r="CR66" s="79">
        <f>CJ66/4</f>
        <v>0</v>
      </c>
      <c r="CS66" s="79">
        <f>SUM(CU66+CW66+CY66+DA66)</f>
        <v>0</v>
      </c>
      <c r="CT66" s="82">
        <f>CT68/CT67</f>
        <v>0</v>
      </c>
      <c r="CU66" s="84"/>
      <c r="CV66" s="79">
        <f>CT66/4</f>
        <v>0</v>
      </c>
      <c r="CW66" s="84"/>
      <c r="CX66" s="79">
        <f>CT66/4</f>
        <v>0</v>
      </c>
      <c r="CY66" s="84"/>
      <c r="CZ66" s="79">
        <f>CT66/4</f>
        <v>0</v>
      </c>
      <c r="DA66" s="84"/>
      <c r="DB66" s="79">
        <f>CT66/4</f>
        <v>0</v>
      </c>
      <c r="DC66" s="79">
        <f>SUM(DE66+DG66+DI66+DK66)</f>
        <v>0</v>
      </c>
      <c r="DD66" s="82">
        <f>DD68/DD67</f>
        <v>0</v>
      </c>
      <c r="DE66" s="84"/>
      <c r="DF66" s="79">
        <f>DD66/4</f>
        <v>0</v>
      </c>
      <c r="DG66" s="84"/>
      <c r="DH66" s="79">
        <f>DD66/4</f>
        <v>0</v>
      </c>
      <c r="DI66" s="84"/>
      <c r="DJ66" s="79">
        <f>DD66/4</f>
        <v>0</v>
      </c>
      <c r="DK66" s="84"/>
      <c r="DL66" s="79">
        <f>DD66/4</f>
        <v>0</v>
      </c>
      <c r="DM66" s="79">
        <f>SUM(DO66+DQ66+DS66+DU66)</f>
        <v>0</v>
      </c>
      <c r="DN66" s="82">
        <f>DN68/DN67</f>
        <v>0</v>
      </c>
      <c r="DO66" s="92"/>
      <c r="DP66" s="62">
        <f>DN66/4</f>
        <v>0</v>
      </c>
      <c r="DQ66" s="92"/>
      <c r="DR66" s="62">
        <f>DN66/4</f>
        <v>0</v>
      </c>
      <c r="DS66" s="92"/>
      <c r="DT66" s="62">
        <f>DN66/4</f>
        <v>0</v>
      </c>
      <c r="DU66" s="92"/>
      <c r="DV66" s="62">
        <f>DN66/4</f>
        <v>0</v>
      </c>
    </row>
    <row r="67" ht="15.75" hidden="1" customHeight="1">
      <c r="A67" s="35"/>
      <c r="B67" s="110"/>
      <c r="C67" s="111" t="s">
        <v>101</v>
      </c>
      <c r="D67" s="91" t="str">
        <f t="shared" ref="D67:F67" si="272">D68/D66</f>
        <v>#DIV/0!</v>
      </c>
      <c r="E67" s="91" t="str">
        <f t="shared" si="272"/>
        <v>#DIV/0!</v>
      </c>
      <c r="F67" s="81" t="str">
        <f t="shared" si="272"/>
        <v>#DIV/0!</v>
      </c>
      <c r="G67" s="88">
        <v>0.9</v>
      </c>
      <c r="H67" s="61" t="s">
        <v>97</v>
      </c>
      <c r="I67" s="81" t="str">
        <f>I68/I66</f>
        <v>#DIV/0!</v>
      </c>
      <c r="J67" s="83">
        <f>G67</f>
        <v>0.9</v>
      </c>
      <c r="K67" s="81" t="str">
        <f>K68/K66</f>
        <v>#DIV/0!</v>
      </c>
      <c r="L67" s="83">
        <f>G67</f>
        <v>0.9</v>
      </c>
      <c r="M67" s="81" t="str">
        <f>M68/M66</f>
        <v>#DIV/0!</v>
      </c>
      <c r="N67" s="83">
        <f>G67</f>
        <v>0.9</v>
      </c>
      <c r="O67" s="81" t="str">
        <f>O68/O66</f>
        <v>#DIV/0!</v>
      </c>
      <c r="P67" s="83">
        <f>G67</f>
        <v>0.9</v>
      </c>
      <c r="Q67" s="81" t="str">
        <f>Q68/Q66</f>
        <v>#DIV/0!</v>
      </c>
      <c r="R67" s="88">
        <v>0.9</v>
      </c>
      <c r="S67" s="81" t="str">
        <f>S68/S66</f>
        <v>#DIV/0!</v>
      </c>
      <c r="T67" s="83">
        <f>R67</f>
        <v>0.9</v>
      </c>
      <c r="U67" s="81" t="str">
        <f>U68/U66</f>
        <v>#DIV/0!</v>
      </c>
      <c r="V67" s="83">
        <f>R67</f>
        <v>0.9</v>
      </c>
      <c r="W67" s="81" t="str">
        <f>W68/W66</f>
        <v>#DIV/0!</v>
      </c>
      <c r="X67" s="83">
        <f>R67</f>
        <v>0.9</v>
      </c>
      <c r="Y67" s="81" t="str">
        <f>Y68/Y66</f>
        <v>#DIV/0!</v>
      </c>
      <c r="Z67" s="83">
        <f>R67</f>
        <v>0.9</v>
      </c>
      <c r="AA67" s="81" t="str">
        <f>AA68/AA66</f>
        <v>#DIV/0!</v>
      </c>
      <c r="AB67" s="88">
        <v>0.9</v>
      </c>
      <c r="AC67" s="81" t="str">
        <f>AC68/AC66</f>
        <v>#DIV/0!</v>
      </c>
      <c r="AD67" s="83">
        <f>AB67</f>
        <v>0.9</v>
      </c>
      <c r="AE67" s="81" t="str">
        <f>AE68/AE66</f>
        <v>#DIV/0!</v>
      </c>
      <c r="AF67" s="83">
        <f>AB67</f>
        <v>0.9</v>
      </c>
      <c r="AG67" s="81" t="str">
        <f>AG68/AG66</f>
        <v>#DIV/0!</v>
      </c>
      <c r="AH67" s="83">
        <f>AB67</f>
        <v>0.9</v>
      </c>
      <c r="AI67" s="81" t="str">
        <f>AI68/AI66</f>
        <v>#DIV/0!</v>
      </c>
      <c r="AJ67" s="83">
        <f>AB67</f>
        <v>0.9</v>
      </c>
      <c r="AK67" s="81" t="str">
        <f>AK68/AK66</f>
        <v>#DIV/0!</v>
      </c>
      <c r="AL67" s="88">
        <v>0.9</v>
      </c>
      <c r="AM67" s="81" t="str">
        <f>AM68/AM66</f>
        <v>#DIV/0!</v>
      </c>
      <c r="AN67" s="83">
        <f>AL67</f>
        <v>0.9</v>
      </c>
      <c r="AO67" s="81" t="str">
        <f>AO68/AO66</f>
        <v>#DIV/0!</v>
      </c>
      <c r="AP67" s="83">
        <f>AL67</f>
        <v>0.9</v>
      </c>
      <c r="AQ67" s="81" t="str">
        <f>AQ68/AQ66</f>
        <v>#DIV/0!</v>
      </c>
      <c r="AR67" s="83">
        <f>AL67</f>
        <v>0.9</v>
      </c>
      <c r="AS67" s="81" t="str">
        <f>AS68/AS66</f>
        <v>#DIV/0!</v>
      </c>
      <c r="AT67" s="83">
        <f>AL67</f>
        <v>0.9</v>
      </c>
      <c r="AU67" s="81" t="str">
        <f>AU68/AU66</f>
        <v>#DIV/0!</v>
      </c>
      <c r="AV67" s="88">
        <v>0.9</v>
      </c>
      <c r="AW67" s="81" t="str">
        <f>AW68/AW66</f>
        <v>#DIV/0!</v>
      </c>
      <c r="AX67" s="83">
        <f>AV67</f>
        <v>0.9</v>
      </c>
      <c r="AY67" s="81" t="str">
        <f>AY68/AY66</f>
        <v>#DIV/0!</v>
      </c>
      <c r="AZ67" s="83">
        <f>AV67</f>
        <v>0.9</v>
      </c>
      <c r="BA67" s="81" t="str">
        <f>BA68/BA66</f>
        <v>#DIV/0!</v>
      </c>
      <c r="BB67" s="83">
        <f>AV67</f>
        <v>0.9</v>
      </c>
      <c r="BC67" s="81" t="str">
        <f>BC68/BC66</f>
        <v>#DIV/0!</v>
      </c>
      <c r="BD67" s="83">
        <f>AV67</f>
        <v>0.9</v>
      </c>
      <c r="BE67" s="81" t="str">
        <f>BE68/BE66</f>
        <v>#DIV/0!</v>
      </c>
      <c r="BF67" s="88">
        <v>0.9</v>
      </c>
      <c r="BG67" s="81" t="str">
        <f>BG68/BG66</f>
        <v>#DIV/0!</v>
      </c>
      <c r="BH67" s="83">
        <f>BF67</f>
        <v>0.9</v>
      </c>
      <c r="BI67" s="81" t="str">
        <f>BI68/BI66</f>
        <v>#DIV/0!</v>
      </c>
      <c r="BJ67" s="83">
        <f>BF67</f>
        <v>0.9</v>
      </c>
      <c r="BK67" s="81" t="str">
        <f>BK68/BK66</f>
        <v>#DIV/0!</v>
      </c>
      <c r="BL67" s="83">
        <f>BF67</f>
        <v>0.9</v>
      </c>
      <c r="BM67" s="81" t="str">
        <f>BM68/BM66</f>
        <v>#DIV/0!</v>
      </c>
      <c r="BN67" s="83">
        <f>BF67</f>
        <v>0.9</v>
      </c>
      <c r="BO67" s="81" t="str">
        <f>BO68/BO66</f>
        <v>#DIV/0!</v>
      </c>
      <c r="BP67" s="88">
        <v>0.9</v>
      </c>
      <c r="BQ67" s="81" t="str">
        <f>BQ68/BQ66</f>
        <v>#DIV/0!</v>
      </c>
      <c r="BR67" s="83">
        <f>BP67</f>
        <v>0.9</v>
      </c>
      <c r="BS67" s="81" t="str">
        <f>BS68/BS66</f>
        <v>#DIV/0!</v>
      </c>
      <c r="BT67" s="83">
        <f>BP67</f>
        <v>0.9</v>
      </c>
      <c r="BU67" s="81" t="str">
        <f>BU68/BU66</f>
        <v>#DIV/0!</v>
      </c>
      <c r="BV67" s="83">
        <f>BP67</f>
        <v>0.9</v>
      </c>
      <c r="BW67" s="81" t="str">
        <f>BW68/BW66</f>
        <v>#DIV/0!</v>
      </c>
      <c r="BX67" s="83">
        <f>BP67</f>
        <v>0.9</v>
      </c>
      <c r="BY67" s="81" t="str">
        <f>BY68/BY66</f>
        <v>#DIV/0!</v>
      </c>
      <c r="BZ67" s="88">
        <v>0.9</v>
      </c>
      <c r="CA67" s="81" t="str">
        <f>CA68/CA66</f>
        <v>#DIV/0!</v>
      </c>
      <c r="CB67" s="83">
        <f>BZ67</f>
        <v>0.9</v>
      </c>
      <c r="CC67" s="81" t="str">
        <f>CC68/CC66</f>
        <v>#DIV/0!</v>
      </c>
      <c r="CD67" s="83">
        <f>BZ67</f>
        <v>0.9</v>
      </c>
      <c r="CE67" s="81" t="str">
        <f>CE68/CE66</f>
        <v>#DIV/0!</v>
      </c>
      <c r="CF67" s="83">
        <f>BZ67</f>
        <v>0.9</v>
      </c>
      <c r="CG67" s="81" t="str">
        <f>CG68/CG66</f>
        <v>#DIV/0!</v>
      </c>
      <c r="CH67" s="83">
        <f>BZ67</f>
        <v>0.9</v>
      </c>
      <c r="CI67" s="81" t="str">
        <f>CI68/CI66</f>
        <v>#DIV/0!</v>
      </c>
      <c r="CJ67" s="88">
        <v>0.9</v>
      </c>
      <c r="CK67" s="81" t="str">
        <f>CK68/CK66</f>
        <v>#DIV/0!</v>
      </c>
      <c r="CL67" s="83">
        <f>CJ67</f>
        <v>0.9</v>
      </c>
      <c r="CM67" s="81" t="str">
        <f>CM68/CM66</f>
        <v>#DIV/0!</v>
      </c>
      <c r="CN67" s="83">
        <f>CJ67</f>
        <v>0.9</v>
      </c>
      <c r="CO67" s="81" t="str">
        <f>CO68/CO66</f>
        <v>#DIV/0!</v>
      </c>
      <c r="CP67" s="83">
        <f>CJ67</f>
        <v>0.9</v>
      </c>
      <c r="CQ67" s="81" t="str">
        <f>CQ68/CQ66</f>
        <v>#DIV/0!</v>
      </c>
      <c r="CR67" s="83">
        <f>CJ67</f>
        <v>0.9</v>
      </c>
      <c r="CS67" s="81" t="str">
        <f>CS68/CS66</f>
        <v>#DIV/0!</v>
      </c>
      <c r="CT67" s="88">
        <v>0.9</v>
      </c>
      <c r="CU67" s="81" t="str">
        <f>CU68/CU66</f>
        <v>#DIV/0!</v>
      </c>
      <c r="CV67" s="83">
        <f>CT67</f>
        <v>0.9</v>
      </c>
      <c r="CW67" s="81" t="str">
        <f>CW68/CW66</f>
        <v>#DIV/0!</v>
      </c>
      <c r="CX67" s="83">
        <f>CT67</f>
        <v>0.9</v>
      </c>
      <c r="CY67" s="81" t="str">
        <f>CY68/CY66</f>
        <v>#DIV/0!</v>
      </c>
      <c r="CZ67" s="83">
        <f>CT67</f>
        <v>0.9</v>
      </c>
      <c r="DA67" s="81" t="str">
        <f>DA68/DA66</f>
        <v>#DIV/0!</v>
      </c>
      <c r="DB67" s="83">
        <f>CT67</f>
        <v>0.9</v>
      </c>
      <c r="DC67" s="81" t="str">
        <f>DC68/DC66</f>
        <v>#DIV/0!</v>
      </c>
      <c r="DD67" s="88">
        <v>0.9</v>
      </c>
      <c r="DE67" s="81" t="str">
        <f>DE68/DE66</f>
        <v>#DIV/0!</v>
      </c>
      <c r="DF67" s="83">
        <f>DD67</f>
        <v>0.9</v>
      </c>
      <c r="DG67" s="81" t="str">
        <f>DG68/DG66</f>
        <v>#DIV/0!</v>
      </c>
      <c r="DH67" s="83">
        <f>DD67</f>
        <v>0.9</v>
      </c>
      <c r="DI67" s="81" t="str">
        <f>DI68/DI66</f>
        <v>#DIV/0!</v>
      </c>
      <c r="DJ67" s="83">
        <f>DD67</f>
        <v>0.9</v>
      </c>
      <c r="DK67" s="81" t="str">
        <f>DK68/DK66</f>
        <v>#DIV/0!</v>
      </c>
      <c r="DL67" s="83">
        <f>DD67</f>
        <v>0.9</v>
      </c>
      <c r="DM67" s="81" t="str">
        <f>DM68/DM66</f>
        <v>#DIV/0!</v>
      </c>
      <c r="DN67" s="88">
        <v>0.9</v>
      </c>
      <c r="DO67" s="66" t="str">
        <f>DO68/DO66</f>
        <v>#DIV/0!</v>
      </c>
      <c r="DP67" s="93">
        <f>DN67</f>
        <v>0.9</v>
      </c>
      <c r="DQ67" s="66" t="str">
        <f>DQ68/DQ66</f>
        <v>#DIV/0!</v>
      </c>
      <c r="DR67" s="93">
        <f>DN67</f>
        <v>0.9</v>
      </c>
      <c r="DS67" s="66" t="str">
        <f>DS68/DS66</f>
        <v>#DIV/0!</v>
      </c>
      <c r="DT67" s="93">
        <f>DN67</f>
        <v>0.9</v>
      </c>
      <c r="DU67" s="66" t="str">
        <f>DU68/DU66</f>
        <v>#DIV/0!</v>
      </c>
      <c r="DV67" s="93">
        <f>DN67</f>
        <v>0.9</v>
      </c>
    </row>
    <row r="68" ht="15.75" hidden="1" customHeight="1">
      <c r="A68" s="35"/>
      <c r="B68" s="110"/>
      <c r="C68" s="95" t="s">
        <v>102</v>
      </c>
      <c r="D68" s="79">
        <f t="shared" ref="D68:E68" si="273">SUM(F68+Q68+AA68+AK68+AU68+BE68+BO68+BY68+CI68+CS68+DC68+DM68)</f>
        <v>0</v>
      </c>
      <c r="E68" s="91">
        <f t="shared" si="273"/>
        <v>0</v>
      </c>
      <c r="F68" s="81">
        <f>SUM(I68+K68+M68+O68)</f>
        <v>0</v>
      </c>
      <c r="G68" s="82">
        <f>G70/G69</f>
        <v>0</v>
      </c>
      <c r="H68" s="61" t="str">
        <f>G68/F68</f>
        <v>#DIV/0!</v>
      </c>
      <c r="I68" s="83"/>
      <c r="J68" s="79">
        <f>G68/4</f>
        <v>0</v>
      </c>
      <c r="K68" s="83"/>
      <c r="L68" s="79">
        <f>G68/4</f>
        <v>0</v>
      </c>
      <c r="M68" s="83"/>
      <c r="N68" s="79">
        <f>G68/4</f>
        <v>0</v>
      </c>
      <c r="O68" s="83"/>
      <c r="P68" s="79">
        <f>G68/4</f>
        <v>0</v>
      </c>
      <c r="Q68" s="79">
        <f>SUM(S68+U68+W68+Y68)</f>
        <v>0</v>
      </c>
      <c r="R68" s="82">
        <f>R70/R69</f>
        <v>0</v>
      </c>
      <c r="S68" s="84"/>
      <c r="T68" s="79">
        <f>R68/4</f>
        <v>0</v>
      </c>
      <c r="U68" s="84"/>
      <c r="V68" s="79">
        <f>R68/4</f>
        <v>0</v>
      </c>
      <c r="W68" s="84"/>
      <c r="X68" s="79">
        <f>R68/4</f>
        <v>0</v>
      </c>
      <c r="Y68" s="84"/>
      <c r="Z68" s="79">
        <f>R68/4</f>
        <v>0</v>
      </c>
      <c r="AA68" s="79">
        <f>SUM(AC68+AE68+AG68+AI68)</f>
        <v>0</v>
      </c>
      <c r="AB68" s="82">
        <f>AB70/AB69</f>
        <v>0</v>
      </c>
      <c r="AC68" s="84"/>
      <c r="AD68" s="79">
        <f>AB68/4</f>
        <v>0</v>
      </c>
      <c r="AE68" s="84"/>
      <c r="AF68" s="79">
        <f>AB68/4</f>
        <v>0</v>
      </c>
      <c r="AG68" s="84"/>
      <c r="AH68" s="79">
        <f>AB68/4</f>
        <v>0</v>
      </c>
      <c r="AI68" s="84"/>
      <c r="AJ68" s="79">
        <f>AB68/4</f>
        <v>0</v>
      </c>
      <c r="AK68" s="79">
        <f>SUM(AM68+AO68+AQ68+AS68)</f>
        <v>0</v>
      </c>
      <c r="AL68" s="82">
        <f>AL70/AL69</f>
        <v>0</v>
      </c>
      <c r="AM68" s="84"/>
      <c r="AN68" s="79">
        <f>AL68/4</f>
        <v>0</v>
      </c>
      <c r="AO68" s="84"/>
      <c r="AP68" s="79">
        <f>AL68/4</f>
        <v>0</v>
      </c>
      <c r="AQ68" s="84"/>
      <c r="AR68" s="79">
        <f>AL68/4</f>
        <v>0</v>
      </c>
      <c r="AS68" s="84"/>
      <c r="AT68" s="79">
        <f>AL68/4</f>
        <v>0</v>
      </c>
      <c r="AU68" s="79">
        <f>SUM(AW68+AY68+BA68+BC68)</f>
        <v>0</v>
      </c>
      <c r="AV68" s="82">
        <f>AV70/AV69</f>
        <v>0</v>
      </c>
      <c r="AW68" s="84"/>
      <c r="AX68" s="79">
        <f>AV68/4</f>
        <v>0</v>
      </c>
      <c r="AY68" s="84"/>
      <c r="AZ68" s="79">
        <f>AV68/4</f>
        <v>0</v>
      </c>
      <c r="BA68" s="84"/>
      <c r="BB68" s="79">
        <f>AV68/4</f>
        <v>0</v>
      </c>
      <c r="BC68" s="84"/>
      <c r="BD68" s="79">
        <f>AV68/4</f>
        <v>0</v>
      </c>
      <c r="BE68" s="79">
        <f>SUM(BG68+BI68+BK68+BM68)</f>
        <v>0</v>
      </c>
      <c r="BF68" s="82">
        <f>BF70/BF69</f>
        <v>0</v>
      </c>
      <c r="BG68" s="84"/>
      <c r="BH68" s="79">
        <f>BF68/4</f>
        <v>0</v>
      </c>
      <c r="BI68" s="84"/>
      <c r="BJ68" s="79">
        <f>BF68/4</f>
        <v>0</v>
      </c>
      <c r="BK68" s="84"/>
      <c r="BL68" s="79">
        <f>BF68/4</f>
        <v>0</v>
      </c>
      <c r="BM68" s="84"/>
      <c r="BN68" s="79">
        <f>BF68/4</f>
        <v>0</v>
      </c>
      <c r="BO68" s="79">
        <f>SUM(BQ68+BS68+BU68+BW68)</f>
        <v>0</v>
      </c>
      <c r="BP68" s="82">
        <f>BP70/BP69</f>
        <v>0</v>
      </c>
      <c r="BQ68" s="84"/>
      <c r="BR68" s="79">
        <f>BP68/4</f>
        <v>0</v>
      </c>
      <c r="BS68" s="84"/>
      <c r="BT68" s="79">
        <f>BP68/4</f>
        <v>0</v>
      </c>
      <c r="BU68" s="84"/>
      <c r="BV68" s="79">
        <f>BP68/4</f>
        <v>0</v>
      </c>
      <c r="BW68" s="84"/>
      <c r="BX68" s="79">
        <f>BP68/4</f>
        <v>0</v>
      </c>
      <c r="BY68" s="79">
        <f>SUM(CA68+CC68+CE68+CG68)</f>
        <v>0</v>
      </c>
      <c r="BZ68" s="82">
        <f>BZ70/BZ69</f>
        <v>0</v>
      </c>
      <c r="CA68" s="84"/>
      <c r="CB68" s="79">
        <f>BZ68/4</f>
        <v>0</v>
      </c>
      <c r="CC68" s="84"/>
      <c r="CD68" s="79">
        <f>BZ68/4</f>
        <v>0</v>
      </c>
      <c r="CE68" s="84"/>
      <c r="CF68" s="79">
        <f>BZ68/4</f>
        <v>0</v>
      </c>
      <c r="CG68" s="84"/>
      <c r="CH68" s="79">
        <f>BZ68/4</f>
        <v>0</v>
      </c>
      <c r="CI68" s="79">
        <f>SUM(CK68+CM68+CO68+CQ68)</f>
        <v>0</v>
      </c>
      <c r="CJ68" s="82">
        <f>CJ70/CJ69</f>
        <v>0</v>
      </c>
      <c r="CK68" s="84"/>
      <c r="CL68" s="79">
        <f>CJ68/4</f>
        <v>0</v>
      </c>
      <c r="CM68" s="84"/>
      <c r="CN68" s="79">
        <f>CJ68/4</f>
        <v>0</v>
      </c>
      <c r="CO68" s="84"/>
      <c r="CP68" s="79">
        <f>CJ68/4</f>
        <v>0</v>
      </c>
      <c r="CQ68" s="84"/>
      <c r="CR68" s="79">
        <f>CJ68/4</f>
        <v>0</v>
      </c>
      <c r="CS68" s="79">
        <f>SUM(CU68+CW68+CY68+DA68)</f>
        <v>0</v>
      </c>
      <c r="CT68" s="82">
        <f>CT70/CT69</f>
        <v>0</v>
      </c>
      <c r="CU68" s="84"/>
      <c r="CV68" s="79">
        <f>CT68/4</f>
        <v>0</v>
      </c>
      <c r="CW68" s="84"/>
      <c r="CX68" s="79">
        <f>CT68/4</f>
        <v>0</v>
      </c>
      <c r="CY68" s="84"/>
      <c r="CZ68" s="79">
        <f>CT68/4</f>
        <v>0</v>
      </c>
      <c r="DA68" s="84"/>
      <c r="DB68" s="79">
        <f>CT68/4</f>
        <v>0</v>
      </c>
      <c r="DC68" s="79">
        <f>SUM(DE68+DG68+DI68+DK68)</f>
        <v>0</v>
      </c>
      <c r="DD68" s="82">
        <f>DD70/DD69</f>
        <v>0</v>
      </c>
      <c r="DE68" s="84"/>
      <c r="DF68" s="79">
        <f>DD68/4</f>
        <v>0</v>
      </c>
      <c r="DG68" s="84"/>
      <c r="DH68" s="79">
        <f>DD68/4</f>
        <v>0</v>
      </c>
      <c r="DI68" s="84"/>
      <c r="DJ68" s="79">
        <f>DD68/4</f>
        <v>0</v>
      </c>
      <c r="DK68" s="84"/>
      <c r="DL68" s="79">
        <f>DD68/4</f>
        <v>0</v>
      </c>
      <c r="DM68" s="79">
        <f>SUM(DO68+DQ68+DS68+DU68)</f>
        <v>0</v>
      </c>
      <c r="DN68" s="82">
        <f>DN70/DN69</f>
        <v>0</v>
      </c>
      <c r="DO68" s="92"/>
      <c r="DP68" s="62">
        <f>DN68/4</f>
        <v>0</v>
      </c>
      <c r="DQ68" s="92"/>
      <c r="DR68" s="62">
        <f>DN68/4</f>
        <v>0</v>
      </c>
      <c r="DS68" s="92"/>
      <c r="DT68" s="62">
        <f>DN68/4</f>
        <v>0</v>
      </c>
      <c r="DU68" s="92"/>
      <c r="DV68" s="62">
        <f>DN68/4</f>
        <v>0</v>
      </c>
    </row>
    <row r="69" ht="15.75" hidden="1" customHeight="1">
      <c r="A69" s="35"/>
      <c r="B69" s="110"/>
      <c r="C69" s="111" t="s">
        <v>103</v>
      </c>
      <c r="D69" s="91" t="str">
        <f t="shared" ref="D69:F69" si="274">D70/D68</f>
        <v>#DIV/0!</v>
      </c>
      <c r="E69" s="91" t="str">
        <f t="shared" si="274"/>
        <v>#DIV/0!</v>
      </c>
      <c r="F69" s="81" t="str">
        <f t="shared" si="274"/>
        <v>#DIV/0!</v>
      </c>
      <c r="G69" s="88">
        <v>0.7</v>
      </c>
      <c r="H69" s="61" t="s">
        <v>97</v>
      </c>
      <c r="I69" s="81" t="str">
        <f>I70/I68</f>
        <v>#DIV/0!</v>
      </c>
      <c r="J69" s="83">
        <f>G69</f>
        <v>0.7</v>
      </c>
      <c r="K69" s="81" t="str">
        <f>K70/K68</f>
        <v>#DIV/0!</v>
      </c>
      <c r="L69" s="83">
        <f>G69</f>
        <v>0.7</v>
      </c>
      <c r="M69" s="81" t="str">
        <f>M70/M68</f>
        <v>#DIV/0!</v>
      </c>
      <c r="N69" s="83">
        <f>G69</f>
        <v>0.7</v>
      </c>
      <c r="O69" s="81" t="str">
        <f>O70/O68</f>
        <v>#DIV/0!</v>
      </c>
      <c r="P69" s="83">
        <f>G69</f>
        <v>0.7</v>
      </c>
      <c r="Q69" s="81" t="str">
        <f>Q70/Q68</f>
        <v>#DIV/0!</v>
      </c>
      <c r="R69" s="88">
        <v>0.7</v>
      </c>
      <c r="S69" s="81" t="str">
        <f>S70/S68</f>
        <v>#DIV/0!</v>
      </c>
      <c r="T69" s="83">
        <f>R69</f>
        <v>0.7</v>
      </c>
      <c r="U69" s="81" t="str">
        <f>U70/U68</f>
        <v>#DIV/0!</v>
      </c>
      <c r="V69" s="83">
        <f>R69</f>
        <v>0.7</v>
      </c>
      <c r="W69" s="81" t="str">
        <f>W70/W68</f>
        <v>#DIV/0!</v>
      </c>
      <c r="X69" s="83">
        <f>R69</f>
        <v>0.7</v>
      </c>
      <c r="Y69" s="81" t="str">
        <f>Y70/Y68</f>
        <v>#DIV/0!</v>
      </c>
      <c r="Z69" s="83">
        <f>R69</f>
        <v>0.7</v>
      </c>
      <c r="AA69" s="81" t="str">
        <f>AA70/AA68</f>
        <v>#DIV/0!</v>
      </c>
      <c r="AB69" s="88">
        <v>0.7</v>
      </c>
      <c r="AC69" s="81" t="str">
        <f>AC70/AC68</f>
        <v>#DIV/0!</v>
      </c>
      <c r="AD69" s="83">
        <f>AB69</f>
        <v>0.7</v>
      </c>
      <c r="AE69" s="81" t="str">
        <f>AE70/AE68</f>
        <v>#DIV/0!</v>
      </c>
      <c r="AF69" s="83">
        <f>AB69</f>
        <v>0.7</v>
      </c>
      <c r="AG69" s="81" t="str">
        <f>AG70/AG68</f>
        <v>#DIV/0!</v>
      </c>
      <c r="AH69" s="83">
        <f>AB69</f>
        <v>0.7</v>
      </c>
      <c r="AI69" s="81" t="str">
        <f>AI70/AI68</f>
        <v>#DIV/0!</v>
      </c>
      <c r="AJ69" s="83">
        <f>AB69</f>
        <v>0.7</v>
      </c>
      <c r="AK69" s="81" t="str">
        <f>AK70/AK68</f>
        <v>#DIV/0!</v>
      </c>
      <c r="AL69" s="88">
        <v>0.7</v>
      </c>
      <c r="AM69" s="81" t="str">
        <f>AM70/AM68</f>
        <v>#DIV/0!</v>
      </c>
      <c r="AN69" s="83">
        <f>AL69</f>
        <v>0.7</v>
      </c>
      <c r="AO69" s="81" t="str">
        <f>AO70/AO68</f>
        <v>#DIV/0!</v>
      </c>
      <c r="AP69" s="83">
        <f>AL69</f>
        <v>0.7</v>
      </c>
      <c r="AQ69" s="81" t="str">
        <f>AQ70/AQ68</f>
        <v>#DIV/0!</v>
      </c>
      <c r="AR69" s="83">
        <f>AL69</f>
        <v>0.7</v>
      </c>
      <c r="AS69" s="81" t="str">
        <f>AS70/AS68</f>
        <v>#DIV/0!</v>
      </c>
      <c r="AT69" s="83">
        <f>AL69</f>
        <v>0.7</v>
      </c>
      <c r="AU69" s="81" t="str">
        <f>AU70/AU68</f>
        <v>#DIV/0!</v>
      </c>
      <c r="AV69" s="88">
        <v>0.7</v>
      </c>
      <c r="AW69" s="81" t="str">
        <f>AW70/AW68</f>
        <v>#DIV/0!</v>
      </c>
      <c r="AX69" s="83">
        <f>AV69</f>
        <v>0.7</v>
      </c>
      <c r="AY69" s="81" t="str">
        <f>AY70/AY68</f>
        <v>#DIV/0!</v>
      </c>
      <c r="AZ69" s="83">
        <f>AV69</f>
        <v>0.7</v>
      </c>
      <c r="BA69" s="81" t="str">
        <f>BA70/BA68</f>
        <v>#DIV/0!</v>
      </c>
      <c r="BB69" s="83">
        <f>AV69</f>
        <v>0.7</v>
      </c>
      <c r="BC69" s="81" t="str">
        <f>BC70/BC68</f>
        <v>#DIV/0!</v>
      </c>
      <c r="BD69" s="83">
        <f>AV69</f>
        <v>0.7</v>
      </c>
      <c r="BE69" s="81" t="str">
        <f>BE70/BE68</f>
        <v>#DIV/0!</v>
      </c>
      <c r="BF69" s="88">
        <v>0.7</v>
      </c>
      <c r="BG69" s="81" t="str">
        <f>BG70/BG68</f>
        <v>#DIV/0!</v>
      </c>
      <c r="BH69" s="83">
        <f>BF69</f>
        <v>0.7</v>
      </c>
      <c r="BI69" s="81" t="str">
        <f>BI70/BI68</f>
        <v>#DIV/0!</v>
      </c>
      <c r="BJ69" s="83">
        <f>BF69</f>
        <v>0.7</v>
      </c>
      <c r="BK69" s="81" t="str">
        <f>BK70/BK68</f>
        <v>#DIV/0!</v>
      </c>
      <c r="BL69" s="83">
        <f>BF69</f>
        <v>0.7</v>
      </c>
      <c r="BM69" s="81" t="str">
        <f>BM70/BM68</f>
        <v>#DIV/0!</v>
      </c>
      <c r="BN69" s="83">
        <f>BF69</f>
        <v>0.7</v>
      </c>
      <c r="BO69" s="81" t="str">
        <f>BO70/BO68</f>
        <v>#DIV/0!</v>
      </c>
      <c r="BP69" s="88">
        <v>0.7</v>
      </c>
      <c r="BQ69" s="81" t="str">
        <f>BQ70/BQ68</f>
        <v>#DIV/0!</v>
      </c>
      <c r="BR69" s="83">
        <f>BP69</f>
        <v>0.7</v>
      </c>
      <c r="BS69" s="81" t="str">
        <f>BS70/BS68</f>
        <v>#DIV/0!</v>
      </c>
      <c r="BT69" s="83">
        <f>BP69</f>
        <v>0.7</v>
      </c>
      <c r="BU69" s="81" t="str">
        <f>BU70/BU68</f>
        <v>#DIV/0!</v>
      </c>
      <c r="BV69" s="83">
        <f>BP69</f>
        <v>0.7</v>
      </c>
      <c r="BW69" s="81" t="str">
        <f>BW70/BW68</f>
        <v>#DIV/0!</v>
      </c>
      <c r="BX69" s="83">
        <f>BP69</f>
        <v>0.7</v>
      </c>
      <c r="BY69" s="81" t="str">
        <f>BY70/BY68</f>
        <v>#DIV/0!</v>
      </c>
      <c r="BZ69" s="88">
        <v>0.7</v>
      </c>
      <c r="CA69" s="81" t="str">
        <f>CA70/CA68</f>
        <v>#DIV/0!</v>
      </c>
      <c r="CB69" s="83">
        <f>BZ69</f>
        <v>0.7</v>
      </c>
      <c r="CC69" s="81" t="str">
        <f>CC70/CC68</f>
        <v>#DIV/0!</v>
      </c>
      <c r="CD69" s="83">
        <f>BZ69</f>
        <v>0.7</v>
      </c>
      <c r="CE69" s="81" t="str">
        <f>CE70/CE68</f>
        <v>#DIV/0!</v>
      </c>
      <c r="CF69" s="83">
        <f>BZ69</f>
        <v>0.7</v>
      </c>
      <c r="CG69" s="81" t="str">
        <f>CG70/CG68</f>
        <v>#DIV/0!</v>
      </c>
      <c r="CH69" s="83">
        <f>BZ69</f>
        <v>0.7</v>
      </c>
      <c r="CI69" s="81" t="str">
        <f>CI70/CI68</f>
        <v>#DIV/0!</v>
      </c>
      <c r="CJ69" s="88">
        <v>0.7</v>
      </c>
      <c r="CK69" s="81" t="str">
        <f>CK70/CK68</f>
        <v>#DIV/0!</v>
      </c>
      <c r="CL69" s="83">
        <f>CJ69</f>
        <v>0.7</v>
      </c>
      <c r="CM69" s="81" t="str">
        <f>CM70/CM68</f>
        <v>#DIV/0!</v>
      </c>
      <c r="CN69" s="83">
        <f>CJ69</f>
        <v>0.7</v>
      </c>
      <c r="CO69" s="81" t="str">
        <f>CO70/CO68</f>
        <v>#DIV/0!</v>
      </c>
      <c r="CP69" s="83">
        <f>CJ69</f>
        <v>0.7</v>
      </c>
      <c r="CQ69" s="81" t="str">
        <f>CQ70/CQ68</f>
        <v>#DIV/0!</v>
      </c>
      <c r="CR69" s="83">
        <f>CJ69</f>
        <v>0.7</v>
      </c>
      <c r="CS69" s="81" t="str">
        <f>CS70/CS68</f>
        <v>#DIV/0!</v>
      </c>
      <c r="CT69" s="88">
        <v>0.7</v>
      </c>
      <c r="CU69" s="81" t="str">
        <f>CU70/CU68</f>
        <v>#DIV/0!</v>
      </c>
      <c r="CV69" s="83">
        <f>CT69</f>
        <v>0.7</v>
      </c>
      <c r="CW69" s="81" t="str">
        <f>CW70/CW68</f>
        <v>#DIV/0!</v>
      </c>
      <c r="CX69" s="83">
        <f>CT69</f>
        <v>0.7</v>
      </c>
      <c r="CY69" s="81" t="str">
        <f>CY70/CY68</f>
        <v>#DIV/0!</v>
      </c>
      <c r="CZ69" s="83">
        <f>CT69</f>
        <v>0.7</v>
      </c>
      <c r="DA69" s="81" t="str">
        <f>DA70/DA68</f>
        <v>#DIV/0!</v>
      </c>
      <c r="DB69" s="83">
        <f>CT69</f>
        <v>0.7</v>
      </c>
      <c r="DC69" s="81" t="str">
        <f>DC70/DC68</f>
        <v>#DIV/0!</v>
      </c>
      <c r="DD69" s="88">
        <v>0.7</v>
      </c>
      <c r="DE69" s="81" t="str">
        <f>DE70/DE68</f>
        <v>#DIV/0!</v>
      </c>
      <c r="DF69" s="83">
        <f>DD69</f>
        <v>0.7</v>
      </c>
      <c r="DG69" s="81" t="str">
        <f>DG70/DG68</f>
        <v>#DIV/0!</v>
      </c>
      <c r="DH69" s="83">
        <f>DD69</f>
        <v>0.7</v>
      </c>
      <c r="DI69" s="81" t="str">
        <f>DI70/DI68</f>
        <v>#DIV/0!</v>
      </c>
      <c r="DJ69" s="83">
        <f>DD69</f>
        <v>0.7</v>
      </c>
      <c r="DK69" s="81" t="str">
        <f>DK70/DK68</f>
        <v>#DIV/0!</v>
      </c>
      <c r="DL69" s="83">
        <f>DD69</f>
        <v>0.7</v>
      </c>
      <c r="DM69" s="81" t="str">
        <f>DM70/DM68</f>
        <v>#DIV/0!</v>
      </c>
      <c r="DN69" s="88">
        <v>0.7</v>
      </c>
      <c r="DO69" s="66" t="str">
        <f>DO70/DO68</f>
        <v>#DIV/0!</v>
      </c>
      <c r="DP69" s="93">
        <f>DN69</f>
        <v>0.7</v>
      </c>
      <c r="DQ69" s="66" t="str">
        <f>DQ70/DQ68</f>
        <v>#DIV/0!</v>
      </c>
      <c r="DR69" s="93">
        <f>DN69</f>
        <v>0.7</v>
      </c>
      <c r="DS69" s="66" t="str">
        <f>DS70/DS68</f>
        <v>#DIV/0!</v>
      </c>
      <c r="DT69" s="93">
        <f>DN69</f>
        <v>0.7</v>
      </c>
      <c r="DU69" s="66" t="str">
        <f>DU70/DU68</f>
        <v>#DIV/0!</v>
      </c>
      <c r="DV69" s="93">
        <f>DN69</f>
        <v>0.7</v>
      </c>
    </row>
    <row r="70" ht="15.75" hidden="1" customHeight="1">
      <c r="A70" s="35"/>
      <c r="B70" s="110"/>
      <c r="C70" s="97" t="s">
        <v>104</v>
      </c>
      <c r="D70" s="79">
        <f t="shared" ref="D70:E70" si="275">SUM(F70+Q70+AA70+AK70+AU70+BE70+BO70+BY70+CI70+CS70+DC70+DM70)</f>
        <v>0</v>
      </c>
      <c r="E70" s="91">
        <f t="shared" si="275"/>
        <v>0</v>
      </c>
      <c r="F70" s="81">
        <f>SUM(I70+K70+M70+O70)</f>
        <v>0</v>
      </c>
      <c r="G70" s="82">
        <f>G72/G71</f>
        <v>0</v>
      </c>
      <c r="H70" s="61" t="str">
        <f>G70/F70</f>
        <v>#DIV/0!</v>
      </c>
      <c r="I70" s="83"/>
      <c r="J70" s="79">
        <f>G70/4</f>
        <v>0</v>
      </c>
      <c r="K70" s="83"/>
      <c r="L70" s="79">
        <f>G70/4</f>
        <v>0</v>
      </c>
      <c r="M70" s="83"/>
      <c r="N70" s="79">
        <f>G70/4</f>
        <v>0</v>
      </c>
      <c r="O70" s="83"/>
      <c r="P70" s="79">
        <f>G70/4</f>
        <v>0</v>
      </c>
      <c r="Q70" s="79">
        <f>SUM(S70+U70+W70+Y70)</f>
        <v>0</v>
      </c>
      <c r="R70" s="82">
        <f>R72/R71</f>
        <v>0</v>
      </c>
      <c r="S70" s="84"/>
      <c r="T70" s="79">
        <f>R70/4</f>
        <v>0</v>
      </c>
      <c r="U70" s="84"/>
      <c r="V70" s="79">
        <f>R70/4</f>
        <v>0</v>
      </c>
      <c r="W70" s="84"/>
      <c r="X70" s="79">
        <f>R70/4</f>
        <v>0</v>
      </c>
      <c r="Y70" s="84"/>
      <c r="Z70" s="79">
        <f>R70/4</f>
        <v>0</v>
      </c>
      <c r="AA70" s="79">
        <f>SUM(AC70+AE70+AG70+AI70)</f>
        <v>0</v>
      </c>
      <c r="AB70" s="82">
        <f>AB72/AB71</f>
        <v>0</v>
      </c>
      <c r="AC70" s="84"/>
      <c r="AD70" s="79">
        <f>AB70/4</f>
        <v>0</v>
      </c>
      <c r="AE70" s="84"/>
      <c r="AF70" s="79">
        <f>AB70/4</f>
        <v>0</v>
      </c>
      <c r="AG70" s="84"/>
      <c r="AH70" s="79">
        <f>AB70/4</f>
        <v>0</v>
      </c>
      <c r="AI70" s="84"/>
      <c r="AJ70" s="79">
        <f>AB70/4</f>
        <v>0</v>
      </c>
      <c r="AK70" s="79">
        <f>SUM(AM70+AO70+AQ70+AS70)</f>
        <v>0</v>
      </c>
      <c r="AL70" s="82">
        <f>AL72/AL71</f>
        <v>0</v>
      </c>
      <c r="AM70" s="84"/>
      <c r="AN70" s="79">
        <f>AL70/4</f>
        <v>0</v>
      </c>
      <c r="AO70" s="84"/>
      <c r="AP70" s="79">
        <f>AL70/4</f>
        <v>0</v>
      </c>
      <c r="AQ70" s="84"/>
      <c r="AR70" s="79">
        <f>AL70/4</f>
        <v>0</v>
      </c>
      <c r="AS70" s="84"/>
      <c r="AT70" s="79">
        <f>AL70/4</f>
        <v>0</v>
      </c>
      <c r="AU70" s="79">
        <f>SUM(AW70+AY70+BA70+BC70)</f>
        <v>0</v>
      </c>
      <c r="AV70" s="82">
        <f>AV72/AV71</f>
        <v>0</v>
      </c>
      <c r="AW70" s="84"/>
      <c r="AX70" s="79">
        <f>AV70/4</f>
        <v>0</v>
      </c>
      <c r="AY70" s="84"/>
      <c r="AZ70" s="79">
        <f>AV70/4</f>
        <v>0</v>
      </c>
      <c r="BA70" s="84"/>
      <c r="BB70" s="79">
        <f>AV70/4</f>
        <v>0</v>
      </c>
      <c r="BC70" s="84"/>
      <c r="BD70" s="79">
        <f>AV70/4</f>
        <v>0</v>
      </c>
      <c r="BE70" s="79">
        <f>SUM(BG70+BI70+BK70+BM70)</f>
        <v>0</v>
      </c>
      <c r="BF70" s="82">
        <f>BF72/BF71</f>
        <v>0</v>
      </c>
      <c r="BG70" s="84"/>
      <c r="BH70" s="79">
        <f>BF70/4</f>
        <v>0</v>
      </c>
      <c r="BI70" s="84"/>
      <c r="BJ70" s="79">
        <f>BF70/4</f>
        <v>0</v>
      </c>
      <c r="BK70" s="84"/>
      <c r="BL70" s="79">
        <f>BF70/4</f>
        <v>0</v>
      </c>
      <c r="BM70" s="84"/>
      <c r="BN70" s="79">
        <f>BF70/4</f>
        <v>0</v>
      </c>
      <c r="BO70" s="79">
        <f>SUM(BQ70+BS70+BU70+BW70)</f>
        <v>0</v>
      </c>
      <c r="BP70" s="82">
        <f>BP72/BP71</f>
        <v>0</v>
      </c>
      <c r="BQ70" s="84"/>
      <c r="BR70" s="79">
        <f>BP70/4</f>
        <v>0</v>
      </c>
      <c r="BS70" s="84"/>
      <c r="BT70" s="79">
        <f>BP70/4</f>
        <v>0</v>
      </c>
      <c r="BU70" s="84"/>
      <c r="BV70" s="79">
        <f>BP70/4</f>
        <v>0</v>
      </c>
      <c r="BW70" s="84"/>
      <c r="BX70" s="79">
        <f>BP70/4</f>
        <v>0</v>
      </c>
      <c r="BY70" s="79">
        <f>SUM(CA70+CC70+CE70+CG70)</f>
        <v>0</v>
      </c>
      <c r="BZ70" s="82">
        <f>BZ72/BZ71</f>
        <v>0</v>
      </c>
      <c r="CA70" s="84"/>
      <c r="CB70" s="79">
        <f>BZ70/4</f>
        <v>0</v>
      </c>
      <c r="CC70" s="84"/>
      <c r="CD70" s="79">
        <f>BZ70/4</f>
        <v>0</v>
      </c>
      <c r="CE70" s="84"/>
      <c r="CF70" s="79">
        <f>BZ70/4</f>
        <v>0</v>
      </c>
      <c r="CG70" s="84"/>
      <c r="CH70" s="79">
        <f>BZ70/4</f>
        <v>0</v>
      </c>
      <c r="CI70" s="79">
        <f>SUM(CK70+CM70+CO70+CQ70)</f>
        <v>0</v>
      </c>
      <c r="CJ70" s="82">
        <f>CJ72/CJ71</f>
        <v>0</v>
      </c>
      <c r="CK70" s="84"/>
      <c r="CL70" s="79">
        <f>CJ70/4</f>
        <v>0</v>
      </c>
      <c r="CM70" s="84"/>
      <c r="CN70" s="79">
        <f>CJ70/4</f>
        <v>0</v>
      </c>
      <c r="CO70" s="84"/>
      <c r="CP70" s="79">
        <f>CJ70/4</f>
        <v>0</v>
      </c>
      <c r="CQ70" s="84"/>
      <c r="CR70" s="79">
        <f>CJ70/4</f>
        <v>0</v>
      </c>
      <c r="CS70" s="79">
        <f>SUM(CU70+CW70+CY70+DA70)</f>
        <v>0</v>
      </c>
      <c r="CT70" s="82">
        <f>CT72/CT71</f>
        <v>0</v>
      </c>
      <c r="CU70" s="84"/>
      <c r="CV70" s="79">
        <f>CT70/4</f>
        <v>0</v>
      </c>
      <c r="CW70" s="84"/>
      <c r="CX70" s="79">
        <f>CT70/4</f>
        <v>0</v>
      </c>
      <c r="CY70" s="84"/>
      <c r="CZ70" s="79">
        <f>CT70/4</f>
        <v>0</v>
      </c>
      <c r="DA70" s="84"/>
      <c r="DB70" s="79">
        <f>CT70/4</f>
        <v>0</v>
      </c>
      <c r="DC70" s="79">
        <f>SUM(DE70+DG70+DI70+DK70)</f>
        <v>0</v>
      </c>
      <c r="DD70" s="82">
        <f>DD72/DD71</f>
        <v>0</v>
      </c>
      <c r="DE70" s="84"/>
      <c r="DF70" s="79">
        <f>DD70/4</f>
        <v>0</v>
      </c>
      <c r="DG70" s="84"/>
      <c r="DH70" s="79">
        <f>DD70/4</f>
        <v>0</v>
      </c>
      <c r="DI70" s="84"/>
      <c r="DJ70" s="79">
        <f>DD70/4</f>
        <v>0</v>
      </c>
      <c r="DK70" s="84"/>
      <c r="DL70" s="79">
        <f>DD70/4</f>
        <v>0</v>
      </c>
      <c r="DM70" s="79">
        <f>SUM(DO70+DQ70+DS70+DU70)</f>
        <v>0</v>
      </c>
      <c r="DN70" s="82">
        <f>DN72/DN71</f>
        <v>0</v>
      </c>
      <c r="DO70" s="92"/>
      <c r="DP70" s="62">
        <f>DN70/4</f>
        <v>0</v>
      </c>
      <c r="DQ70" s="92"/>
      <c r="DR70" s="62">
        <f>DN70/4</f>
        <v>0</v>
      </c>
      <c r="DS70" s="92"/>
      <c r="DT70" s="62">
        <f>DN70/4</f>
        <v>0</v>
      </c>
      <c r="DU70" s="92"/>
      <c r="DV70" s="62">
        <f>DN70/4</f>
        <v>0</v>
      </c>
    </row>
    <row r="71" ht="15.75" hidden="1" customHeight="1">
      <c r="A71" s="35"/>
      <c r="B71" s="110"/>
      <c r="C71" s="97" t="s">
        <v>105</v>
      </c>
      <c r="D71" s="91" t="str">
        <f t="shared" ref="D71:F71" si="276">D72/D70</f>
        <v>#DIV/0!</v>
      </c>
      <c r="E71" s="91" t="str">
        <f t="shared" si="276"/>
        <v>#DIV/0!</v>
      </c>
      <c r="F71" s="81" t="str">
        <f t="shared" si="276"/>
        <v>#DIV/0!</v>
      </c>
      <c r="G71" s="88">
        <v>0.4</v>
      </c>
      <c r="H71" s="61" t="s">
        <v>97</v>
      </c>
      <c r="I71" s="81" t="str">
        <f>I72/I70</f>
        <v>#DIV/0!</v>
      </c>
      <c r="J71" s="83">
        <f>G71</f>
        <v>0.4</v>
      </c>
      <c r="K71" s="81" t="str">
        <f>K72/K70</f>
        <v>#DIV/0!</v>
      </c>
      <c r="L71" s="83">
        <f>G71</f>
        <v>0.4</v>
      </c>
      <c r="M71" s="81" t="str">
        <f>M72/M70</f>
        <v>#DIV/0!</v>
      </c>
      <c r="N71" s="83">
        <f>G71</f>
        <v>0.4</v>
      </c>
      <c r="O71" s="81" t="str">
        <f>O72/O70</f>
        <v>#DIV/0!</v>
      </c>
      <c r="P71" s="83">
        <f>G71</f>
        <v>0.4</v>
      </c>
      <c r="Q71" s="81" t="str">
        <f>Q72/Q70</f>
        <v>#DIV/0!</v>
      </c>
      <c r="R71" s="88">
        <v>0.4</v>
      </c>
      <c r="S71" s="81" t="str">
        <f>S72/S70</f>
        <v>#DIV/0!</v>
      </c>
      <c r="T71" s="83">
        <f>R71</f>
        <v>0.4</v>
      </c>
      <c r="U71" s="81" t="str">
        <f>U72/U70</f>
        <v>#DIV/0!</v>
      </c>
      <c r="V71" s="83">
        <f>R71</f>
        <v>0.4</v>
      </c>
      <c r="W71" s="81" t="str">
        <f>W72/W70</f>
        <v>#DIV/0!</v>
      </c>
      <c r="X71" s="83">
        <f>R71</f>
        <v>0.4</v>
      </c>
      <c r="Y71" s="81" t="str">
        <f>Y72/Y70</f>
        <v>#DIV/0!</v>
      </c>
      <c r="Z71" s="83">
        <f>R71</f>
        <v>0.4</v>
      </c>
      <c r="AA71" s="81" t="str">
        <f>AA72/AA70</f>
        <v>#DIV/0!</v>
      </c>
      <c r="AB71" s="88">
        <v>0.4</v>
      </c>
      <c r="AC71" s="81" t="str">
        <f>AC72/AC70</f>
        <v>#DIV/0!</v>
      </c>
      <c r="AD71" s="83">
        <f>AB71</f>
        <v>0.4</v>
      </c>
      <c r="AE71" s="81" t="str">
        <f>AE72/AE70</f>
        <v>#DIV/0!</v>
      </c>
      <c r="AF71" s="83">
        <f>AB71</f>
        <v>0.4</v>
      </c>
      <c r="AG71" s="81" t="str">
        <f>AG72/AG70</f>
        <v>#DIV/0!</v>
      </c>
      <c r="AH71" s="83">
        <f>AB71</f>
        <v>0.4</v>
      </c>
      <c r="AI71" s="81" t="str">
        <f>AI72/AI70</f>
        <v>#DIV/0!</v>
      </c>
      <c r="AJ71" s="83">
        <f>AB71</f>
        <v>0.4</v>
      </c>
      <c r="AK71" s="81" t="str">
        <f>AK72/AK70</f>
        <v>#DIV/0!</v>
      </c>
      <c r="AL71" s="88">
        <v>0.4</v>
      </c>
      <c r="AM71" s="81" t="str">
        <f>AM72/AM70</f>
        <v>#DIV/0!</v>
      </c>
      <c r="AN71" s="83">
        <f>AL71</f>
        <v>0.4</v>
      </c>
      <c r="AO71" s="81" t="str">
        <f>AO72/AO70</f>
        <v>#DIV/0!</v>
      </c>
      <c r="AP71" s="83">
        <f>AL71</f>
        <v>0.4</v>
      </c>
      <c r="AQ71" s="81" t="str">
        <f>AQ72/AQ70</f>
        <v>#DIV/0!</v>
      </c>
      <c r="AR71" s="83">
        <f>AL71</f>
        <v>0.4</v>
      </c>
      <c r="AS71" s="81" t="str">
        <f>AS72/AS70</f>
        <v>#DIV/0!</v>
      </c>
      <c r="AT71" s="83">
        <f>AL71</f>
        <v>0.4</v>
      </c>
      <c r="AU71" s="81" t="str">
        <f>AU72/AU70</f>
        <v>#DIV/0!</v>
      </c>
      <c r="AV71" s="88">
        <v>0.4</v>
      </c>
      <c r="AW71" s="81" t="str">
        <f>AW72/AW70</f>
        <v>#DIV/0!</v>
      </c>
      <c r="AX71" s="83">
        <f>AV71</f>
        <v>0.4</v>
      </c>
      <c r="AY71" s="81" t="str">
        <f>AY72/AY70</f>
        <v>#DIV/0!</v>
      </c>
      <c r="AZ71" s="83">
        <f>AV71</f>
        <v>0.4</v>
      </c>
      <c r="BA71" s="81" t="str">
        <f>BA72/BA70</f>
        <v>#DIV/0!</v>
      </c>
      <c r="BB71" s="83">
        <f>AV71</f>
        <v>0.4</v>
      </c>
      <c r="BC71" s="81" t="str">
        <f>BC72/BC70</f>
        <v>#DIV/0!</v>
      </c>
      <c r="BD71" s="83">
        <f>AV71</f>
        <v>0.4</v>
      </c>
      <c r="BE71" s="81" t="str">
        <f>BE72/BE70</f>
        <v>#DIV/0!</v>
      </c>
      <c r="BF71" s="88">
        <v>0.4</v>
      </c>
      <c r="BG71" s="81" t="str">
        <f>BG72/BG70</f>
        <v>#DIV/0!</v>
      </c>
      <c r="BH71" s="83">
        <f>BF71</f>
        <v>0.4</v>
      </c>
      <c r="BI71" s="81" t="str">
        <f>BI72/BI70</f>
        <v>#DIV/0!</v>
      </c>
      <c r="BJ71" s="83">
        <f>BF71</f>
        <v>0.4</v>
      </c>
      <c r="BK71" s="81" t="str">
        <f>BK72/BK70</f>
        <v>#DIV/0!</v>
      </c>
      <c r="BL71" s="83">
        <f>BF71</f>
        <v>0.4</v>
      </c>
      <c r="BM71" s="81" t="str">
        <f>BM72/BM70</f>
        <v>#DIV/0!</v>
      </c>
      <c r="BN71" s="83">
        <f>BF71</f>
        <v>0.4</v>
      </c>
      <c r="BO71" s="81" t="str">
        <f>BO72/BO70</f>
        <v>#DIV/0!</v>
      </c>
      <c r="BP71" s="88">
        <v>0.4</v>
      </c>
      <c r="BQ71" s="81" t="str">
        <f>BQ72/BQ70</f>
        <v>#DIV/0!</v>
      </c>
      <c r="BR71" s="83">
        <f>BP71</f>
        <v>0.4</v>
      </c>
      <c r="BS71" s="81" t="str">
        <f>BS72/BS70</f>
        <v>#DIV/0!</v>
      </c>
      <c r="BT71" s="83">
        <f>BP71</f>
        <v>0.4</v>
      </c>
      <c r="BU71" s="81" t="str">
        <f>BU72/BU70</f>
        <v>#DIV/0!</v>
      </c>
      <c r="BV71" s="83">
        <f>BP71</f>
        <v>0.4</v>
      </c>
      <c r="BW71" s="81" t="str">
        <f>BW72/BW70</f>
        <v>#DIV/0!</v>
      </c>
      <c r="BX71" s="83">
        <f>BP71</f>
        <v>0.4</v>
      </c>
      <c r="BY71" s="81" t="str">
        <f>BY72/BY70</f>
        <v>#DIV/0!</v>
      </c>
      <c r="BZ71" s="88">
        <v>0.4</v>
      </c>
      <c r="CA71" s="81" t="str">
        <f>CA72/CA70</f>
        <v>#DIV/0!</v>
      </c>
      <c r="CB71" s="83">
        <f>BZ71</f>
        <v>0.4</v>
      </c>
      <c r="CC71" s="81" t="str">
        <f>CC72/CC70</f>
        <v>#DIV/0!</v>
      </c>
      <c r="CD71" s="83">
        <f>BZ71</f>
        <v>0.4</v>
      </c>
      <c r="CE71" s="81" t="str">
        <f>CE72/CE70</f>
        <v>#DIV/0!</v>
      </c>
      <c r="CF71" s="83">
        <f>BZ71</f>
        <v>0.4</v>
      </c>
      <c r="CG71" s="81" t="str">
        <f>CG72/CG70</f>
        <v>#DIV/0!</v>
      </c>
      <c r="CH71" s="83">
        <f>BZ71</f>
        <v>0.4</v>
      </c>
      <c r="CI71" s="81" t="str">
        <f>CI72/CI70</f>
        <v>#DIV/0!</v>
      </c>
      <c r="CJ71" s="88">
        <v>0.4</v>
      </c>
      <c r="CK71" s="81" t="str">
        <f>CK72/CK70</f>
        <v>#DIV/0!</v>
      </c>
      <c r="CL71" s="83">
        <f>CJ71</f>
        <v>0.4</v>
      </c>
      <c r="CM71" s="81" t="str">
        <f>CM72/CM70</f>
        <v>#DIV/0!</v>
      </c>
      <c r="CN71" s="83">
        <f>CJ71</f>
        <v>0.4</v>
      </c>
      <c r="CO71" s="81" t="str">
        <f>CO72/CO70</f>
        <v>#DIV/0!</v>
      </c>
      <c r="CP71" s="83">
        <f>CJ71</f>
        <v>0.4</v>
      </c>
      <c r="CQ71" s="81" t="str">
        <f>CQ72/CQ70</f>
        <v>#DIV/0!</v>
      </c>
      <c r="CR71" s="83">
        <f>CJ71</f>
        <v>0.4</v>
      </c>
      <c r="CS71" s="81" t="str">
        <f>CS72/CS70</f>
        <v>#DIV/0!</v>
      </c>
      <c r="CT71" s="88">
        <v>0.4</v>
      </c>
      <c r="CU71" s="81" t="str">
        <f>CU72/CU70</f>
        <v>#DIV/0!</v>
      </c>
      <c r="CV71" s="83">
        <f>CT71</f>
        <v>0.4</v>
      </c>
      <c r="CW71" s="81" t="str">
        <f>CW72/CW70</f>
        <v>#DIV/0!</v>
      </c>
      <c r="CX71" s="83">
        <f>CT71</f>
        <v>0.4</v>
      </c>
      <c r="CY71" s="81" t="str">
        <f>CY72/CY70</f>
        <v>#DIV/0!</v>
      </c>
      <c r="CZ71" s="83">
        <f>CT71</f>
        <v>0.4</v>
      </c>
      <c r="DA71" s="81" t="str">
        <f>DA72/DA70</f>
        <v>#DIV/0!</v>
      </c>
      <c r="DB71" s="83">
        <f>CT71</f>
        <v>0.4</v>
      </c>
      <c r="DC71" s="81" t="str">
        <f>DC72/DC70</f>
        <v>#DIV/0!</v>
      </c>
      <c r="DD71" s="88">
        <v>0.4</v>
      </c>
      <c r="DE71" s="81" t="str">
        <f>DE72/DE70</f>
        <v>#DIV/0!</v>
      </c>
      <c r="DF71" s="83">
        <f>DD71</f>
        <v>0.4</v>
      </c>
      <c r="DG71" s="81" t="str">
        <f>DG72/DG70</f>
        <v>#DIV/0!</v>
      </c>
      <c r="DH71" s="83">
        <f>DD71</f>
        <v>0.4</v>
      </c>
      <c r="DI71" s="81" t="str">
        <f>DI72/DI70</f>
        <v>#DIV/0!</v>
      </c>
      <c r="DJ71" s="83">
        <f>DD71</f>
        <v>0.4</v>
      </c>
      <c r="DK71" s="81" t="str">
        <f>DK72/DK70</f>
        <v>#DIV/0!</v>
      </c>
      <c r="DL71" s="83">
        <f>DD71</f>
        <v>0.4</v>
      </c>
      <c r="DM71" s="81" t="str">
        <f>DM72/DM70</f>
        <v>#DIV/0!</v>
      </c>
      <c r="DN71" s="88">
        <v>0.4</v>
      </c>
      <c r="DO71" s="66" t="str">
        <f>DO72/DO70</f>
        <v>#DIV/0!</v>
      </c>
      <c r="DP71" s="93">
        <f>DN71</f>
        <v>0.4</v>
      </c>
      <c r="DQ71" s="66" t="str">
        <f>DQ72/DQ70</f>
        <v>#DIV/0!</v>
      </c>
      <c r="DR71" s="93">
        <f>DN71</f>
        <v>0.4</v>
      </c>
      <c r="DS71" s="66" t="str">
        <f>DS72/DS70</f>
        <v>#DIV/0!</v>
      </c>
      <c r="DT71" s="93">
        <f>DN71</f>
        <v>0.4</v>
      </c>
      <c r="DU71" s="66" t="str">
        <f>DU72/DU70</f>
        <v>#DIV/0!</v>
      </c>
      <c r="DV71" s="93">
        <f>DN71</f>
        <v>0.4</v>
      </c>
    </row>
    <row r="72" ht="15.75" hidden="1" customHeight="1">
      <c r="A72" s="35"/>
      <c r="B72" s="110"/>
      <c r="C72" s="97" t="s">
        <v>106</v>
      </c>
      <c r="D72" s="79">
        <f t="shared" ref="D72:E72" si="277">SUM(F72+Q72+AA72+AK72+AU72+BE72+BO72+BY72+CI72+CS72+DC72+DM72)</f>
        <v>0</v>
      </c>
      <c r="E72" s="91">
        <f t="shared" si="277"/>
        <v>0</v>
      </c>
      <c r="F72" s="91">
        <f t="shared" ref="F72:F73" si="279">SUM(I72+K72+M72+O72)</f>
        <v>0</v>
      </c>
      <c r="G72" s="82">
        <f>'Dados da Operação'!H30</f>
        <v>0</v>
      </c>
      <c r="H72" s="61" t="str">
        <f t="shared" ref="H72:H74" si="280">G72/F72</f>
        <v>#DIV/0!</v>
      </c>
      <c r="I72" s="82"/>
      <c r="J72" s="79">
        <f t="shared" ref="J72:J73" si="281">G72/4</f>
        <v>0</v>
      </c>
      <c r="K72" s="82"/>
      <c r="L72" s="79">
        <f t="shared" ref="L72:L73" si="282">G72/4</f>
        <v>0</v>
      </c>
      <c r="M72" s="82"/>
      <c r="N72" s="79">
        <f t="shared" ref="N72:N73" si="283">G72/4</f>
        <v>0</v>
      </c>
      <c r="O72" s="82"/>
      <c r="P72" s="79">
        <f t="shared" ref="P72:P73" si="284">G72/4</f>
        <v>0</v>
      </c>
      <c r="Q72" s="79">
        <f t="shared" ref="Q72:Q73" si="285">SUM(S72+U72+W72+Y72)</f>
        <v>0</v>
      </c>
      <c r="R72" s="82">
        <f>'Dados da Operação'!H39</f>
        <v>0</v>
      </c>
      <c r="S72" s="84"/>
      <c r="T72" s="79">
        <f t="shared" ref="T72:T73" si="286">R72/4</f>
        <v>0</v>
      </c>
      <c r="U72" s="84"/>
      <c r="V72" s="79">
        <f t="shared" ref="V72:V73" si="287">R72/4</f>
        <v>0</v>
      </c>
      <c r="W72" s="84"/>
      <c r="X72" s="79">
        <f t="shared" ref="X72:X73" si="288">R72/4</f>
        <v>0</v>
      </c>
      <c r="Y72" s="84"/>
      <c r="Z72" s="79">
        <f t="shared" ref="Z72:Z73" si="289">R72/4</f>
        <v>0</v>
      </c>
      <c r="AA72" s="79">
        <f t="shared" ref="AA72:AA73" si="290">SUM(AC72+AE72+AG72+AI72)</f>
        <v>0</v>
      </c>
      <c r="AB72" s="82">
        <f>'Dados da Operação'!H48</f>
        <v>0</v>
      </c>
      <c r="AC72" s="84"/>
      <c r="AD72" s="79">
        <f t="shared" ref="AD72:AD73" si="291">AB72/4</f>
        <v>0</v>
      </c>
      <c r="AE72" s="84"/>
      <c r="AF72" s="79">
        <f t="shared" ref="AF72:AF73" si="292">AB72/4</f>
        <v>0</v>
      </c>
      <c r="AG72" s="84"/>
      <c r="AH72" s="79">
        <f t="shared" ref="AH72:AH73" si="293">AB72/4</f>
        <v>0</v>
      </c>
      <c r="AI72" s="84"/>
      <c r="AJ72" s="79">
        <f t="shared" ref="AJ72:AJ73" si="294">AB72/4</f>
        <v>0</v>
      </c>
      <c r="AK72" s="79">
        <f t="shared" ref="AK72:AK73" si="295">SUM(AM72+AO72+AQ72+AS72)</f>
        <v>0</v>
      </c>
      <c r="AL72" s="82">
        <f>'Dados da Operação'!H57</f>
        <v>0</v>
      </c>
      <c r="AM72" s="84"/>
      <c r="AN72" s="79">
        <f t="shared" ref="AN72:AN73" si="296">AL72/4</f>
        <v>0</v>
      </c>
      <c r="AO72" s="84"/>
      <c r="AP72" s="79">
        <f t="shared" ref="AP72:AP73" si="297">AL72/4</f>
        <v>0</v>
      </c>
      <c r="AQ72" s="84"/>
      <c r="AR72" s="79">
        <f t="shared" ref="AR72:AR73" si="298">AL72/4</f>
        <v>0</v>
      </c>
      <c r="AS72" s="84"/>
      <c r="AT72" s="79">
        <f t="shared" ref="AT72:AT73" si="299">AL72/4</f>
        <v>0</v>
      </c>
      <c r="AU72" s="79">
        <f t="shared" ref="AU72:AU73" si="300">SUM(AW72+AY72+BA72+BC72)</f>
        <v>0</v>
      </c>
      <c r="AV72" s="82">
        <f>'Dados da Operação'!H66</f>
        <v>0</v>
      </c>
      <c r="AW72" s="84"/>
      <c r="AX72" s="79">
        <f t="shared" ref="AX72:AX73" si="301">AV72/4</f>
        <v>0</v>
      </c>
      <c r="AY72" s="84"/>
      <c r="AZ72" s="79">
        <f t="shared" ref="AZ72:AZ73" si="302">AV72/4</f>
        <v>0</v>
      </c>
      <c r="BA72" s="84"/>
      <c r="BB72" s="79">
        <f t="shared" ref="BB72:BB73" si="303">AV72/4</f>
        <v>0</v>
      </c>
      <c r="BC72" s="84"/>
      <c r="BD72" s="79">
        <f t="shared" ref="BD72:BD73" si="304">AV72/4</f>
        <v>0</v>
      </c>
      <c r="BE72" s="79">
        <f t="shared" ref="BE72:BE73" si="305">SUM(BG72+BI72+BK72+BM72)</f>
        <v>0</v>
      </c>
      <c r="BF72" s="82">
        <f>'Dados da Operação'!H75</f>
        <v>0</v>
      </c>
      <c r="BG72" s="84"/>
      <c r="BH72" s="79">
        <f t="shared" ref="BH72:BH73" si="306">BF72/4</f>
        <v>0</v>
      </c>
      <c r="BI72" s="84"/>
      <c r="BJ72" s="79">
        <f t="shared" ref="BJ72:BJ73" si="307">BF72/4</f>
        <v>0</v>
      </c>
      <c r="BK72" s="84"/>
      <c r="BL72" s="79">
        <f t="shared" ref="BL72:BL73" si="308">BF72/4</f>
        <v>0</v>
      </c>
      <c r="BM72" s="84"/>
      <c r="BN72" s="79">
        <f t="shared" ref="BN72:BN73" si="309">BF72/4</f>
        <v>0</v>
      </c>
      <c r="BO72" s="79">
        <f t="shared" ref="BO72:BO73" si="310">SUM(BQ72+BS72+BU72+BW72)</f>
        <v>0</v>
      </c>
      <c r="BP72" s="82">
        <f>'Dados da Operação'!H84</f>
        <v>0</v>
      </c>
      <c r="BQ72" s="84"/>
      <c r="BR72" s="79">
        <f t="shared" ref="BR72:BR73" si="311">BP72/4</f>
        <v>0</v>
      </c>
      <c r="BS72" s="84"/>
      <c r="BT72" s="79">
        <f t="shared" ref="BT72:BT73" si="312">BP72/4</f>
        <v>0</v>
      </c>
      <c r="BU72" s="84"/>
      <c r="BV72" s="79">
        <f t="shared" ref="BV72:BV73" si="313">BP72/4</f>
        <v>0</v>
      </c>
      <c r="BW72" s="84"/>
      <c r="BX72" s="79">
        <f t="shared" ref="BX72:BX73" si="314">BP72/4</f>
        <v>0</v>
      </c>
      <c r="BY72" s="79">
        <f t="shared" ref="BY72:BY73" si="315">SUM(CA72+CC72+CE72+CG72)</f>
        <v>0</v>
      </c>
      <c r="BZ72" s="82">
        <f>'Dados da Operação'!H93</f>
        <v>0</v>
      </c>
      <c r="CA72" s="84"/>
      <c r="CB72" s="79">
        <f t="shared" ref="CB72:CB73" si="316">BZ72/4</f>
        <v>0</v>
      </c>
      <c r="CC72" s="84"/>
      <c r="CD72" s="79">
        <f t="shared" ref="CD72:CD73" si="317">BZ72/4</f>
        <v>0</v>
      </c>
      <c r="CE72" s="84"/>
      <c r="CF72" s="79">
        <f t="shared" ref="CF72:CF73" si="318">BZ72/4</f>
        <v>0</v>
      </c>
      <c r="CG72" s="84"/>
      <c r="CH72" s="79">
        <f t="shared" ref="CH72:CH73" si="319">BZ72/4</f>
        <v>0</v>
      </c>
      <c r="CI72" s="79">
        <f t="shared" ref="CI72:CI73" si="320">SUM(CK72+CM72+CO72+CQ72)</f>
        <v>0</v>
      </c>
      <c r="CJ72" s="82">
        <f>'Dados da Operação'!H102</f>
        <v>0</v>
      </c>
      <c r="CK72" s="84"/>
      <c r="CL72" s="79">
        <f t="shared" ref="CL72:CL73" si="321">CJ72/4</f>
        <v>0</v>
      </c>
      <c r="CM72" s="84"/>
      <c r="CN72" s="79">
        <f t="shared" ref="CN72:CN73" si="322">CJ72/4</f>
        <v>0</v>
      </c>
      <c r="CO72" s="84"/>
      <c r="CP72" s="79">
        <f t="shared" ref="CP72:CP73" si="323">CJ72/4</f>
        <v>0</v>
      </c>
      <c r="CQ72" s="84"/>
      <c r="CR72" s="79">
        <f t="shared" ref="CR72:CR73" si="324">CJ72/4</f>
        <v>0</v>
      </c>
      <c r="CS72" s="79">
        <f t="shared" ref="CS72:CS73" si="325">SUM(CU72+CW72+CY72+DA72)</f>
        <v>0</v>
      </c>
      <c r="CT72" s="82">
        <f>'Dados da Operação'!H111</f>
        <v>0</v>
      </c>
      <c r="CU72" s="84"/>
      <c r="CV72" s="79">
        <f t="shared" ref="CV72:CV73" si="326">CT72/4</f>
        <v>0</v>
      </c>
      <c r="CW72" s="84"/>
      <c r="CX72" s="79">
        <f t="shared" ref="CX72:CX73" si="327">CT72/4</f>
        <v>0</v>
      </c>
      <c r="CY72" s="84"/>
      <c r="CZ72" s="79">
        <f t="shared" ref="CZ72:CZ73" si="328">CT72/4</f>
        <v>0</v>
      </c>
      <c r="DA72" s="84"/>
      <c r="DB72" s="79">
        <f t="shared" ref="DB72:DB73" si="329">CT72/4</f>
        <v>0</v>
      </c>
      <c r="DC72" s="79">
        <f t="shared" ref="DC72:DC73" si="330">SUM(DE72+DG72+DI72+DK72)</f>
        <v>0</v>
      </c>
      <c r="DD72" s="82">
        <f>'Dados da Operação'!H120</f>
        <v>0</v>
      </c>
      <c r="DE72" s="84"/>
      <c r="DF72" s="79">
        <f t="shared" ref="DF72:DF73" si="331">DD72/4</f>
        <v>0</v>
      </c>
      <c r="DG72" s="84"/>
      <c r="DH72" s="79">
        <f t="shared" ref="DH72:DH73" si="332">DD72/4</f>
        <v>0</v>
      </c>
      <c r="DI72" s="84"/>
      <c r="DJ72" s="79">
        <f t="shared" ref="DJ72:DJ73" si="333">DD72/4</f>
        <v>0</v>
      </c>
      <c r="DK72" s="84"/>
      <c r="DL72" s="79">
        <f t="shared" ref="DL72:DL73" si="334">DD72/4</f>
        <v>0</v>
      </c>
      <c r="DM72" s="79">
        <f t="shared" ref="DM72:DM73" si="335">SUM(DO72+DQ72+DS72+DU72)</f>
        <v>0</v>
      </c>
      <c r="DN72" s="82">
        <f>'Dados da Operação'!H129</f>
        <v>0</v>
      </c>
      <c r="DO72" s="92"/>
      <c r="DP72" s="62">
        <f t="shared" ref="DP72:DP73" si="336">DN72/4</f>
        <v>0</v>
      </c>
      <c r="DQ72" s="92"/>
      <c r="DR72" s="62">
        <f t="shared" ref="DR72:DR73" si="337">DN72/4</f>
        <v>0</v>
      </c>
      <c r="DS72" s="92"/>
      <c r="DT72" s="62">
        <f t="shared" ref="DT72:DT73" si="338">DN72/4</f>
        <v>0</v>
      </c>
      <c r="DU72" s="92"/>
      <c r="DV72" s="62">
        <f t="shared" ref="DV72:DV73" si="339">DN72/4</f>
        <v>0</v>
      </c>
    </row>
    <row r="73" ht="15.75" hidden="1" customHeight="1">
      <c r="A73" s="71"/>
      <c r="B73" s="110"/>
      <c r="C73" s="101" t="s">
        <v>107</v>
      </c>
      <c r="D73" s="102">
        <f t="shared" ref="D73:E73" si="278">SUM(F73+Q73+AA73+AK73+AU73+BE73+BO73+BY73+CI73+CS73+DC73+DM73)</f>
        <v>0</v>
      </c>
      <c r="E73" s="102">
        <f t="shared" si="278"/>
        <v>0</v>
      </c>
      <c r="F73" s="102">
        <f t="shared" si="279"/>
        <v>0</v>
      </c>
      <c r="G73" s="82">
        <f>'Dados da Operação'!G30</f>
        <v>0</v>
      </c>
      <c r="H73" s="61" t="str">
        <f t="shared" si="280"/>
        <v>#DIV/0!</v>
      </c>
      <c r="I73" s="76"/>
      <c r="J73" s="102">
        <f t="shared" si="281"/>
        <v>0</v>
      </c>
      <c r="K73" s="76"/>
      <c r="L73" s="102">
        <f t="shared" si="282"/>
        <v>0</v>
      </c>
      <c r="M73" s="76"/>
      <c r="N73" s="102">
        <f t="shared" si="283"/>
        <v>0</v>
      </c>
      <c r="O73" s="76"/>
      <c r="P73" s="102">
        <f t="shared" si="284"/>
        <v>0</v>
      </c>
      <c r="Q73" s="102">
        <f t="shared" si="285"/>
        <v>0</v>
      </c>
      <c r="R73" s="76">
        <f>'Dados da Operação'!G39</f>
        <v>0</v>
      </c>
      <c r="S73" s="76"/>
      <c r="T73" s="102">
        <f t="shared" si="286"/>
        <v>0</v>
      </c>
      <c r="U73" s="76"/>
      <c r="V73" s="102">
        <f t="shared" si="287"/>
        <v>0</v>
      </c>
      <c r="W73" s="76"/>
      <c r="X73" s="102">
        <f t="shared" si="288"/>
        <v>0</v>
      </c>
      <c r="Y73" s="76"/>
      <c r="Z73" s="102">
        <f t="shared" si="289"/>
        <v>0</v>
      </c>
      <c r="AA73" s="102">
        <f t="shared" si="290"/>
        <v>0</v>
      </c>
      <c r="AB73" s="76">
        <f>'Dados da Operação'!G48</f>
        <v>0</v>
      </c>
      <c r="AC73" s="76"/>
      <c r="AD73" s="102">
        <f t="shared" si="291"/>
        <v>0</v>
      </c>
      <c r="AE73" s="76"/>
      <c r="AF73" s="102">
        <f t="shared" si="292"/>
        <v>0</v>
      </c>
      <c r="AG73" s="76"/>
      <c r="AH73" s="102">
        <f t="shared" si="293"/>
        <v>0</v>
      </c>
      <c r="AI73" s="76"/>
      <c r="AJ73" s="102">
        <f t="shared" si="294"/>
        <v>0</v>
      </c>
      <c r="AK73" s="102">
        <f t="shared" si="295"/>
        <v>0</v>
      </c>
      <c r="AL73" s="76">
        <f>'Dados da Operação'!G57</f>
        <v>0</v>
      </c>
      <c r="AM73" s="76"/>
      <c r="AN73" s="102">
        <f t="shared" si="296"/>
        <v>0</v>
      </c>
      <c r="AO73" s="76"/>
      <c r="AP73" s="102">
        <f t="shared" si="297"/>
        <v>0</v>
      </c>
      <c r="AQ73" s="76"/>
      <c r="AR73" s="102">
        <f t="shared" si="298"/>
        <v>0</v>
      </c>
      <c r="AS73" s="76"/>
      <c r="AT73" s="102">
        <f t="shared" si="299"/>
        <v>0</v>
      </c>
      <c r="AU73" s="102">
        <f t="shared" si="300"/>
        <v>0</v>
      </c>
      <c r="AV73" s="76">
        <f>'Dados da Operação'!G66</f>
        <v>0</v>
      </c>
      <c r="AW73" s="76"/>
      <c r="AX73" s="102">
        <f t="shared" si="301"/>
        <v>0</v>
      </c>
      <c r="AY73" s="76"/>
      <c r="AZ73" s="102">
        <f t="shared" si="302"/>
        <v>0</v>
      </c>
      <c r="BA73" s="76"/>
      <c r="BB73" s="102">
        <f t="shared" si="303"/>
        <v>0</v>
      </c>
      <c r="BC73" s="76"/>
      <c r="BD73" s="102">
        <f t="shared" si="304"/>
        <v>0</v>
      </c>
      <c r="BE73" s="102">
        <f t="shared" si="305"/>
        <v>0</v>
      </c>
      <c r="BF73" s="76">
        <f>'Dados da Operação'!G75</f>
        <v>0</v>
      </c>
      <c r="BG73" s="76"/>
      <c r="BH73" s="102">
        <f t="shared" si="306"/>
        <v>0</v>
      </c>
      <c r="BI73" s="76"/>
      <c r="BJ73" s="102">
        <f t="shared" si="307"/>
        <v>0</v>
      </c>
      <c r="BK73" s="76"/>
      <c r="BL73" s="102">
        <f t="shared" si="308"/>
        <v>0</v>
      </c>
      <c r="BM73" s="76"/>
      <c r="BN73" s="102">
        <f t="shared" si="309"/>
        <v>0</v>
      </c>
      <c r="BO73" s="102">
        <f t="shared" si="310"/>
        <v>0</v>
      </c>
      <c r="BP73" s="76">
        <f>'Dados da Operação'!G84</f>
        <v>0</v>
      </c>
      <c r="BQ73" s="76"/>
      <c r="BR73" s="102">
        <f t="shared" si="311"/>
        <v>0</v>
      </c>
      <c r="BS73" s="76"/>
      <c r="BT73" s="102">
        <f t="shared" si="312"/>
        <v>0</v>
      </c>
      <c r="BU73" s="76"/>
      <c r="BV73" s="102">
        <f t="shared" si="313"/>
        <v>0</v>
      </c>
      <c r="BW73" s="76"/>
      <c r="BX73" s="102">
        <f t="shared" si="314"/>
        <v>0</v>
      </c>
      <c r="BY73" s="102">
        <f t="shared" si="315"/>
        <v>0</v>
      </c>
      <c r="BZ73" s="76">
        <f>'Dados da Operação'!G93</f>
        <v>0</v>
      </c>
      <c r="CA73" s="76"/>
      <c r="CB73" s="102">
        <f t="shared" si="316"/>
        <v>0</v>
      </c>
      <c r="CC73" s="76"/>
      <c r="CD73" s="102">
        <f t="shared" si="317"/>
        <v>0</v>
      </c>
      <c r="CE73" s="76"/>
      <c r="CF73" s="102">
        <f t="shared" si="318"/>
        <v>0</v>
      </c>
      <c r="CG73" s="76"/>
      <c r="CH73" s="102">
        <f t="shared" si="319"/>
        <v>0</v>
      </c>
      <c r="CI73" s="102">
        <f t="shared" si="320"/>
        <v>0</v>
      </c>
      <c r="CJ73" s="76">
        <f>'Dados da Operação'!G102</f>
        <v>0</v>
      </c>
      <c r="CK73" s="76"/>
      <c r="CL73" s="102">
        <f t="shared" si="321"/>
        <v>0</v>
      </c>
      <c r="CM73" s="76"/>
      <c r="CN73" s="102">
        <f t="shared" si="322"/>
        <v>0</v>
      </c>
      <c r="CO73" s="76"/>
      <c r="CP73" s="102">
        <f t="shared" si="323"/>
        <v>0</v>
      </c>
      <c r="CQ73" s="76"/>
      <c r="CR73" s="102">
        <f t="shared" si="324"/>
        <v>0</v>
      </c>
      <c r="CS73" s="102">
        <f t="shared" si="325"/>
        <v>0</v>
      </c>
      <c r="CT73" s="76">
        <f>'Dados da Operação'!G111</f>
        <v>0</v>
      </c>
      <c r="CU73" s="76"/>
      <c r="CV73" s="102">
        <f t="shared" si="326"/>
        <v>0</v>
      </c>
      <c r="CW73" s="76"/>
      <c r="CX73" s="102">
        <f t="shared" si="327"/>
        <v>0</v>
      </c>
      <c r="CY73" s="76"/>
      <c r="CZ73" s="102">
        <f t="shared" si="328"/>
        <v>0</v>
      </c>
      <c r="DA73" s="76"/>
      <c r="DB73" s="102">
        <f t="shared" si="329"/>
        <v>0</v>
      </c>
      <c r="DC73" s="102">
        <f t="shared" si="330"/>
        <v>0</v>
      </c>
      <c r="DD73" s="76">
        <f>'Dados da Operação'!G120</f>
        <v>0</v>
      </c>
      <c r="DE73" s="76"/>
      <c r="DF73" s="102">
        <f t="shared" si="331"/>
        <v>0</v>
      </c>
      <c r="DG73" s="76"/>
      <c r="DH73" s="102">
        <f t="shared" si="332"/>
        <v>0</v>
      </c>
      <c r="DI73" s="76"/>
      <c r="DJ73" s="102">
        <f t="shared" si="333"/>
        <v>0</v>
      </c>
      <c r="DK73" s="76"/>
      <c r="DL73" s="102">
        <f t="shared" si="334"/>
        <v>0</v>
      </c>
      <c r="DM73" s="102">
        <f t="shared" si="335"/>
        <v>0</v>
      </c>
      <c r="DN73" s="76">
        <f>'Dados da Operação'!G129</f>
        <v>0</v>
      </c>
      <c r="DO73" s="103"/>
      <c r="DP73" s="74">
        <f t="shared" si="336"/>
        <v>0</v>
      </c>
      <c r="DQ73" s="103"/>
      <c r="DR73" s="74">
        <f t="shared" si="337"/>
        <v>0</v>
      </c>
      <c r="DS73" s="103"/>
      <c r="DT73" s="74">
        <f t="shared" si="338"/>
        <v>0</v>
      </c>
      <c r="DU73" s="103"/>
      <c r="DV73" s="74">
        <f t="shared" si="339"/>
        <v>0</v>
      </c>
    </row>
    <row r="74" ht="15.75" hidden="1" customHeight="1">
      <c r="A74" s="71"/>
      <c r="B74" s="113"/>
      <c r="C74" s="101" t="s">
        <v>12</v>
      </c>
      <c r="D74" s="102" t="str">
        <f t="shared" ref="D74:F74" si="340">D73/D72</f>
        <v>#DIV/0!</v>
      </c>
      <c r="E74" s="102" t="str">
        <f t="shared" si="340"/>
        <v>#DIV/0!</v>
      </c>
      <c r="F74" s="102" t="str">
        <f t="shared" si="340"/>
        <v>#DIV/0!</v>
      </c>
      <c r="G74" s="82">
        <f>'Dados da Operação'!$C$5</f>
        <v>2500</v>
      </c>
      <c r="H74" s="61" t="str">
        <f t="shared" si="280"/>
        <v>#DIV/0!</v>
      </c>
      <c r="I74" s="102" t="str">
        <f>I73/I72</f>
        <v>#DIV/0!</v>
      </c>
      <c r="J74" s="76">
        <f>G74</f>
        <v>2500</v>
      </c>
      <c r="K74" s="102" t="str">
        <f>K73/K72</f>
        <v>#DIV/0!</v>
      </c>
      <c r="L74" s="76">
        <f>G74</f>
        <v>2500</v>
      </c>
      <c r="M74" s="102" t="str">
        <f>M73/M72</f>
        <v>#DIV/0!</v>
      </c>
      <c r="N74" s="76">
        <f>G74</f>
        <v>2500</v>
      </c>
      <c r="O74" s="102" t="str">
        <f>O73/O72</f>
        <v>#DIV/0!</v>
      </c>
      <c r="P74" s="76">
        <f>G74</f>
        <v>2500</v>
      </c>
      <c r="Q74" s="102" t="str">
        <f>Q73/Q72</f>
        <v>#DIV/0!</v>
      </c>
      <c r="R74" s="76">
        <f>'Dados da Operação'!$C$5</f>
        <v>2500</v>
      </c>
      <c r="S74" s="102" t="str">
        <f>S73/S72</f>
        <v>#DIV/0!</v>
      </c>
      <c r="T74" s="76">
        <f>R74</f>
        <v>2500</v>
      </c>
      <c r="U74" s="102" t="str">
        <f>U73/U72</f>
        <v>#DIV/0!</v>
      </c>
      <c r="V74" s="76">
        <f>R74</f>
        <v>2500</v>
      </c>
      <c r="W74" s="102" t="str">
        <f>W73/W72</f>
        <v>#DIV/0!</v>
      </c>
      <c r="X74" s="76">
        <f>R74</f>
        <v>2500</v>
      </c>
      <c r="Y74" s="102" t="str">
        <f>Y73/Y72</f>
        <v>#DIV/0!</v>
      </c>
      <c r="Z74" s="76">
        <f>R74</f>
        <v>2500</v>
      </c>
      <c r="AA74" s="102" t="str">
        <f>AA73/AA72</f>
        <v>#DIV/0!</v>
      </c>
      <c r="AB74" s="76">
        <f>'Dados da Operação'!$C$5</f>
        <v>2500</v>
      </c>
      <c r="AC74" s="102" t="str">
        <f>AC73/AC72</f>
        <v>#DIV/0!</v>
      </c>
      <c r="AD74" s="76">
        <f>AB74</f>
        <v>2500</v>
      </c>
      <c r="AE74" s="102" t="str">
        <f>AE73/AE72</f>
        <v>#DIV/0!</v>
      </c>
      <c r="AF74" s="76">
        <f>AB74</f>
        <v>2500</v>
      </c>
      <c r="AG74" s="102" t="str">
        <f>AG73/AG72</f>
        <v>#DIV/0!</v>
      </c>
      <c r="AH74" s="76">
        <f>AB74</f>
        <v>2500</v>
      </c>
      <c r="AI74" s="102" t="str">
        <f>AI73/AI72</f>
        <v>#DIV/0!</v>
      </c>
      <c r="AJ74" s="76">
        <f>AB74</f>
        <v>2500</v>
      </c>
      <c r="AK74" s="102" t="str">
        <f>AK73/AK72</f>
        <v>#DIV/0!</v>
      </c>
      <c r="AL74" s="76">
        <f>'Dados da Operação'!$C$5</f>
        <v>2500</v>
      </c>
      <c r="AM74" s="102" t="str">
        <f>AM73/AM72</f>
        <v>#DIV/0!</v>
      </c>
      <c r="AN74" s="76">
        <f>AL74</f>
        <v>2500</v>
      </c>
      <c r="AO74" s="102" t="str">
        <f>AO73/AO72</f>
        <v>#DIV/0!</v>
      </c>
      <c r="AP74" s="76">
        <f>AL74</f>
        <v>2500</v>
      </c>
      <c r="AQ74" s="102" t="str">
        <f>AQ73/AQ72</f>
        <v>#DIV/0!</v>
      </c>
      <c r="AR74" s="76">
        <f>AL74</f>
        <v>2500</v>
      </c>
      <c r="AS74" s="102" t="str">
        <f>AS73/AS72</f>
        <v>#DIV/0!</v>
      </c>
      <c r="AT74" s="76">
        <f>AL74</f>
        <v>2500</v>
      </c>
      <c r="AU74" s="102" t="str">
        <f>AU73/AU72</f>
        <v>#DIV/0!</v>
      </c>
      <c r="AV74" s="76">
        <f>'Dados da Operação'!$C$5</f>
        <v>2500</v>
      </c>
      <c r="AW74" s="102" t="str">
        <f>AW73/AW72</f>
        <v>#DIV/0!</v>
      </c>
      <c r="AX74" s="76">
        <f>AV74</f>
        <v>2500</v>
      </c>
      <c r="AY74" s="102" t="str">
        <f>AY73/AY72</f>
        <v>#DIV/0!</v>
      </c>
      <c r="AZ74" s="76">
        <f>AV74</f>
        <v>2500</v>
      </c>
      <c r="BA74" s="102" t="str">
        <f>BA73/BA72</f>
        <v>#DIV/0!</v>
      </c>
      <c r="BB74" s="76">
        <f>AV74</f>
        <v>2500</v>
      </c>
      <c r="BC74" s="102" t="str">
        <f>BC73/BC72</f>
        <v>#DIV/0!</v>
      </c>
      <c r="BD74" s="76">
        <f>AV74</f>
        <v>2500</v>
      </c>
      <c r="BE74" s="102" t="str">
        <f>BE73/BE72</f>
        <v>#DIV/0!</v>
      </c>
      <c r="BF74" s="76">
        <f>'Dados da Operação'!$C$5</f>
        <v>2500</v>
      </c>
      <c r="BG74" s="102" t="str">
        <f>BG73/BG72</f>
        <v>#DIV/0!</v>
      </c>
      <c r="BH74" s="76">
        <f>BF74</f>
        <v>2500</v>
      </c>
      <c r="BI74" s="102" t="str">
        <f>BI73/BI72</f>
        <v>#DIV/0!</v>
      </c>
      <c r="BJ74" s="76">
        <f>BF74</f>
        <v>2500</v>
      </c>
      <c r="BK74" s="102" t="str">
        <f>BK73/BK72</f>
        <v>#DIV/0!</v>
      </c>
      <c r="BL74" s="76">
        <f>BF74</f>
        <v>2500</v>
      </c>
      <c r="BM74" s="102" t="str">
        <f>BM73/BM72</f>
        <v>#DIV/0!</v>
      </c>
      <c r="BN74" s="76">
        <f>BF74</f>
        <v>2500</v>
      </c>
      <c r="BO74" s="102" t="str">
        <f>BO73/BO72</f>
        <v>#DIV/0!</v>
      </c>
      <c r="BP74" s="76">
        <f>'Dados da Operação'!$C$5</f>
        <v>2500</v>
      </c>
      <c r="BQ74" s="102" t="str">
        <f>BQ73/BQ72</f>
        <v>#DIV/0!</v>
      </c>
      <c r="BR74" s="76">
        <f>BP74</f>
        <v>2500</v>
      </c>
      <c r="BS74" s="102" t="str">
        <f>BS73/BS72</f>
        <v>#DIV/0!</v>
      </c>
      <c r="BT74" s="76">
        <f>BP74</f>
        <v>2500</v>
      </c>
      <c r="BU74" s="102" t="str">
        <f>BU73/BU72</f>
        <v>#DIV/0!</v>
      </c>
      <c r="BV74" s="76">
        <f>BP74</f>
        <v>2500</v>
      </c>
      <c r="BW74" s="102" t="str">
        <f>BW73/BW72</f>
        <v>#DIV/0!</v>
      </c>
      <c r="BX74" s="76">
        <f>BP74</f>
        <v>2500</v>
      </c>
      <c r="BY74" s="102" t="str">
        <f>BY73/BY72</f>
        <v>#DIV/0!</v>
      </c>
      <c r="BZ74" s="76">
        <f>'Dados da Operação'!$C$5</f>
        <v>2500</v>
      </c>
      <c r="CA74" s="102" t="str">
        <f>CA73/CA72</f>
        <v>#DIV/0!</v>
      </c>
      <c r="CB74" s="76">
        <f>BZ74</f>
        <v>2500</v>
      </c>
      <c r="CC74" s="102" t="str">
        <f>CC73/CC72</f>
        <v>#DIV/0!</v>
      </c>
      <c r="CD74" s="76">
        <f>BZ74</f>
        <v>2500</v>
      </c>
      <c r="CE74" s="102" t="str">
        <f>CE73/CE72</f>
        <v>#DIV/0!</v>
      </c>
      <c r="CF74" s="76">
        <f>BZ74</f>
        <v>2500</v>
      </c>
      <c r="CG74" s="102" t="str">
        <f>CG73/CG72</f>
        <v>#DIV/0!</v>
      </c>
      <c r="CH74" s="76">
        <f>BZ74</f>
        <v>2500</v>
      </c>
      <c r="CI74" s="102" t="str">
        <f>CI73/CI72</f>
        <v>#DIV/0!</v>
      </c>
      <c r="CJ74" s="76">
        <f>'Dados da Operação'!$C$5</f>
        <v>2500</v>
      </c>
      <c r="CK74" s="102" t="str">
        <f>CK73/CK72</f>
        <v>#DIV/0!</v>
      </c>
      <c r="CL74" s="76">
        <f>CJ74</f>
        <v>2500</v>
      </c>
      <c r="CM74" s="102" t="str">
        <f>CM73/CM72</f>
        <v>#DIV/0!</v>
      </c>
      <c r="CN74" s="76">
        <f>CJ74</f>
        <v>2500</v>
      </c>
      <c r="CO74" s="102" t="str">
        <f>CO73/CO72</f>
        <v>#DIV/0!</v>
      </c>
      <c r="CP74" s="76">
        <f>CJ74</f>
        <v>2500</v>
      </c>
      <c r="CQ74" s="102" t="str">
        <f>CQ73/CQ72</f>
        <v>#DIV/0!</v>
      </c>
      <c r="CR74" s="76">
        <f>CJ74</f>
        <v>2500</v>
      </c>
      <c r="CS74" s="102" t="str">
        <f>CS73/CS72</f>
        <v>#DIV/0!</v>
      </c>
      <c r="CT74" s="76">
        <f>'Dados da Operação'!$C$5</f>
        <v>2500</v>
      </c>
      <c r="CU74" s="102" t="str">
        <f>CU73/CU72</f>
        <v>#DIV/0!</v>
      </c>
      <c r="CV74" s="76">
        <f>CT74</f>
        <v>2500</v>
      </c>
      <c r="CW74" s="102" t="str">
        <f>CW73/CW72</f>
        <v>#DIV/0!</v>
      </c>
      <c r="CX74" s="76">
        <f>CT74</f>
        <v>2500</v>
      </c>
      <c r="CY74" s="102" t="str">
        <f>CY73/CY72</f>
        <v>#DIV/0!</v>
      </c>
      <c r="CZ74" s="76">
        <f>CT74</f>
        <v>2500</v>
      </c>
      <c r="DA74" s="102" t="str">
        <f>DA73/DA72</f>
        <v>#DIV/0!</v>
      </c>
      <c r="DB74" s="76">
        <f>CT74</f>
        <v>2500</v>
      </c>
      <c r="DC74" s="102" t="str">
        <f>DC73/DC72</f>
        <v>#DIV/0!</v>
      </c>
      <c r="DD74" s="76">
        <f>'Dados da Operação'!$C$5</f>
        <v>2500</v>
      </c>
      <c r="DE74" s="102" t="str">
        <f>DE73/DE72</f>
        <v>#DIV/0!</v>
      </c>
      <c r="DF74" s="76">
        <f>DD74</f>
        <v>2500</v>
      </c>
      <c r="DG74" s="102" t="str">
        <f>DG73/DG72</f>
        <v>#DIV/0!</v>
      </c>
      <c r="DH74" s="76">
        <f>DD74</f>
        <v>2500</v>
      </c>
      <c r="DI74" s="102" t="str">
        <f>DI73/DI72</f>
        <v>#DIV/0!</v>
      </c>
      <c r="DJ74" s="76">
        <f>DD74</f>
        <v>2500</v>
      </c>
      <c r="DK74" s="102" t="str">
        <f>DK73/DK72</f>
        <v>#DIV/0!</v>
      </c>
      <c r="DL74" s="76">
        <f>DD74</f>
        <v>2500</v>
      </c>
      <c r="DM74" s="102" t="str">
        <f>DM73/DM72</f>
        <v>#DIV/0!</v>
      </c>
      <c r="DN74" s="76">
        <f>'Dados da Operação'!$C$5</f>
        <v>2500</v>
      </c>
      <c r="DO74" s="73" t="str">
        <f>DO73/DO72</f>
        <v>#DIV/0!</v>
      </c>
      <c r="DP74" s="105">
        <f>DN74</f>
        <v>2500</v>
      </c>
      <c r="DQ74" s="73" t="str">
        <f>DQ73/DQ72</f>
        <v>#DIV/0!</v>
      </c>
      <c r="DR74" s="105">
        <f>DN74</f>
        <v>2500</v>
      </c>
      <c r="DS74" s="73" t="str">
        <f>DS73/DS72</f>
        <v>#DIV/0!</v>
      </c>
      <c r="DT74" s="105">
        <f>DN74</f>
        <v>2500</v>
      </c>
      <c r="DU74" s="73" t="str">
        <f>DU73/DU72</f>
        <v>#DIV/0!</v>
      </c>
      <c r="DV74" s="105">
        <f>DN74</f>
        <v>2500</v>
      </c>
    </row>
    <row r="75" ht="15.75" hidden="1" customHeight="1">
      <c r="A75" s="35"/>
      <c r="B75" s="42"/>
      <c r="C75" s="35"/>
      <c r="D75" s="35"/>
      <c r="E75" s="35"/>
      <c r="F75" s="35"/>
      <c r="G75" s="38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</row>
    <row r="76" ht="15.75" customHeight="1">
      <c r="A76" s="34"/>
      <c r="B76" s="34"/>
      <c r="C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</row>
    <row r="77" ht="15.75" customHeight="1">
      <c r="A77" s="34"/>
      <c r="B77" s="34"/>
      <c r="C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</row>
    <row r="78" ht="15.75" customHeight="1">
      <c r="A78" s="34"/>
      <c r="B78" s="34"/>
      <c r="C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</row>
    <row r="79" ht="15.75" customHeight="1">
      <c r="A79" s="34"/>
      <c r="B79" s="34"/>
      <c r="C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</row>
    <row r="80" ht="15.75" customHeight="1">
      <c r="A80" s="34"/>
      <c r="B80" s="34"/>
      <c r="C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</row>
    <row r="81" ht="15.75" customHeight="1">
      <c r="A81" s="34"/>
      <c r="B81" s="34"/>
      <c r="C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</row>
    <row r="82" ht="15.75" customHeight="1">
      <c r="A82" s="34"/>
      <c r="B82" s="34"/>
      <c r="C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</row>
    <row r="83" ht="15.75" customHeight="1">
      <c r="A83" s="34"/>
      <c r="B83" s="34"/>
      <c r="C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</row>
    <row r="84" ht="15.75" customHeight="1">
      <c r="A84" s="34"/>
      <c r="B84" s="34"/>
      <c r="C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</row>
    <row r="85" ht="15.75" customHeight="1">
      <c r="A85" s="34"/>
      <c r="B85" s="34"/>
      <c r="C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</row>
    <row r="86" ht="15.75" customHeight="1">
      <c r="A86" s="34"/>
      <c r="B86" s="34"/>
      <c r="C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</row>
    <row r="87" ht="15.75" customHeight="1">
      <c r="A87" s="34"/>
      <c r="B87" s="34"/>
      <c r="C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</row>
    <row r="88" ht="15.75" customHeight="1">
      <c r="A88" s="34"/>
      <c r="B88" s="34"/>
      <c r="C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</row>
    <row r="89" ht="15.75" customHeight="1">
      <c r="A89" s="34"/>
      <c r="B89" s="34"/>
      <c r="C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</row>
    <row r="90" ht="15.75" customHeight="1">
      <c r="A90" s="34"/>
      <c r="B90" s="34"/>
      <c r="C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</row>
    <row r="91" ht="15.75" customHeight="1">
      <c r="A91" s="34"/>
      <c r="B91" s="34"/>
      <c r="C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</row>
    <row r="92" ht="15.75" customHeight="1">
      <c r="A92" s="34"/>
      <c r="B92" s="34"/>
      <c r="C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</row>
    <row r="93" ht="15.75" customHeight="1">
      <c r="A93" s="34"/>
      <c r="B93" s="34"/>
      <c r="C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</row>
    <row r="94" ht="15.75" customHeight="1">
      <c r="A94" s="34"/>
      <c r="B94" s="34"/>
      <c r="C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</row>
    <row r="95" ht="15.75" customHeight="1">
      <c r="A95" s="34"/>
      <c r="B95" s="34"/>
      <c r="C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</row>
    <row r="96" ht="15.75" customHeight="1">
      <c r="A96" s="34"/>
      <c r="B96" s="34"/>
      <c r="C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</row>
    <row r="97" ht="15.75" customHeight="1">
      <c r="A97" s="34"/>
      <c r="B97" s="34"/>
      <c r="C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</row>
    <row r="98" ht="15.75" customHeight="1">
      <c r="A98" s="34"/>
      <c r="B98" s="34"/>
      <c r="C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</row>
    <row r="99" ht="15.75" customHeight="1">
      <c r="A99" s="34"/>
      <c r="B99" s="34"/>
      <c r="C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</row>
    <row r="100" ht="15.75" customHeight="1">
      <c r="A100" s="34"/>
      <c r="B100" s="34"/>
      <c r="C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</row>
    <row r="101" ht="15.75" customHeight="1">
      <c r="A101" s="34"/>
      <c r="B101" s="34"/>
      <c r="C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</row>
    <row r="102" ht="15.75" customHeight="1">
      <c r="A102" s="34"/>
      <c r="B102" s="34"/>
      <c r="C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</row>
    <row r="103" ht="15.75" customHeight="1">
      <c r="A103" s="34"/>
      <c r="B103" s="34"/>
      <c r="C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</row>
    <row r="104" ht="15.75" customHeight="1">
      <c r="A104" s="34"/>
      <c r="B104" s="34"/>
      <c r="C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</row>
    <row r="105" ht="15.75" customHeight="1">
      <c r="A105" s="34"/>
      <c r="B105" s="34"/>
      <c r="C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</row>
    <row r="106" ht="15.75" customHeight="1">
      <c r="A106" s="34"/>
      <c r="B106" s="34"/>
      <c r="C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</row>
    <row r="107" ht="15.75" customHeight="1">
      <c r="A107" s="34"/>
      <c r="B107" s="34"/>
      <c r="C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</row>
    <row r="108" ht="15.75" customHeight="1">
      <c r="A108" s="34"/>
      <c r="B108" s="34"/>
      <c r="C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</row>
    <row r="109" ht="15.75" customHeight="1">
      <c r="A109" s="34"/>
      <c r="B109" s="34"/>
      <c r="C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</row>
    <row r="110" ht="15.75" customHeight="1">
      <c r="A110" s="34"/>
      <c r="B110" s="34"/>
      <c r="C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</row>
    <row r="111" ht="15.75" customHeight="1">
      <c r="A111" s="34"/>
      <c r="B111" s="34"/>
      <c r="C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</row>
    <row r="112" ht="15.75" customHeight="1">
      <c r="A112" s="34"/>
      <c r="B112" s="34"/>
      <c r="C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</row>
    <row r="113" ht="15.75" customHeight="1">
      <c r="A113" s="34"/>
      <c r="B113" s="34"/>
      <c r="C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</row>
    <row r="114" ht="15.75" customHeight="1">
      <c r="A114" s="34"/>
      <c r="B114" s="34"/>
      <c r="C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</row>
    <row r="115" ht="15.75" customHeight="1">
      <c r="A115" s="34"/>
      <c r="B115" s="34"/>
      <c r="C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</row>
    <row r="116" ht="15.75" customHeight="1">
      <c r="A116" s="34"/>
      <c r="B116" s="34"/>
      <c r="C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</row>
    <row r="117" ht="15.75" customHeight="1">
      <c r="A117" s="34"/>
      <c r="B117" s="34"/>
      <c r="C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</row>
    <row r="118" ht="15.75" customHeight="1">
      <c r="A118" s="34"/>
      <c r="B118" s="34"/>
      <c r="C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</row>
    <row r="119" ht="15.75" customHeight="1">
      <c r="A119" s="34"/>
      <c r="B119" s="34"/>
      <c r="C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</row>
    <row r="120" ht="15.75" customHeight="1">
      <c r="A120" s="34"/>
      <c r="B120" s="34"/>
      <c r="C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</row>
    <row r="121" ht="15.75" customHeight="1">
      <c r="A121" s="34"/>
      <c r="B121" s="34"/>
      <c r="C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</row>
    <row r="122" ht="15.75" customHeight="1">
      <c r="A122" s="34"/>
      <c r="B122" s="34"/>
      <c r="C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</row>
    <row r="123" ht="15.75" customHeight="1">
      <c r="A123" s="34"/>
      <c r="B123" s="34"/>
      <c r="C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</row>
    <row r="124" ht="15.75" customHeight="1">
      <c r="A124" s="34"/>
      <c r="B124" s="34"/>
      <c r="C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</row>
    <row r="125" ht="15.75" customHeight="1">
      <c r="A125" s="34"/>
      <c r="B125" s="34"/>
      <c r="C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</row>
    <row r="126" ht="15.75" customHeight="1">
      <c r="A126" s="34"/>
      <c r="B126" s="34"/>
      <c r="C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</row>
    <row r="127" ht="15.75" customHeight="1">
      <c r="A127" s="34"/>
      <c r="B127" s="34"/>
      <c r="C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</row>
    <row r="128" ht="15.75" customHeight="1">
      <c r="A128" s="34"/>
      <c r="B128" s="34"/>
      <c r="C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</row>
    <row r="129" ht="15.75" customHeight="1">
      <c r="A129" s="34"/>
      <c r="B129" s="34"/>
      <c r="C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</row>
    <row r="130" ht="15.75" customHeight="1">
      <c r="A130" s="34"/>
      <c r="B130" s="34"/>
      <c r="C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</row>
    <row r="131" ht="15.75" customHeight="1">
      <c r="A131" s="34"/>
      <c r="B131" s="34"/>
      <c r="C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</row>
    <row r="132" ht="15.75" customHeight="1">
      <c r="A132" s="34"/>
      <c r="B132" s="34"/>
      <c r="C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</row>
    <row r="133" ht="15.75" customHeight="1">
      <c r="A133" s="34"/>
      <c r="B133" s="34"/>
      <c r="C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</row>
    <row r="134" ht="15.75" customHeight="1">
      <c r="A134" s="34"/>
      <c r="B134" s="34"/>
      <c r="C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</row>
    <row r="135" ht="15.75" customHeight="1">
      <c r="A135" s="34"/>
      <c r="B135" s="34"/>
      <c r="C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</row>
    <row r="136" ht="15.75" customHeight="1">
      <c r="A136" s="34"/>
      <c r="B136" s="34"/>
      <c r="C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</row>
    <row r="137" ht="15.75" customHeight="1">
      <c r="A137" s="34"/>
      <c r="B137" s="34"/>
      <c r="C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</row>
    <row r="138" ht="15.75" customHeight="1">
      <c r="A138" s="34"/>
      <c r="B138" s="34"/>
      <c r="C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</row>
    <row r="139" ht="15.75" customHeight="1">
      <c r="A139" s="34"/>
      <c r="B139" s="34"/>
      <c r="C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</row>
    <row r="140" ht="15.75" customHeight="1">
      <c r="A140" s="34"/>
      <c r="B140" s="34"/>
      <c r="C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</row>
    <row r="141" ht="15.75" customHeight="1">
      <c r="A141" s="34"/>
      <c r="B141" s="34"/>
      <c r="C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</row>
    <row r="142" ht="15.75" customHeight="1">
      <c r="A142" s="34"/>
      <c r="B142" s="34"/>
      <c r="C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</row>
    <row r="143" ht="15.75" customHeight="1">
      <c r="A143" s="34"/>
      <c r="B143" s="34"/>
      <c r="C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</row>
    <row r="144" ht="15.75" customHeight="1">
      <c r="A144" s="34"/>
      <c r="B144" s="34"/>
      <c r="C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</row>
    <row r="145" ht="15.75" customHeight="1">
      <c r="A145" s="34"/>
      <c r="B145" s="34"/>
      <c r="C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</row>
    <row r="146" ht="15.75" customHeight="1">
      <c r="A146" s="34"/>
      <c r="B146" s="34"/>
      <c r="C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</row>
    <row r="147" ht="15.75" customHeight="1">
      <c r="A147" s="34"/>
      <c r="B147" s="34"/>
      <c r="C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</row>
    <row r="148" ht="15.75" customHeight="1">
      <c r="A148" s="34"/>
      <c r="B148" s="34"/>
      <c r="C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</row>
    <row r="149" ht="15.75" customHeight="1">
      <c r="A149" s="34"/>
      <c r="B149" s="34"/>
      <c r="C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</row>
    <row r="150" ht="15.75" customHeight="1">
      <c r="A150" s="34"/>
      <c r="B150" s="34"/>
      <c r="C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</row>
    <row r="151" ht="15.75" customHeight="1">
      <c r="A151" s="34"/>
      <c r="B151" s="34"/>
      <c r="C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</row>
    <row r="152" ht="15.75" customHeight="1">
      <c r="A152" s="34"/>
      <c r="B152" s="34"/>
      <c r="C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</row>
    <row r="153" ht="15.75" customHeight="1">
      <c r="A153" s="34"/>
      <c r="B153" s="34"/>
      <c r="C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</row>
    <row r="154" ht="15.75" customHeight="1">
      <c r="A154" s="34"/>
      <c r="B154" s="34"/>
      <c r="C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</row>
    <row r="155" ht="15.75" customHeight="1">
      <c r="A155" s="34"/>
      <c r="B155" s="34"/>
      <c r="C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</row>
    <row r="156" ht="15.75" customHeight="1">
      <c r="A156" s="34"/>
      <c r="B156" s="34"/>
      <c r="C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</row>
    <row r="157" ht="15.75" customHeight="1">
      <c r="A157" s="34"/>
      <c r="B157" s="34"/>
      <c r="C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</row>
    <row r="158" ht="15.75" customHeight="1">
      <c r="A158" s="34"/>
      <c r="B158" s="34"/>
      <c r="C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</row>
    <row r="159" ht="15.75" customHeight="1">
      <c r="A159" s="34"/>
      <c r="B159" s="34"/>
      <c r="C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</row>
    <row r="160" ht="15.75" customHeight="1">
      <c r="A160" s="34"/>
      <c r="B160" s="34"/>
      <c r="C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</row>
    <row r="161" ht="15.75" customHeight="1">
      <c r="A161" s="34"/>
      <c r="B161" s="34"/>
      <c r="C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</row>
    <row r="162" ht="15.75" customHeight="1">
      <c r="A162" s="34"/>
      <c r="B162" s="34"/>
      <c r="C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</row>
    <row r="163" ht="15.75" customHeight="1">
      <c r="A163" s="34"/>
      <c r="B163" s="34"/>
      <c r="C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</row>
    <row r="164" ht="15.75" customHeight="1">
      <c r="A164" s="34"/>
      <c r="B164" s="34"/>
      <c r="C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</row>
    <row r="165" ht="15.75" customHeight="1">
      <c r="A165" s="34"/>
      <c r="B165" s="34"/>
      <c r="C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</row>
    <row r="166" ht="15.75" customHeight="1">
      <c r="A166" s="34"/>
      <c r="B166" s="34"/>
      <c r="C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</row>
    <row r="167" ht="15.75" customHeight="1">
      <c r="A167" s="34"/>
      <c r="B167" s="34"/>
      <c r="C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</row>
    <row r="168" ht="15.75" customHeight="1">
      <c r="A168" s="34"/>
      <c r="B168" s="34"/>
      <c r="C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</row>
    <row r="169" ht="15.75" customHeight="1">
      <c r="A169" s="34"/>
      <c r="B169" s="34"/>
      <c r="C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</row>
    <row r="170" ht="15.75" customHeight="1">
      <c r="A170" s="34"/>
      <c r="B170" s="34"/>
      <c r="C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</row>
    <row r="171" ht="15.75" customHeight="1">
      <c r="A171" s="34"/>
      <c r="B171" s="34"/>
      <c r="C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</row>
    <row r="172" ht="15.75" customHeight="1">
      <c r="A172" s="34"/>
      <c r="B172" s="34"/>
      <c r="C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</row>
    <row r="173" ht="15.75" customHeight="1">
      <c r="A173" s="34"/>
      <c r="B173" s="34"/>
      <c r="C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</row>
    <row r="174" ht="15.75" customHeight="1">
      <c r="A174" s="34"/>
      <c r="B174" s="34"/>
      <c r="C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</row>
    <row r="175" ht="15.75" customHeight="1">
      <c r="A175" s="34"/>
      <c r="B175" s="34"/>
      <c r="C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</row>
    <row r="176" ht="15.75" customHeight="1">
      <c r="A176" s="34"/>
      <c r="B176" s="34"/>
      <c r="C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</row>
    <row r="177" ht="15.75" customHeight="1">
      <c r="A177" s="34"/>
      <c r="B177" s="34"/>
      <c r="C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</row>
    <row r="178" ht="15.75" customHeight="1">
      <c r="A178" s="34"/>
      <c r="B178" s="34"/>
      <c r="C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</row>
    <row r="179" ht="15.75" customHeight="1">
      <c r="A179" s="34"/>
      <c r="B179" s="34"/>
      <c r="C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</row>
    <row r="180" ht="15.75" customHeight="1">
      <c r="A180" s="34"/>
      <c r="B180" s="34"/>
      <c r="C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</row>
    <row r="181" ht="15.75" customHeight="1">
      <c r="A181" s="34"/>
      <c r="B181" s="34"/>
      <c r="C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</row>
    <row r="182" ht="15.75" customHeight="1">
      <c r="A182" s="34"/>
      <c r="B182" s="34"/>
      <c r="C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</row>
    <row r="183" ht="15.75" customHeight="1">
      <c r="A183" s="34"/>
      <c r="B183" s="34"/>
      <c r="C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</row>
    <row r="184" ht="15.75" customHeight="1">
      <c r="A184" s="34"/>
      <c r="B184" s="34"/>
      <c r="C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</row>
    <row r="185" ht="15.75" customHeight="1">
      <c r="A185" s="34"/>
      <c r="B185" s="34"/>
      <c r="C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</row>
    <row r="186" ht="15.75" customHeight="1">
      <c r="A186" s="34"/>
      <c r="B186" s="34"/>
      <c r="C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</row>
    <row r="187" ht="15.75" customHeight="1">
      <c r="A187" s="34"/>
      <c r="B187" s="34"/>
      <c r="C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</row>
    <row r="188" ht="15.75" customHeight="1">
      <c r="A188" s="34"/>
      <c r="B188" s="34"/>
      <c r="C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</row>
    <row r="189" ht="15.75" customHeight="1">
      <c r="A189" s="34"/>
      <c r="B189" s="34"/>
      <c r="C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</row>
    <row r="190" ht="15.75" customHeight="1">
      <c r="A190" s="34"/>
      <c r="B190" s="34"/>
      <c r="C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</row>
    <row r="191" ht="15.75" customHeight="1">
      <c r="A191" s="34"/>
      <c r="B191" s="34"/>
      <c r="C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</row>
    <row r="192" ht="15.75" customHeight="1">
      <c r="A192" s="34"/>
      <c r="B192" s="34"/>
      <c r="C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</row>
    <row r="193" ht="15.75" customHeight="1">
      <c r="A193" s="34"/>
      <c r="B193" s="34"/>
      <c r="C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</row>
    <row r="194" ht="15.75" customHeight="1">
      <c r="A194" s="34"/>
      <c r="B194" s="34"/>
      <c r="C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</row>
    <row r="195" ht="15.75" customHeight="1">
      <c r="A195" s="34"/>
      <c r="B195" s="34"/>
      <c r="C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</row>
    <row r="196" ht="15.75" customHeight="1">
      <c r="A196" s="34"/>
      <c r="B196" s="34"/>
      <c r="C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</row>
    <row r="197" ht="15.75" customHeight="1">
      <c r="A197" s="34"/>
      <c r="B197" s="34"/>
      <c r="C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</row>
    <row r="198" ht="15.75" customHeight="1">
      <c r="A198" s="34"/>
      <c r="B198" s="34"/>
      <c r="C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</row>
    <row r="199" ht="15.75" customHeight="1">
      <c r="A199" s="34"/>
      <c r="B199" s="34"/>
      <c r="C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</row>
    <row r="200" ht="15.75" customHeight="1">
      <c r="A200" s="34"/>
      <c r="B200" s="34"/>
      <c r="C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</row>
    <row r="201" ht="15.75" customHeight="1">
      <c r="A201" s="34"/>
      <c r="B201" s="34"/>
      <c r="C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</row>
    <row r="202" ht="15.75" customHeight="1">
      <c r="A202" s="34"/>
      <c r="B202" s="34"/>
      <c r="C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</row>
    <row r="203" ht="15.75" customHeight="1">
      <c r="A203" s="34"/>
      <c r="B203" s="34"/>
      <c r="C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</row>
    <row r="204" ht="15.75" customHeight="1">
      <c r="A204" s="34"/>
      <c r="B204" s="34"/>
      <c r="C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</row>
    <row r="205" ht="15.75" customHeight="1">
      <c r="A205" s="34"/>
      <c r="B205" s="34"/>
      <c r="C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</row>
    <row r="206" ht="15.75" customHeight="1">
      <c r="A206" s="34"/>
      <c r="B206" s="34"/>
      <c r="C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</row>
    <row r="207" ht="15.75" customHeight="1">
      <c r="A207" s="34"/>
      <c r="B207" s="34"/>
      <c r="C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</row>
    <row r="208" ht="15.75" customHeight="1">
      <c r="A208" s="34"/>
      <c r="B208" s="34"/>
      <c r="C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</row>
    <row r="209" ht="15.75" customHeight="1">
      <c r="A209" s="34"/>
      <c r="B209" s="34"/>
      <c r="C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</row>
    <row r="210" ht="15.75" customHeight="1">
      <c r="A210" s="34"/>
      <c r="B210" s="34"/>
      <c r="C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</row>
    <row r="211" ht="15.75" customHeight="1">
      <c r="A211" s="34"/>
      <c r="B211" s="34"/>
      <c r="C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</row>
    <row r="212" ht="15.75" customHeight="1">
      <c r="A212" s="34"/>
      <c r="B212" s="34"/>
      <c r="C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</row>
    <row r="213" ht="15.75" customHeight="1">
      <c r="A213" s="34"/>
      <c r="B213" s="34"/>
      <c r="C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</row>
    <row r="214" ht="15.75" customHeight="1">
      <c r="A214" s="34"/>
      <c r="B214" s="34"/>
      <c r="C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</row>
    <row r="215" ht="15.75" customHeight="1">
      <c r="A215" s="34"/>
      <c r="B215" s="34"/>
      <c r="C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</row>
    <row r="216" ht="15.75" customHeight="1">
      <c r="A216" s="34"/>
      <c r="B216" s="34"/>
      <c r="C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</row>
    <row r="217" ht="15.75" customHeight="1">
      <c r="A217" s="34"/>
      <c r="B217" s="34"/>
      <c r="C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</row>
    <row r="218" ht="15.75" customHeight="1">
      <c r="A218" s="34"/>
      <c r="B218" s="34"/>
      <c r="C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</row>
    <row r="219" ht="15.75" customHeight="1">
      <c r="A219" s="34"/>
      <c r="B219" s="34"/>
      <c r="C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</row>
    <row r="220" ht="15.75" customHeight="1">
      <c r="A220" s="34"/>
      <c r="B220" s="34"/>
      <c r="C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</row>
    <row r="221" ht="15.75" customHeight="1">
      <c r="A221" s="34"/>
      <c r="B221" s="34"/>
      <c r="C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</row>
    <row r="222" ht="15.75" customHeight="1">
      <c r="A222" s="34"/>
      <c r="B222" s="34"/>
      <c r="C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</row>
    <row r="223" ht="15.75" customHeight="1">
      <c r="A223" s="34"/>
      <c r="B223" s="34"/>
      <c r="C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</row>
    <row r="224" ht="15.75" customHeight="1">
      <c r="A224" s="34"/>
      <c r="B224" s="34"/>
      <c r="C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</row>
    <row r="225" ht="15.75" customHeight="1">
      <c r="A225" s="34"/>
      <c r="B225" s="34"/>
      <c r="C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</row>
    <row r="226" ht="15.75" customHeight="1">
      <c r="A226" s="34"/>
      <c r="B226" s="34"/>
      <c r="C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</row>
    <row r="227" ht="15.75" customHeight="1">
      <c r="A227" s="34"/>
      <c r="B227" s="34"/>
      <c r="C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</row>
    <row r="228" ht="15.75" customHeight="1">
      <c r="A228" s="34"/>
      <c r="B228" s="34"/>
      <c r="C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</row>
    <row r="229" ht="15.75" customHeight="1">
      <c r="A229" s="34"/>
      <c r="B229" s="34"/>
      <c r="C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</row>
    <row r="230" ht="15.75" customHeight="1">
      <c r="A230" s="34"/>
      <c r="B230" s="34"/>
      <c r="C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</row>
    <row r="231" ht="15.75" customHeight="1">
      <c r="A231" s="34"/>
      <c r="B231" s="34"/>
      <c r="C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</row>
    <row r="232" ht="15.75" customHeight="1">
      <c r="A232" s="34"/>
      <c r="B232" s="34"/>
      <c r="C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</row>
    <row r="233" ht="15.75" customHeight="1">
      <c r="A233" s="34"/>
      <c r="B233" s="34"/>
      <c r="C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</row>
    <row r="234" ht="15.75" customHeight="1">
      <c r="A234" s="34"/>
      <c r="B234" s="34"/>
      <c r="C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</row>
    <row r="235" ht="15.75" customHeight="1">
      <c r="A235" s="34"/>
      <c r="B235" s="34"/>
      <c r="C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</row>
    <row r="236" ht="15.75" customHeight="1">
      <c r="A236" s="34"/>
      <c r="B236" s="34"/>
      <c r="C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</row>
    <row r="237" ht="15.75" customHeight="1">
      <c r="A237" s="34"/>
      <c r="B237" s="34"/>
      <c r="C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</row>
    <row r="238" ht="15.75" customHeight="1">
      <c r="A238" s="34"/>
      <c r="B238" s="34"/>
      <c r="C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</row>
    <row r="239" ht="15.75" customHeight="1">
      <c r="A239" s="34"/>
      <c r="B239" s="34"/>
      <c r="C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</row>
    <row r="240" ht="15.75" customHeight="1">
      <c r="A240" s="34"/>
      <c r="B240" s="34"/>
      <c r="C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</row>
    <row r="241" ht="15.75" customHeight="1">
      <c r="A241" s="34"/>
      <c r="B241" s="34"/>
      <c r="C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</row>
    <row r="242" ht="15.75" customHeight="1">
      <c r="A242" s="34"/>
      <c r="B242" s="34"/>
      <c r="C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</row>
    <row r="243" ht="15.75" customHeight="1">
      <c r="A243" s="34"/>
      <c r="B243" s="34"/>
      <c r="C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</row>
    <row r="244" ht="15.75" customHeight="1">
      <c r="A244" s="34"/>
      <c r="B244" s="34"/>
      <c r="C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</row>
    <row r="245" ht="15.75" customHeight="1">
      <c r="A245" s="34"/>
      <c r="B245" s="34"/>
      <c r="C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</row>
    <row r="246" ht="15.75" customHeight="1">
      <c r="A246" s="34"/>
      <c r="B246" s="34"/>
      <c r="C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</row>
    <row r="247" ht="15.75" customHeight="1">
      <c r="A247" s="34"/>
      <c r="B247" s="34"/>
      <c r="C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</row>
    <row r="248" ht="15.75" customHeight="1">
      <c r="A248" s="34"/>
      <c r="B248" s="34"/>
      <c r="C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</row>
    <row r="249" ht="15.75" customHeight="1">
      <c r="A249" s="34"/>
      <c r="B249" s="34"/>
      <c r="C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</row>
    <row r="250" ht="15.75" customHeight="1">
      <c r="A250" s="34"/>
      <c r="B250" s="34"/>
      <c r="C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</row>
    <row r="251" ht="15.75" customHeight="1">
      <c r="A251" s="34"/>
      <c r="B251" s="34"/>
      <c r="C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</row>
    <row r="252" ht="15.75" customHeight="1">
      <c r="A252" s="34"/>
      <c r="B252" s="34"/>
      <c r="C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</row>
    <row r="253" ht="15.75" customHeight="1">
      <c r="A253" s="34"/>
      <c r="B253" s="34"/>
      <c r="C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</row>
    <row r="254" ht="15.75" customHeight="1">
      <c r="A254" s="34"/>
      <c r="B254" s="34"/>
      <c r="C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</row>
    <row r="255" ht="15.75" customHeight="1">
      <c r="A255" s="34"/>
      <c r="B255" s="34"/>
      <c r="C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</row>
    <row r="256" ht="15.75" customHeight="1">
      <c r="A256" s="34"/>
      <c r="B256" s="34"/>
      <c r="C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</row>
    <row r="257" ht="15.75" customHeight="1">
      <c r="A257" s="34"/>
      <c r="B257" s="34"/>
      <c r="C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</row>
    <row r="258" ht="15.75" customHeight="1">
      <c r="A258" s="34"/>
      <c r="B258" s="34"/>
      <c r="C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</row>
    <row r="259" ht="15.75" customHeight="1">
      <c r="A259" s="34"/>
      <c r="B259" s="34"/>
      <c r="C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</row>
    <row r="260" ht="15.75" customHeight="1">
      <c r="A260" s="34"/>
      <c r="B260" s="34"/>
      <c r="C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</row>
    <row r="261" ht="15.75" customHeight="1">
      <c r="A261" s="34"/>
      <c r="B261" s="34"/>
      <c r="C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</row>
    <row r="262" ht="15.75" customHeight="1">
      <c r="A262" s="34"/>
      <c r="B262" s="34"/>
      <c r="C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</row>
    <row r="263" ht="15.75" customHeight="1">
      <c r="A263" s="34"/>
      <c r="B263" s="34"/>
      <c r="C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</row>
    <row r="264" ht="15.75" customHeight="1">
      <c r="A264" s="34"/>
      <c r="B264" s="34"/>
      <c r="C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</row>
    <row r="265" ht="15.75" customHeight="1">
      <c r="A265" s="34"/>
      <c r="B265" s="34"/>
      <c r="C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</row>
    <row r="266" ht="15.75" customHeight="1">
      <c r="A266" s="34"/>
      <c r="B266" s="34"/>
      <c r="C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</row>
    <row r="267" ht="15.75" customHeight="1">
      <c r="A267" s="34"/>
      <c r="B267" s="34"/>
      <c r="C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</row>
    <row r="268" ht="15.75" customHeight="1">
      <c r="A268" s="34"/>
      <c r="B268" s="34"/>
      <c r="C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</row>
    <row r="269" ht="15.75" customHeight="1">
      <c r="A269" s="34"/>
      <c r="B269" s="34"/>
      <c r="C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</row>
    <row r="270" ht="15.75" customHeight="1">
      <c r="A270" s="34"/>
      <c r="B270" s="34"/>
      <c r="C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</row>
    <row r="271" ht="15.75" customHeight="1">
      <c r="A271" s="34"/>
      <c r="B271" s="34"/>
      <c r="C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</row>
    <row r="272" ht="15.75" customHeight="1">
      <c r="A272" s="34"/>
      <c r="B272" s="34"/>
      <c r="C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</row>
    <row r="273" ht="15.75" customHeight="1">
      <c r="A273" s="34"/>
      <c r="B273" s="34"/>
      <c r="C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</row>
    <row r="274" ht="15.75" customHeight="1">
      <c r="A274" s="34"/>
      <c r="B274" s="34"/>
      <c r="C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</row>
    <row r="275" ht="15.75" customHeight="1">
      <c r="A275" s="34"/>
      <c r="B275" s="34"/>
      <c r="C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</row>
    <row r="276" ht="15.75" customHeight="1">
      <c r="A276" s="34"/>
      <c r="B276" s="34"/>
      <c r="C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</row>
    <row r="277" ht="15.75" customHeight="1">
      <c r="A277" s="34"/>
      <c r="B277" s="34"/>
      <c r="C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</row>
    <row r="278" ht="15.75" customHeight="1">
      <c r="A278" s="34"/>
      <c r="B278" s="34"/>
      <c r="C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</row>
    <row r="279" ht="15.75" customHeight="1">
      <c r="A279" s="34"/>
      <c r="B279" s="34"/>
      <c r="C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</row>
    <row r="280" ht="15.75" customHeight="1">
      <c r="A280" s="34"/>
      <c r="B280" s="34"/>
      <c r="C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</row>
    <row r="281" ht="15.75" customHeight="1">
      <c r="A281" s="34"/>
      <c r="B281" s="34"/>
      <c r="C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</row>
    <row r="282" ht="15.75" customHeight="1">
      <c r="A282" s="34"/>
      <c r="B282" s="34"/>
      <c r="C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</row>
    <row r="283" ht="15.75" customHeight="1">
      <c r="A283" s="34"/>
      <c r="B283" s="34"/>
      <c r="C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</row>
    <row r="284" ht="15.75" customHeight="1">
      <c r="A284" s="34"/>
      <c r="B284" s="34"/>
      <c r="C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</row>
    <row r="285" ht="15.75" customHeight="1">
      <c r="A285" s="34"/>
      <c r="B285" s="34"/>
      <c r="C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</row>
    <row r="286" ht="15.75" customHeight="1">
      <c r="A286" s="34"/>
      <c r="B286" s="34"/>
      <c r="C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</row>
    <row r="287" ht="15.75" customHeight="1">
      <c r="A287" s="34"/>
      <c r="B287" s="34"/>
      <c r="C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</row>
    <row r="288" ht="15.75" customHeight="1">
      <c r="A288" s="34"/>
      <c r="B288" s="34"/>
      <c r="C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</row>
    <row r="289" ht="15.75" customHeight="1">
      <c r="A289" s="34"/>
      <c r="B289" s="34"/>
      <c r="C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</row>
    <row r="290" ht="15.75" customHeight="1">
      <c r="A290" s="34"/>
      <c r="B290" s="34"/>
      <c r="C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</row>
    <row r="291" ht="15.75" customHeight="1">
      <c r="A291" s="34"/>
      <c r="B291" s="34"/>
      <c r="C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</row>
    <row r="292" ht="15.75" customHeight="1">
      <c r="A292" s="34"/>
      <c r="B292" s="34"/>
      <c r="C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</row>
    <row r="293" ht="15.75" customHeight="1">
      <c r="A293" s="34"/>
      <c r="B293" s="34"/>
      <c r="C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</row>
    <row r="294" ht="15.75" customHeight="1">
      <c r="A294" s="34"/>
      <c r="B294" s="34"/>
      <c r="C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</row>
    <row r="295" ht="15.75" customHeight="1">
      <c r="A295" s="34"/>
      <c r="B295" s="34"/>
      <c r="C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</row>
    <row r="296" ht="15.75" customHeight="1">
      <c r="A296" s="34"/>
      <c r="B296" s="34"/>
      <c r="C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</row>
    <row r="297" ht="15.75" customHeight="1">
      <c r="A297" s="34"/>
      <c r="B297" s="34"/>
      <c r="C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</row>
    <row r="298" ht="15.75" customHeight="1">
      <c r="A298" s="34"/>
      <c r="B298" s="34"/>
      <c r="C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</row>
    <row r="299" ht="15.75" customHeight="1">
      <c r="A299" s="34"/>
      <c r="B299" s="34"/>
      <c r="C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</row>
    <row r="300" ht="15.75" customHeight="1">
      <c r="A300" s="34"/>
      <c r="B300" s="34"/>
      <c r="C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</row>
    <row r="301" ht="15.75" customHeight="1">
      <c r="A301" s="34"/>
      <c r="B301" s="34"/>
      <c r="C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</row>
    <row r="302" ht="15.75" customHeight="1">
      <c r="A302" s="34"/>
      <c r="B302" s="34"/>
      <c r="C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</row>
    <row r="303" ht="15.75" customHeight="1">
      <c r="A303" s="34"/>
      <c r="B303" s="34"/>
      <c r="C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</row>
    <row r="304" ht="15.75" customHeight="1">
      <c r="A304" s="34"/>
      <c r="B304" s="34"/>
      <c r="C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</row>
    <row r="305" ht="15.75" customHeight="1">
      <c r="A305" s="34"/>
      <c r="B305" s="34"/>
      <c r="C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</row>
    <row r="306" ht="15.75" customHeight="1">
      <c r="A306" s="34"/>
      <c r="B306" s="34"/>
      <c r="C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</row>
    <row r="307" ht="15.75" customHeight="1">
      <c r="A307" s="34"/>
      <c r="B307" s="34"/>
      <c r="C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</row>
    <row r="308" ht="15.75" customHeight="1">
      <c r="A308" s="34"/>
      <c r="B308" s="34"/>
      <c r="C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</row>
    <row r="309" ht="15.75" customHeight="1">
      <c r="A309" s="34"/>
      <c r="B309" s="34"/>
      <c r="C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</row>
    <row r="310" ht="15.75" customHeight="1">
      <c r="A310" s="34"/>
      <c r="B310" s="34"/>
      <c r="C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</row>
    <row r="311" ht="15.75" customHeight="1">
      <c r="A311" s="34"/>
      <c r="B311" s="34"/>
      <c r="C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</row>
    <row r="312" ht="15.75" customHeight="1">
      <c r="A312" s="34"/>
      <c r="B312" s="34"/>
      <c r="C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</row>
    <row r="313" ht="15.75" customHeight="1">
      <c r="A313" s="34"/>
      <c r="B313" s="34"/>
      <c r="C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</row>
    <row r="314" ht="15.75" customHeight="1">
      <c r="A314" s="34"/>
      <c r="B314" s="34"/>
      <c r="C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</row>
    <row r="315" ht="15.75" customHeight="1">
      <c r="A315" s="34"/>
      <c r="B315" s="34"/>
      <c r="C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</row>
    <row r="316" ht="15.75" customHeight="1">
      <c r="A316" s="34"/>
      <c r="B316" s="34"/>
      <c r="C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</row>
    <row r="317" ht="15.75" customHeight="1">
      <c r="A317" s="34"/>
      <c r="B317" s="34"/>
      <c r="C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</row>
    <row r="318" ht="15.75" customHeight="1">
      <c r="A318" s="34"/>
      <c r="B318" s="34"/>
      <c r="C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</row>
    <row r="319" ht="15.75" customHeight="1">
      <c r="A319" s="34"/>
      <c r="B319" s="34"/>
      <c r="C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</row>
    <row r="320" ht="15.75" customHeight="1">
      <c r="A320" s="34"/>
      <c r="B320" s="34"/>
      <c r="C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</row>
    <row r="321" ht="15.75" customHeight="1">
      <c r="A321" s="34"/>
      <c r="B321" s="34"/>
      <c r="C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</row>
    <row r="322" ht="15.75" customHeight="1">
      <c r="A322" s="34"/>
      <c r="B322" s="34"/>
      <c r="C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</row>
    <row r="323" ht="15.75" customHeight="1">
      <c r="A323" s="34"/>
      <c r="B323" s="34"/>
      <c r="C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</row>
    <row r="324" ht="15.75" customHeight="1">
      <c r="A324" s="34"/>
      <c r="B324" s="34"/>
      <c r="C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</row>
    <row r="325" ht="15.75" customHeight="1">
      <c r="A325" s="34"/>
      <c r="B325" s="34"/>
      <c r="C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</row>
    <row r="326" ht="15.75" customHeight="1">
      <c r="A326" s="34"/>
      <c r="B326" s="34"/>
      <c r="C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</row>
    <row r="327" ht="15.75" customHeight="1">
      <c r="A327" s="34"/>
      <c r="B327" s="34"/>
      <c r="C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</row>
    <row r="328" ht="15.75" customHeight="1">
      <c r="A328" s="34"/>
      <c r="B328" s="34"/>
      <c r="C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</row>
    <row r="329" ht="15.75" customHeight="1">
      <c r="A329" s="34"/>
      <c r="B329" s="34"/>
      <c r="C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</row>
    <row r="330" ht="15.75" customHeight="1">
      <c r="A330" s="34"/>
      <c r="B330" s="34"/>
      <c r="C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</row>
    <row r="331" ht="15.75" customHeight="1">
      <c r="A331" s="34"/>
      <c r="B331" s="34"/>
      <c r="C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</row>
    <row r="332" ht="15.75" customHeight="1">
      <c r="A332" s="34"/>
      <c r="B332" s="34"/>
      <c r="C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</row>
    <row r="333" ht="15.75" customHeight="1">
      <c r="A333" s="34"/>
      <c r="B333" s="34"/>
      <c r="C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</row>
    <row r="334" ht="15.75" customHeight="1">
      <c r="A334" s="34"/>
      <c r="B334" s="34"/>
      <c r="C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</row>
    <row r="335" ht="15.75" customHeight="1">
      <c r="A335" s="34"/>
      <c r="B335" s="34"/>
      <c r="C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</row>
    <row r="336" ht="15.75" customHeight="1">
      <c r="A336" s="34"/>
      <c r="B336" s="34"/>
      <c r="C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</row>
    <row r="337" ht="15.75" customHeight="1">
      <c r="A337" s="34"/>
      <c r="B337" s="34"/>
      <c r="C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</row>
    <row r="338" ht="15.75" customHeight="1">
      <c r="A338" s="34"/>
      <c r="B338" s="34"/>
      <c r="C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</row>
    <row r="339" ht="15.75" customHeight="1">
      <c r="A339" s="34"/>
      <c r="B339" s="34"/>
      <c r="C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</row>
    <row r="340" ht="15.75" customHeight="1">
      <c r="A340" s="34"/>
      <c r="B340" s="34"/>
      <c r="C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</row>
    <row r="341" ht="15.75" customHeight="1">
      <c r="A341" s="34"/>
      <c r="B341" s="34"/>
      <c r="C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</row>
    <row r="342" ht="15.75" customHeight="1">
      <c r="A342" s="34"/>
      <c r="B342" s="34"/>
      <c r="C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</row>
    <row r="343" ht="15.75" customHeight="1">
      <c r="A343" s="34"/>
      <c r="B343" s="34"/>
      <c r="C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</row>
    <row r="344" ht="15.75" customHeight="1">
      <c r="A344" s="34"/>
      <c r="B344" s="34"/>
      <c r="C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</row>
    <row r="345" ht="15.75" customHeight="1">
      <c r="A345" s="34"/>
      <c r="B345" s="34"/>
      <c r="C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</row>
    <row r="346" ht="15.75" customHeight="1">
      <c r="A346" s="34"/>
      <c r="B346" s="34"/>
      <c r="C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</row>
    <row r="347" ht="15.75" customHeight="1">
      <c r="A347" s="34"/>
      <c r="B347" s="34"/>
      <c r="C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</row>
    <row r="348" ht="15.75" customHeight="1">
      <c r="A348" s="34"/>
      <c r="B348" s="34"/>
      <c r="C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</row>
    <row r="349" ht="15.75" customHeight="1">
      <c r="A349" s="34"/>
      <c r="B349" s="34"/>
      <c r="C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</row>
    <row r="350" ht="15.75" customHeight="1">
      <c r="A350" s="34"/>
      <c r="B350" s="34"/>
      <c r="C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</row>
    <row r="351" ht="15.75" customHeight="1">
      <c r="A351" s="34"/>
      <c r="B351" s="34"/>
      <c r="C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</row>
    <row r="352" ht="15.75" customHeight="1">
      <c r="A352" s="34"/>
      <c r="B352" s="34"/>
      <c r="C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</row>
    <row r="353" ht="15.75" customHeight="1">
      <c r="A353" s="34"/>
      <c r="B353" s="34"/>
      <c r="C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</row>
    <row r="354" ht="15.75" customHeight="1">
      <c r="A354" s="34"/>
      <c r="B354" s="34"/>
      <c r="C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</row>
    <row r="355" ht="15.75" customHeight="1">
      <c r="A355" s="34"/>
      <c r="B355" s="34"/>
      <c r="C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</row>
    <row r="356" ht="15.75" customHeight="1">
      <c r="A356" s="34"/>
      <c r="B356" s="34"/>
      <c r="C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</row>
    <row r="357" ht="15.75" customHeight="1">
      <c r="A357" s="34"/>
      <c r="B357" s="34"/>
      <c r="C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</row>
    <row r="358" ht="15.75" customHeight="1">
      <c r="A358" s="34"/>
      <c r="B358" s="34"/>
      <c r="C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</row>
    <row r="359" ht="15.75" customHeight="1">
      <c r="A359" s="34"/>
      <c r="B359" s="34"/>
      <c r="C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</row>
    <row r="360" ht="15.75" customHeight="1">
      <c r="A360" s="34"/>
      <c r="B360" s="34"/>
      <c r="C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</row>
    <row r="361" ht="15.75" customHeight="1">
      <c r="A361" s="34"/>
      <c r="B361" s="34"/>
      <c r="C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</row>
    <row r="362" ht="15.75" customHeight="1">
      <c r="A362" s="34"/>
      <c r="B362" s="34"/>
      <c r="C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</row>
    <row r="363" ht="15.75" customHeight="1">
      <c r="A363" s="34"/>
      <c r="B363" s="34"/>
      <c r="C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</row>
    <row r="364" ht="15.75" customHeight="1">
      <c r="A364" s="34"/>
      <c r="B364" s="34"/>
      <c r="C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</row>
    <row r="365" ht="15.75" customHeight="1">
      <c r="A365" s="34"/>
      <c r="B365" s="34"/>
      <c r="C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</row>
    <row r="366" ht="15.75" customHeight="1">
      <c r="A366" s="34"/>
      <c r="B366" s="34"/>
      <c r="C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</row>
    <row r="367" ht="15.75" customHeight="1">
      <c r="A367" s="34"/>
      <c r="B367" s="34"/>
      <c r="C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</row>
    <row r="368" ht="15.75" customHeight="1">
      <c r="A368" s="34"/>
      <c r="B368" s="34"/>
      <c r="C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</row>
    <row r="369" ht="15.75" customHeight="1">
      <c r="A369" s="34"/>
      <c r="B369" s="34"/>
      <c r="C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</row>
    <row r="370" ht="15.75" customHeight="1">
      <c r="A370" s="34"/>
      <c r="B370" s="34"/>
      <c r="C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</row>
    <row r="371" ht="15.75" customHeight="1">
      <c r="A371" s="34"/>
      <c r="B371" s="34"/>
      <c r="C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</row>
    <row r="372" ht="15.75" customHeight="1">
      <c r="A372" s="34"/>
      <c r="B372" s="34"/>
      <c r="C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</row>
    <row r="373" ht="15.75" customHeight="1">
      <c r="A373" s="34"/>
      <c r="B373" s="34"/>
      <c r="C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</row>
    <row r="374" ht="15.75" customHeight="1">
      <c r="A374" s="34"/>
      <c r="B374" s="34"/>
      <c r="C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</row>
    <row r="375" ht="15.75" customHeight="1">
      <c r="A375" s="34"/>
      <c r="B375" s="34"/>
      <c r="C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</row>
    <row r="376" ht="15.75" customHeight="1">
      <c r="A376" s="34"/>
      <c r="B376" s="34"/>
      <c r="C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</row>
    <row r="377" ht="15.75" customHeight="1">
      <c r="A377" s="34"/>
      <c r="B377" s="34"/>
      <c r="C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</row>
    <row r="378" ht="15.75" customHeight="1">
      <c r="A378" s="34"/>
      <c r="B378" s="34"/>
      <c r="C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</row>
    <row r="379" ht="15.75" customHeight="1">
      <c r="A379" s="34"/>
      <c r="B379" s="34"/>
      <c r="C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</row>
    <row r="380" ht="15.75" customHeight="1">
      <c r="A380" s="34"/>
      <c r="B380" s="34"/>
      <c r="C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</row>
    <row r="381" ht="15.75" customHeight="1">
      <c r="A381" s="34"/>
      <c r="B381" s="34"/>
      <c r="C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</row>
    <row r="382" ht="15.75" customHeight="1">
      <c r="A382" s="34"/>
      <c r="B382" s="34"/>
      <c r="C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</row>
    <row r="383" ht="15.75" customHeight="1">
      <c r="A383" s="34"/>
      <c r="B383" s="34"/>
      <c r="C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</row>
    <row r="384" ht="15.75" customHeight="1">
      <c r="A384" s="34"/>
      <c r="B384" s="34"/>
      <c r="C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</row>
    <row r="385" ht="15.75" customHeight="1">
      <c r="A385" s="34"/>
      <c r="B385" s="34"/>
      <c r="C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</row>
    <row r="386" ht="15.75" customHeight="1">
      <c r="A386" s="34"/>
      <c r="B386" s="34"/>
      <c r="C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</row>
    <row r="387" ht="15.75" customHeight="1">
      <c r="A387" s="34"/>
      <c r="B387" s="34"/>
      <c r="C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</row>
    <row r="388" ht="15.75" customHeight="1">
      <c r="A388" s="34"/>
      <c r="B388" s="34"/>
      <c r="C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</row>
    <row r="389" ht="15.75" customHeight="1">
      <c r="A389" s="34"/>
      <c r="B389" s="34"/>
      <c r="C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</row>
    <row r="390" ht="15.75" customHeight="1">
      <c r="A390" s="34"/>
      <c r="B390" s="34"/>
      <c r="C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</row>
    <row r="391" ht="15.75" customHeight="1">
      <c r="A391" s="34"/>
      <c r="B391" s="34"/>
      <c r="C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</row>
    <row r="392" ht="15.75" customHeight="1">
      <c r="A392" s="34"/>
      <c r="B392" s="34"/>
      <c r="C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</row>
    <row r="393" ht="15.75" customHeight="1">
      <c r="A393" s="34"/>
      <c r="B393" s="34"/>
      <c r="C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</row>
    <row r="394" ht="15.75" customHeight="1">
      <c r="A394" s="34"/>
      <c r="B394" s="34"/>
      <c r="C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</row>
    <row r="395" ht="15.75" customHeight="1">
      <c r="A395" s="34"/>
      <c r="B395" s="34"/>
      <c r="C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</row>
    <row r="396" ht="15.75" customHeight="1">
      <c r="A396" s="34"/>
      <c r="B396" s="34"/>
      <c r="C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</row>
    <row r="397" ht="15.75" customHeight="1">
      <c r="A397" s="34"/>
      <c r="B397" s="34"/>
      <c r="C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</row>
    <row r="398" ht="15.75" customHeight="1">
      <c r="A398" s="34"/>
      <c r="B398" s="34"/>
      <c r="C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</row>
    <row r="399" ht="15.75" customHeight="1">
      <c r="A399" s="34"/>
      <c r="B399" s="34"/>
      <c r="C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</row>
    <row r="400" ht="15.75" customHeight="1">
      <c r="A400" s="34"/>
      <c r="B400" s="34"/>
      <c r="C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</row>
    <row r="401" ht="15.75" customHeight="1">
      <c r="A401" s="34"/>
      <c r="B401" s="34"/>
      <c r="C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</row>
    <row r="402" ht="15.75" customHeight="1">
      <c r="A402" s="34"/>
      <c r="B402" s="34"/>
      <c r="C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</row>
    <row r="403" ht="15.75" customHeight="1">
      <c r="A403" s="34"/>
      <c r="B403" s="34"/>
      <c r="C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</row>
    <row r="404" ht="15.75" customHeight="1">
      <c r="A404" s="34"/>
      <c r="B404" s="34"/>
      <c r="C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</row>
    <row r="405" ht="15.75" customHeight="1">
      <c r="A405" s="34"/>
      <c r="B405" s="34"/>
      <c r="C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</row>
    <row r="406" ht="15.75" customHeight="1">
      <c r="A406" s="34"/>
      <c r="B406" s="34"/>
      <c r="C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  <c r="DM406" s="34"/>
      <c r="DN406" s="34"/>
      <c r="DO406" s="34"/>
      <c r="DP406" s="34"/>
      <c r="DQ406" s="34"/>
      <c r="DR406" s="34"/>
      <c r="DS406" s="34"/>
      <c r="DT406" s="34"/>
      <c r="DU406" s="34"/>
      <c r="DV406" s="34"/>
    </row>
    <row r="407" ht="15.75" customHeight="1">
      <c r="A407" s="34"/>
      <c r="B407" s="34"/>
      <c r="C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  <c r="DM407" s="34"/>
      <c r="DN407" s="34"/>
      <c r="DO407" s="34"/>
      <c r="DP407" s="34"/>
      <c r="DQ407" s="34"/>
      <c r="DR407" s="34"/>
      <c r="DS407" s="34"/>
      <c r="DT407" s="34"/>
      <c r="DU407" s="34"/>
      <c r="DV407" s="34"/>
    </row>
    <row r="408" ht="15.75" customHeight="1">
      <c r="A408" s="34"/>
      <c r="B408" s="34"/>
      <c r="C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  <c r="DM408" s="34"/>
      <c r="DN408" s="34"/>
      <c r="DO408" s="34"/>
      <c r="DP408" s="34"/>
      <c r="DQ408" s="34"/>
      <c r="DR408" s="34"/>
      <c r="DS408" s="34"/>
      <c r="DT408" s="34"/>
      <c r="DU408" s="34"/>
      <c r="DV408" s="34"/>
    </row>
    <row r="409" ht="15.75" customHeight="1">
      <c r="A409" s="34"/>
      <c r="B409" s="34"/>
      <c r="C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  <c r="DM409" s="34"/>
      <c r="DN409" s="34"/>
      <c r="DO409" s="34"/>
      <c r="DP409" s="34"/>
      <c r="DQ409" s="34"/>
      <c r="DR409" s="34"/>
      <c r="DS409" s="34"/>
      <c r="DT409" s="34"/>
      <c r="DU409" s="34"/>
      <c r="DV409" s="34"/>
    </row>
    <row r="410" ht="15.75" customHeight="1">
      <c r="A410" s="34"/>
      <c r="B410" s="34"/>
      <c r="C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A410" s="34"/>
      <c r="DB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  <c r="DM410" s="34"/>
      <c r="DN410" s="34"/>
      <c r="DO410" s="34"/>
      <c r="DP410" s="34"/>
      <c r="DQ410" s="34"/>
      <c r="DR410" s="34"/>
      <c r="DS410" s="34"/>
      <c r="DT410" s="34"/>
      <c r="DU410" s="34"/>
      <c r="DV410" s="34"/>
    </row>
    <row r="411" ht="15.75" customHeight="1">
      <c r="A411" s="34"/>
      <c r="B411" s="34"/>
      <c r="C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  <c r="DM411" s="34"/>
      <c r="DN411" s="34"/>
      <c r="DO411" s="34"/>
      <c r="DP411" s="34"/>
      <c r="DQ411" s="34"/>
      <c r="DR411" s="34"/>
      <c r="DS411" s="34"/>
      <c r="DT411" s="34"/>
      <c r="DU411" s="34"/>
      <c r="DV411" s="34"/>
    </row>
    <row r="412" ht="15.75" customHeight="1">
      <c r="A412" s="34"/>
      <c r="B412" s="34"/>
      <c r="C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A412" s="34"/>
      <c r="DB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  <c r="DM412" s="34"/>
      <c r="DN412" s="34"/>
      <c r="DO412" s="34"/>
      <c r="DP412" s="34"/>
      <c r="DQ412" s="34"/>
      <c r="DR412" s="34"/>
      <c r="DS412" s="34"/>
      <c r="DT412" s="34"/>
      <c r="DU412" s="34"/>
      <c r="DV412" s="34"/>
    </row>
    <row r="413" ht="15.75" customHeight="1">
      <c r="A413" s="34"/>
      <c r="B413" s="34"/>
      <c r="C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  <c r="DM413" s="34"/>
      <c r="DN413" s="34"/>
      <c r="DO413" s="34"/>
      <c r="DP413" s="34"/>
      <c r="DQ413" s="34"/>
      <c r="DR413" s="34"/>
      <c r="DS413" s="34"/>
      <c r="DT413" s="34"/>
      <c r="DU413" s="34"/>
      <c r="DV413" s="34"/>
    </row>
    <row r="414" ht="15.75" customHeight="1">
      <c r="A414" s="34"/>
      <c r="B414" s="34"/>
      <c r="C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  <c r="DM414" s="34"/>
      <c r="DN414" s="34"/>
      <c r="DO414" s="34"/>
      <c r="DP414" s="34"/>
      <c r="DQ414" s="34"/>
      <c r="DR414" s="34"/>
      <c r="DS414" s="34"/>
      <c r="DT414" s="34"/>
      <c r="DU414" s="34"/>
      <c r="DV414" s="34"/>
    </row>
    <row r="415" ht="15.75" customHeight="1">
      <c r="A415" s="34"/>
      <c r="B415" s="34"/>
      <c r="C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A415" s="34"/>
      <c r="DB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  <c r="DM415" s="34"/>
      <c r="DN415" s="34"/>
      <c r="DO415" s="34"/>
      <c r="DP415" s="34"/>
      <c r="DQ415" s="34"/>
      <c r="DR415" s="34"/>
      <c r="DS415" s="34"/>
      <c r="DT415" s="34"/>
      <c r="DU415" s="34"/>
      <c r="DV415" s="34"/>
    </row>
    <row r="416" ht="15.75" customHeight="1">
      <c r="A416" s="34"/>
      <c r="B416" s="34"/>
      <c r="C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  <c r="DM416" s="34"/>
      <c r="DN416" s="34"/>
      <c r="DO416" s="34"/>
      <c r="DP416" s="34"/>
      <c r="DQ416" s="34"/>
      <c r="DR416" s="34"/>
      <c r="DS416" s="34"/>
      <c r="DT416" s="34"/>
      <c r="DU416" s="34"/>
      <c r="DV416" s="34"/>
    </row>
    <row r="417" ht="15.75" customHeight="1">
      <c r="A417" s="34"/>
      <c r="B417" s="34"/>
      <c r="C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  <c r="DM417" s="34"/>
      <c r="DN417" s="34"/>
      <c r="DO417" s="34"/>
      <c r="DP417" s="34"/>
      <c r="DQ417" s="34"/>
      <c r="DR417" s="34"/>
      <c r="DS417" s="34"/>
      <c r="DT417" s="34"/>
      <c r="DU417" s="34"/>
      <c r="DV417" s="34"/>
    </row>
    <row r="418" ht="15.75" customHeight="1">
      <c r="A418" s="34"/>
      <c r="B418" s="34"/>
      <c r="C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  <c r="DM418" s="34"/>
      <c r="DN418" s="34"/>
      <c r="DO418" s="34"/>
      <c r="DP418" s="34"/>
      <c r="DQ418" s="34"/>
      <c r="DR418" s="34"/>
      <c r="DS418" s="34"/>
      <c r="DT418" s="34"/>
      <c r="DU418" s="34"/>
      <c r="DV418" s="34"/>
    </row>
    <row r="419" ht="15.75" customHeight="1">
      <c r="A419" s="34"/>
      <c r="B419" s="34"/>
      <c r="C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  <c r="DM419" s="34"/>
      <c r="DN419" s="34"/>
      <c r="DO419" s="34"/>
      <c r="DP419" s="34"/>
      <c r="DQ419" s="34"/>
      <c r="DR419" s="34"/>
      <c r="DS419" s="34"/>
      <c r="DT419" s="34"/>
      <c r="DU419" s="34"/>
      <c r="DV419" s="34"/>
    </row>
    <row r="420" ht="15.75" customHeight="1">
      <c r="A420" s="34"/>
      <c r="B420" s="34"/>
      <c r="C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  <c r="DM420" s="34"/>
      <c r="DN420" s="34"/>
      <c r="DO420" s="34"/>
      <c r="DP420" s="34"/>
      <c r="DQ420" s="34"/>
      <c r="DR420" s="34"/>
      <c r="DS420" s="34"/>
      <c r="DT420" s="34"/>
      <c r="DU420" s="34"/>
      <c r="DV420" s="34"/>
    </row>
    <row r="421" ht="15.75" customHeight="1">
      <c r="A421" s="34"/>
      <c r="B421" s="34"/>
      <c r="C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  <c r="DM421" s="34"/>
      <c r="DN421" s="34"/>
      <c r="DO421" s="34"/>
      <c r="DP421" s="34"/>
      <c r="DQ421" s="34"/>
      <c r="DR421" s="34"/>
      <c r="DS421" s="34"/>
      <c r="DT421" s="34"/>
      <c r="DU421" s="34"/>
      <c r="DV421" s="34"/>
    </row>
    <row r="422" ht="15.75" customHeight="1">
      <c r="A422" s="34"/>
      <c r="B422" s="34"/>
      <c r="C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A422" s="34"/>
      <c r="DB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  <c r="DM422" s="34"/>
      <c r="DN422" s="34"/>
      <c r="DO422" s="34"/>
      <c r="DP422" s="34"/>
      <c r="DQ422" s="34"/>
      <c r="DR422" s="34"/>
      <c r="DS422" s="34"/>
      <c r="DT422" s="34"/>
      <c r="DU422" s="34"/>
      <c r="DV422" s="34"/>
    </row>
    <row r="423" ht="15.75" customHeight="1">
      <c r="A423" s="34"/>
      <c r="B423" s="34"/>
      <c r="C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A423" s="34"/>
      <c r="DB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  <c r="DM423" s="34"/>
      <c r="DN423" s="34"/>
      <c r="DO423" s="34"/>
      <c r="DP423" s="34"/>
      <c r="DQ423" s="34"/>
      <c r="DR423" s="34"/>
      <c r="DS423" s="34"/>
      <c r="DT423" s="34"/>
      <c r="DU423" s="34"/>
      <c r="DV423" s="34"/>
    </row>
    <row r="424" ht="15.75" customHeight="1">
      <c r="A424" s="34"/>
      <c r="B424" s="34"/>
      <c r="C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  <c r="DM424" s="34"/>
      <c r="DN424" s="34"/>
      <c r="DO424" s="34"/>
      <c r="DP424" s="34"/>
      <c r="DQ424" s="34"/>
      <c r="DR424" s="34"/>
      <c r="DS424" s="34"/>
      <c r="DT424" s="34"/>
      <c r="DU424" s="34"/>
      <c r="DV424" s="34"/>
    </row>
    <row r="425" ht="15.75" customHeight="1">
      <c r="A425" s="34"/>
      <c r="B425" s="34"/>
      <c r="C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A425" s="34"/>
      <c r="DB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  <c r="DM425" s="34"/>
      <c r="DN425" s="34"/>
      <c r="DO425" s="34"/>
      <c r="DP425" s="34"/>
      <c r="DQ425" s="34"/>
      <c r="DR425" s="34"/>
      <c r="DS425" s="34"/>
      <c r="DT425" s="34"/>
      <c r="DU425" s="34"/>
      <c r="DV425" s="34"/>
    </row>
    <row r="426" ht="15.75" customHeight="1">
      <c r="A426" s="34"/>
      <c r="B426" s="34"/>
      <c r="C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  <c r="DM426" s="34"/>
      <c r="DN426" s="34"/>
      <c r="DO426" s="34"/>
      <c r="DP426" s="34"/>
      <c r="DQ426" s="34"/>
      <c r="DR426" s="34"/>
      <c r="DS426" s="34"/>
      <c r="DT426" s="34"/>
      <c r="DU426" s="34"/>
      <c r="DV426" s="34"/>
    </row>
    <row r="427" ht="15.75" customHeight="1">
      <c r="A427" s="34"/>
      <c r="B427" s="34"/>
      <c r="C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A427" s="34"/>
      <c r="DB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  <c r="DM427" s="34"/>
      <c r="DN427" s="34"/>
      <c r="DO427" s="34"/>
      <c r="DP427" s="34"/>
      <c r="DQ427" s="34"/>
      <c r="DR427" s="34"/>
      <c r="DS427" s="34"/>
      <c r="DT427" s="34"/>
      <c r="DU427" s="34"/>
      <c r="DV427" s="34"/>
    </row>
    <row r="428" ht="15.75" customHeight="1">
      <c r="A428" s="34"/>
      <c r="B428" s="34"/>
      <c r="C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  <c r="DM428" s="34"/>
      <c r="DN428" s="34"/>
      <c r="DO428" s="34"/>
      <c r="DP428" s="34"/>
      <c r="DQ428" s="34"/>
      <c r="DR428" s="34"/>
      <c r="DS428" s="34"/>
      <c r="DT428" s="34"/>
      <c r="DU428" s="34"/>
      <c r="DV428" s="34"/>
    </row>
    <row r="429" ht="15.75" customHeight="1">
      <c r="A429" s="34"/>
      <c r="B429" s="34"/>
      <c r="C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A429" s="34"/>
      <c r="DB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  <c r="DM429" s="34"/>
      <c r="DN429" s="34"/>
      <c r="DO429" s="34"/>
      <c r="DP429" s="34"/>
      <c r="DQ429" s="34"/>
      <c r="DR429" s="34"/>
      <c r="DS429" s="34"/>
      <c r="DT429" s="34"/>
      <c r="DU429" s="34"/>
      <c r="DV429" s="34"/>
    </row>
    <row r="430" ht="15.75" customHeight="1">
      <c r="A430" s="34"/>
      <c r="B430" s="34"/>
      <c r="C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A430" s="34"/>
      <c r="DB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  <c r="DM430" s="34"/>
      <c r="DN430" s="34"/>
      <c r="DO430" s="34"/>
      <c r="DP430" s="34"/>
      <c r="DQ430" s="34"/>
      <c r="DR430" s="34"/>
      <c r="DS430" s="34"/>
      <c r="DT430" s="34"/>
      <c r="DU430" s="34"/>
      <c r="DV430" s="34"/>
    </row>
    <row r="431" ht="15.75" customHeight="1">
      <c r="A431" s="34"/>
      <c r="B431" s="34"/>
      <c r="C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  <c r="DM431" s="34"/>
      <c r="DN431" s="34"/>
      <c r="DO431" s="34"/>
      <c r="DP431" s="34"/>
      <c r="DQ431" s="34"/>
      <c r="DR431" s="34"/>
      <c r="DS431" s="34"/>
      <c r="DT431" s="34"/>
      <c r="DU431" s="34"/>
      <c r="DV431" s="34"/>
    </row>
    <row r="432" ht="15.75" customHeight="1">
      <c r="A432" s="34"/>
      <c r="B432" s="34"/>
      <c r="C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A432" s="34"/>
      <c r="DB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  <c r="DM432" s="34"/>
      <c r="DN432" s="34"/>
      <c r="DO432" s="34"/>
      <c r="DP432" s="34"/>
      <c r="DQ432" s="34"/>
      <c r="DR432" s="34"/>
      <c r="DS432" s="34"/>
      <c r="DT432" s="34"/>
      <c r="DU432" s="34"/>
      <c r="DV432" s="34"/>
    </row>
    <row r="433" ht="15.75" customHeight="1">
      <c r="A433" s="34"/>
      <c r="B433" s="34"/>
      <c r="C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A433" s="34"/>
      <c r="DB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  <c r="DM433" s="34"/>
      <c r="DN433" s="34"/>
      <c r="DO433" s="34"/>
      <c r="DP433" s="34"/>
      <c r="DQ433" s="34"/>
      <c r="DR433" s="34"/>
      <c r="DS433" s="34"/>
      <c r="DT433" s="34"/>
      <c r="DU433" s="34"/>
      <c r="DV433" s="34"/>
    </row>
    <row r="434" ht="15.75" customHeight="1">
      <c r="A434" s="34"/>
      <c r="B434" s="34"/>
      <c r="C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A434" s="34"/>
      <c r="DB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  <c r="DM434" s="34"/>
      <c r="DN434" s="34"/>
      <c r="DO434" s="34"/>
      <c r="DP434" s="34"/>
      <c r="DQ434" s="34"/>
      <c r="DR434" s="34"/>
      <c r="DS434" s="34"/>
      <c r="DT434" s="34"/>
      <c r="DU434" s="34"/>
      <c r="DV434" s="34"/>
    </row>
    <row r="435" ht="15.75" customHeight="1">
      <c r="A435" s="34"/>
      <c r="B435" s="34"/>
      <c r="C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A435" s="34"/>
      <c r="DB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  <c r="DM435" s="34"/>
      <c r="DN435" s="34"/>
      <c r="DO435" s="34"/>
      <c r="DP435" s="34"/>
      <c r="DQ435" s="34"/>
      <c r="DR435" s="34"/>
      <c r="DS435" s="34"/>
      <c r="DT435" s="34"/>
      <c r="DU435" s="34"/>
      <c r="DV435" s="34"/>
    </row>
    <row r="436" ht="15.75" customHeight="1">
      <c r="A436" s="34"/>
      <c r="B436" s="34"/>
      <c r="C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A436" s="34"/>
      <c r="DB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  <c r="DM436" s="34"/>
      <c r="DN436" s="34"/>
      <c r="DO436" s="34"/>
      <c r="DP436" s="34"/>
      <c r="DQ436" s="34"/>
      <c r="DR436" s="34"/>
      <c r="DS436" s="34"/>
      <c r="DT436" s="34"/>
      <c r="DU436" s="34"/>
      <c r="DV436" s="34"/>
    </row>
    <row r="437" ht="15.75" customHeight="1">
      <c r="A437" s="34"/>
      <c r="B437" s="34"/>
      <c r="C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A437" s="34"/>
      <c r="DB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  <c r="DM437" s="34"/>
      <c r="DN437" s="34"/>
      <c r="DO437" s="34"/>
      <c r="DP437" s="34"/>
      <c r="DQ437" s="34"/>
      <c r="DR437" s="34"/>
      <c r="DS437" s="34"/>
      <c r="DT437" s="34"/>
      <c r="DU437" s="34"/>
      <c r="DV437" s="34"/>
    </row>
    <row r="438" ht="15.75" customHeight="1">
      <c r="A438" s="34"/>
      <c r="B438" s="34"/>
      <c r="C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A438" s="34"/>
      <c r="DB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  <c r="DM438" s="34"/>
      <c r="DN438" s="34"/>
      <c r="DO438" s="34"/>
      <c r="DP438" s="34"/>
      <c r="DQ438" s="34"/>
      <c r="DR438" s="34"/>
      <c r="DS438" s="34"/>
      <c r="DT438" s="34"/>
      <c r="DU438" s="34"/>
      <c r="DV438" s="34"/>
    </row>
    <row r="439" ht="15.75" customHeight="1">
      <c r="A439" s="34"/>
      <c r="B439" s="34"/>
      <c r="C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  <c r="DM439" s="34"/>
      <c r="DN439" s="34"/>
      <c r="DO439" s="34"/>
      <c r="DP439" s="34"/>
      <c r="DQ439" s="34"/>
      <c r="DR439" s="34"/>
      <c r="DS439" s="34"/>
      <c r="DT439" s="34"/>
      <c r="DU439" s="34"/>
      <c r="DV439" s="34"/>
    </row>
    <row r="440" ht="15.75" customHeight="1">
      <c r="A440" s="34"/>
      <c r="B440" s="34"/>
      <c r="C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A440" s="34"/>
      <c r="DB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  <c r="DM440" s="34"/>
      <c r="DN440" s="34"/>
      <c r="DO440" s="34"/>
      <c r="DP440" s="34"/>
      <c r="DQ440" s="34"/>
      <c r="DR440" s="34"/>
      <c r="DS440" s="34"/>
      <c r="DT440" s="34"/>
      <c r="DU440" s="34"/>
      <c r="DV440" s="34"/>
    </row>
    <row r="441" ht="15.75" customHeight="1">
      <c r="A441" s="34"/>
      <c r="B441" s="34"/>
      <c r="C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A441" s="34"/>
      <c r="DB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  <c r="DM441" s="34"/>
      <c r="DN441" s="34"/>
      <c r="DO441" s="34"/>
      <c r="DP441" s="34"/>
      <c r="DQ441" s="34"/>
      <c r="DR441" s="34"/>
      <c r="DS441" s="34"/>
      <c r="DT441" s="34"/>
      <c r="DU441" s="34"/>
      <c r="DV441" s="34"/>
    </row>
    <row r="442" ht="15.75" customHeight="1">
      <c r="A442" s="34"/>
      <c r="B442" s="34"/>
      <c r="C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A442" s="34"/>
      <c r="DB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  <c r="DM442" s="34"/>
      <c r="DN442" s="34"/>
      <c r="DO442" s="34"/>
      <c r="DP442" s="34"/>
      <c r="DQ442" s="34"/>
      <c r="DR442" s="34"/>
      <c r="DS442" s="34"/>
      <c r="DT442" s="34"/>
      <c r="DU442" s="34"/>
      <c r="DV442" s="34"/>
    </row>
    <row r="443" ht="15.75" customHeight="1">
      <c r="A443" s="34"/>
      <c r="B443" s="34"/>
      <c r="C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A443" s="34"/>
      <c r="DB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  <c r="DM443" s="34"/>
      <c r="DN443" s="34"/>
      <c r="DO443" s="34"/>
      <c r="DP443" s="34"/>
      <c r="DQ443" s="34"/>
      <c r="DR443" s="34"/>
      <c r="DS443" s="34"/>
      <c r="DT443" s="34"/>
      <c r="DU443" s="34"/>
      <c r="DV443" s="34"/>
    </row>
    <row r="444" ht="15.75" customHeight="1">
      <c r="A444" s="34"/>
      <c r="B444" s="34"/>
      <c r="C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A444" s="34"/>
      <c r="DB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  <c r="DM444" s="34"/>
      <c r="DN444" s="34"/>
      <c r="DO444" s="34"/>
      <c r="DP444" s="34"/>
      <c r="DQ444" s="34"/>
      <c r="DR444" s="34"/>
      <c r="DS444" s="34"/>
      <c r="DT444" s="34"/>
      <c r="DU444" s="34"/>
      <c r="DV444" s="34"/>
    </row>
    <row r="445" ht="15.75" customHeight="1">
      <c r="A445" s="34"/>
      <c r="B445" s="34"/>
      <c r="C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A445" s="34"/>
      <c r="DB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  <c r="DM445" s="34"/>
      <c r="DN445" s="34"/>
      <c r="DO445" s="34"/>
      <c r="DP445" s="34"/>
      <c r="DQ445" s="34"/>
      <c r="DR445" s="34"/>
      <c r="DS445" s="34"/>
      <c r="DT445" s="34"/>
      <c r="DU445" s="34"/>
      <c r="DV445" s="34"/>
    </row>
    <row r="446" ht="15.75" customHeight="1">
      <c r="A446" s="34"/>
      <c r="B446" s="34"/>
      <c r="C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A446" s="34"/>
      <c r="DB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  <c r="DM446" s="34"/>
      <c r="DN446" s="34"/>
      <c r="DO446" s="34"/>
      <c r="DP446" s="34"/>
      <c r="DQ446" s="34"/>
      <c r="DR446" s="34"/>
      <c r="DS446" s="34"/>
      <c r="DT446" s="34"/>
      <c r="DU446" s="34"/>
      <c r="DV446" s="34"/>
    </row>
    <row r="447" ht="15.75" customHeight="1">
      <c r="A447" s="34"/>
      <c r="B447" s="34"/>
      <c r="C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  <c r="DM447" s="34"/>
      <c r="DN447" s="34"/>
      <c r="DO447" s="34"/>
      <c r="DP447" s="34"/>
      <c r="DQ447" s="34"/>
      <c r="DR447" s="34"/>
      <c r="DS447" s="34"/>
      <c r="DT447" s="34"/>
      <c r="DU447" s="34"/>
      <c r="DV447" s="34"/>
    </row>
    <row r="448" ht="15.75" customHeight="1">
      <c r="A448" s="34"/>
      <c r="B448" s="34"/>
      <c r="C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  <c r="DM448" s="34"/>
      <c r="DN448" s="34"/>
      <c r="DO448" s="34"/>
      <c r="DP448" s="34"/>
      <c r="DQ448" s="34"/>
      <c r="DR448" s="34"/>
      <c r="DS448" s="34"/>
      <c r="DT448" s="34"/>
      <c r="DU448" s="34"/>
      <c r="DV448" s="34"/>
    </row>
    <row r="449" ht="15.75" customHeight="1">
      <c r="A449" s="34"/>
      <c r="B449" s="34"/>
      <c r="C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</row>
    <row r="450" ht="15.75" customHeight="1">
      <c r="A450" s="34"/>
      <c r="B450" s="34"/>
      <c r="C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  <c r="DM450" s="34"/>
      <c r="DN450" s="34"/>
      <c r="DO450" s="34"/>
      <c r="DP450" s="34"/>
      <c r="DQ450" s="34"/>
      <c r="DR450" s="34"/>
      <c r="DS450" s="34"/>
      <c r="DT450" s="34"/>
      <c r="DU450" s="34"/>
      <c r="DV450" s="34"/>
    </row>
    <row r="451" ht="15.75" customHeight="1">
      <c r="A451" s="34"/>
      <c r="B451" s="34"/>
      <c r="C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</row>
    <row r="452" ht="15.75" customHeight="1">
      <c r="A452" s="34"/>
      <c r="B452" s="34"/>
      <c r="C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  <c r="DM452" s="34"/>
      <c r="DN452" s="34"/>
      <c r="DO452" s="34"/>
      <c r="DP452" s="34"/>
      <c r="DQ452" s="34"/>
      <c r="DR452" s="34"/>
      <c r="DS452" s="34"/>
      <c r="DT452" s="34"/>
      <c r="DU452" s="34"/>
      <c r="DV452" s="34"/>
    </row>
    <row r="453" ht="15.75" customHeight="1">
      <c r="A453" s="34"/>
      <c r="B453" s="34"/>
      <c r="C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A453" s="34"/>
      <c r="DB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  <c r="DM453" s="34"/>
      <c r="DN453" s="34"/>
      <c r="DO453" s="34"/>
      <c r="DP453" s="34"/>
      <c r="DQ453" s="34"/>
      <c r="DR453" s="34"/>
      <c r="DS453" s="34"/>
      <c r="DT453" s="34"/>
      <c r="DU453" s="34"/>
      <c r="DV453" s="34"/>
    </row>
    <row r="454" ht="15.75" customHeight="1">
      <c r="A454" s="34"/>
      <c r="B454" s="34"/>
      <c r="C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A454" s="34"/>
      <c r="DB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  <c r="DM454" s="34"/>
      <c r="DN454" s="34"/>
      <c r="DO454" s="34"/>
      <c r="DP454" s="34"/>
      <c r="DQ454" s="34"/>
      <c r="DR454" s="34"/>
      <c r="DS454" s="34"/>
      <c r="DT454" s="34"/>
      <c r="DU454" s="34"/>
      <c r="DV454" s="34"/>
    </row>
    <row r="455" ht="15.75" customHeight="1">
      <c r="A455" s="34"/>
      <c r="B455" s="34"/>
      <c r="C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  <c r="DM455" s="34"/>
      <c r="DN455" s="34"/>
      <c r="DO455" s="34"/>
      <c r="DP455" s="34"/>
      <c r="DQ455" s="34"/>
      <c r="DR455" s="34"/>
      <c r="DS455" s="34"/>
      <c r="DT455" s="34"/>
      <c r="DU455" s="34"/>
      <c r="DV455" s="34"/>
    </row>
    <row r="456" ht="15.75" customHeight="1">
      <c r="A456" s="34"/>
      <c r="B456" s="34"/>
      <c r="C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  <c r="DM456" s="34"/>
      <c r="DN456" s="34"/>
      <c r="DO456" s="34"/>
      <c r="DP456" s="34"/>
      <c r="DQ456" s="34"/>
      <c r="DR456" s="34"/>
      <c r="DS456" s="34"/>
      <c r="DT456" s="34"/>
      <c r="DU456" s="34"/>
      <c r="DV456" s="34"/>
    </row>
    <row r="457" ht="15.75" customHeight="1">
      <c r="A457" s="34"/>
      <c r="B457" s="34"/>
      <c r="C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  <c r="DM457" s="34"/>
      <c r="DN457" s="34"/>
      <c r="DO457" s="34"/>
      <c r="DP457" s="34"/>
      <c r="DQ457" s="34"/>
      <c r="DR457" s="34"/>
      <c r="DS457" s="34"/>
      <c r="DT457" s="34"/>
      <c r="DU457" s="34"/>
      <c r="DV457" s="34"/>
    </row>
    <row r="458" ht="15.75" customHeight="1">
      <c r="A458" s="34"/>
      <c r="B458" s="34"/>
      <c r="C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A458" s="34"/>
      <c r="DB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  <c r="DM458" s="34"/>
      <c r="DN458" s="34"/>
      <c r="DO458" s="34"/>
      <c r="DP458" s="34"/>
      <c r="DQ458" s="34"/>
      <c r="DR458" s="34"/>
      <c r="DS458" s="34"/>
      <c r="DT458" s="34"/>
      <c r="DU458" s="34"/>
      <c r="DV458" s="34"/>
    </row>
    <row r="459" ht="15.75" customHeight="1">
      <c r="A459" s="34"/>
      <c r="B459" s="34"/>
      <c r="C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  <c r="DM459" s="34"/>
      <c r="DN459" s="34"/>
      <c r="DO459" s="34"/>
      <c r="DP459" s="34"/>
      <c r="DQ459" s="34"/>
      <c r="DR459" s="34"/>
      <c r="DS459" s="34"/>
      <c r="DT459" s="34"/>
      <c r="DU459" s="34"/>
      <c r="DV459" s="34"/>
    </row>
    <row r="460" ht="15.75" customHeight="1">
      <c r="A460" s="34"/>
      <c r="B460" s="34"/>
      <c r="C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</row>
    <row r="461" ht="15.75" customHeight="1">
      <c r="A461" s="34"/>
      <c r="B461" s="34"/>
      <c r="C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  <c r="DM461" s="34"/>
      <c r="DN461" s="34"/>
      <c r="DO461" s="34"/>
      <c r="DP461" s="34"/>
      <c r="DQ461" s="34"/>
      <c r="DR461" s="34"/>
      <c r="DS461" s="34"/>
      <c r="DT461" s="34"/>
      <c r="DU461" s="34"/>
      <c r="DV461" s="34"/>
    </row>
    <row r="462" ht="15.75" customHeight="1">
      <c r="A462" s="34"/>
      <c r="B462" s="34"/>
      <c r="C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  <c r="DM462" s="34"/>
      <c r="DN462" s="34"/>
      <c r="DO462" s="34"/>
      <c r="DP462" s="34"/>
      <c r="DQ462" s="34"/>
      <c r="DR462" s="34"/>
      <c r="DS462" s="34"/>
      <c r="DT462" s="34"/>
      <c r="DU462" s="34"/>
      <c r="DV462" s="34"/>
    </row>
    <row r="463" ht="15.75" customHeight="1">
      <c r="A463" s="34"/>
      <c r="B463" s="34"/>
      <c r="C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</row>
    <row r="464" ht="15.75" customHeight="1">
      <c r="A464" s="34"/>
      <c r="B464" s="34"/>
      <c r="C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A464" s="34"/>
      <c r="DB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  <c r="DM464" s="34"/>
      <c r="DN464" s="34"/>
      <c r="DO464" s="34"/>
      <c r="DP464" s="34"/>
      <c r="DQ464" s="34"/>
      <c r="DR464" s="34"/>
      <c r="DS464" s="34"/>
      <c r="DT464" s="34"/>
      <c r="DU464" s="34"/>
      <c r="DV464" s="34"/>
    </row>
    <row r="465" ht="15.75" customHeight="1">
      <c r="A465" s="34"/>
      <c r="B465" s="34"/>
      <c r="C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  <c r="DM465" s="34"/>
      <c r="DN465" s="34"/>
      <c r="DO465" s="34"/>
      <c r="DP465" s="34"/>
      <c r="DQ465" s="34"/>
      <c r="DR465" s="34"/>
      <c r="DS465" s="34"/>
      <c r="DT465" s="34"/>
      <c r="DU465" s="34"/>
      <c r="DV465" s="34"/>
    </row>
    <row r="466" ht="15.75" customHeight="1">
      <c r="A466" s="34"/>
      <c r="B466" s="34"/>
      <c r="C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  <c r="DM466" s="34"/>
      <c r="DN466" s="34"/>
      <c r="DO466" s="34"/>
      <c r="DP466" s="34"/>
      <c r="DQ466" s="34"/>
      <c r="DR466" s="34"/>
      <c r="DS466" s="34"/>
      <c r="DT466" s="34"/>
      <c r="DU466" s="34"/>
      <c r="DV466" s="34"/>
    </row>
    <row r="467" ht="15.75" customHeight="1">
      <c r="A467" s="34"/>
      <c r="B467" s="34"/>
      <c r="C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A467" s="34"/>
      <c r="DB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  <c r="DM467" s="34"/>
      <c r="DN467" s="34"/>
      <c r="DO467" s="34"/>
      <c r="DP467" s="34"/>
      <c r="DQ467" s="34"/>
      <c r="DR467" s="34"/>
      <c r="DS467" s="34"/>
      <c r="DT467" s="34"/>
      <c r="DU467" s="34"/>
      <c r="DV467" s="34"/>
    </row>
    <row r="468" ht="15.75" customHeight="1">
      <c r="A468" s="34"/>
      <c r="B468" s="34"/>
      <c r="C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A468" s="34"/>
      <c r="DB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  <c r="DM468" s="34"/>
      <c r="DN468" s="34"/>
      <c r="DO468" s="34"/>
      <c r="DP468" s="34"/>
      <c r="DQ468" s="34"/>
      <c r="DR468" s="34"/>
      <c r="DS468" s="34"/>
      <c r="DT468" s="34"/>
      <c r="DU468" s="34"/>
      <c r="DV468" s="34"/>
    </row>
    <row r="469" ht="15.75" customHeight="1">
      <c r="A469" s="34"/>
      <c r="B469" s="34"/>
      <c r="C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A469" s="34"/>
      <c r="DB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  <c r="DM469" s="34"/>
      <c r="DN469" s="34"/>
      <c r="DO469" s="34"/>
      <c r="DP469" s="34"/>
      <c r="DQ469" s="34"/>
      <c r="DR469" s="34"/>
      <c r="DS469" s="34"/>
      <c r="DT469" s="34"/>
      <c r="DU469" s="34"/>
      <c r="DV469" s="34"/>
    </row>
    <row r="470" ht="15.75" customHeight="1">
      <c r="A470" s="34"/>
      <c r="B470" s="34"/>
      <c r="C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  <c r="DM470" s="34"/>
      <c r="DN470" s="34"/>
      <c r="DO470" s="34"/>
      <c r="DP470" s="34"/>
      <c r="DQ470" s="34"/>
      <c r="DR470" s="34"/>
      <c r="DS470" s="34"/>
      <c r="DT470" s="34"/>
      <c r="DU470" s="34"/>
      <c r="DV470" s="34"/>
    </row>
    <row r="471" ht="15.75" customHeight="1">
      <c r="A471" s="34"/>
      <c r="B471" s="34"/>
      <c r="C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A471" s="34"/>
      <c r="DB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  <c r="DM471" s="34"/>
      <c r="DN471" s="34"/>
      <c r="DO471" s="34"/>
      <c r="DP471" s="34"/>
      <c r="DQ471" s="34"/>
      <c r="DR471" s="34"/>
      <c r="DS471" s="34"/>
      <c r="DT471" s="34"/>
      <c r="DU471" s="34"/>
      <c r="DV471" s="34"/>
    </row>
    <row r="472" ht="15.75" customHeight="1">
      <c r="A472" s="34"/>
      <c r="B472" s="34"/>
      <c r="C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A472" s="34"/>
      <c r="DB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  <c r="DM472" s="34"/>
      <c r="DN472" s="34"/>
      <c r="DO472" s="34"/>
      <c r="DP472" s="34"/>
      <c r="DQ472" s="34"/>
      <c r="DR472" s="34"/>
      <c r="DS472" s="34"/>
      <c r="DT472" s="34"/>
      <c r="DU472" s="34"/>
      <c r="DV472" s="34"/>
    </row>
    <row r="473" ht="15.75" customHeight="1">
      <c r="A473" s="34"/>
      <c r="B473" s="34"/>
      <c r="C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A473" s="34"/>
      <c r="DB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  <c r="DM473" s="34"/>
      <c r="DN473" s="34"/>
      <c r="DO473" s="34"/>
      <c r="DP473" s="34"/>
      <c r="DQ473" s="34"/>
      <c r="DR473" s="34"/>
      <c r="DS473" s="34"/>
      <c r="DT473" s="34"/>
      <c r="DU473" s="34"/>
      <c r="DV473" s="34"/>
    </row>
    <row r="474" ht="15.75" customHeight="1">
      <c r="A474" s="34"/>
      <c r="B474" s="34"/>
      <c r="C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A474" s="34"/>
      <c r="DB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  <c r="DM474" s="34"/>
      <c r="DN474" s="34"/>
      <c r="DO474" s="34"/>
      <c r="DP474" s="34"/>
      <c r="DQ474" s="34"/>
      <c r="DR474" s="34"/>
      <c r="DS474" s="34"/>
      <c r="DT474" s="34"/>
      <c r="DU474" s="34"/>
      <c r="DV474" s="34"/>
    </row>
    <row r="475" ht="15.75" customHeight="1">
      <c r="A475" s="34"/>
      <c r="B475" s="34"/>
      <c r="C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A475" s="34"/>
      <c r="DB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  <c r="DM475" s="34"/>
      <c r="DN475" s="34"/>
      <c r="DO475" s="34"/>
      <c r="DP475" s="34"/>
      <c r="DQ475" s="34"/>
      <c r="DR475" s="34"/>
      <c r="DS475" s="34"/>
      <c r="DT475" s="34"/>
      <c r="DU475" s="34"/>
      <c r="DV475" s="34"/>
    </row>
    <row r="476" ht="15.75" customHeight="1">
      <c r="A476" s="34"/>
      <c r="B476" s="34"/>
      <c r="C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A476" s="34"/>
      <c r="DB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  <c r="DM476" s="34"/>
      <c r="DN476" s="34"/>
      <c r="DO476" s="34"/>
      <c r="DP476" s="34"/>
      <c r="DQ476" s="34"/>
      <c r="DR476" s="34"/>
      <c r="DS476" s="34"/>
      <c r="DT476" s="34"/>
      <c r="DU476" s="34"/>
      <c r="DV476" s="34"/>
    </row>
    <row r="477" ht="15.75" customHeight="1">
      <c r="A477" s="34"/>
      <c r="B477" s="34"/>
      <c r="C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A477" s="34"/>
      <c r="DB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  <c r="DM477" s="34"/>
      <c r="DN477" s="34"/>
      <c r="DO477" s="34"/>
      <c r="DP477" s="34"/>
      <c r="DQ477" s="34"/>
      <c r="DR477" s="34"/>
      <c r="DS477" s="34"/>
      <c r="DT477" s="34"/>
      <c r="DU477" s="34"/>
      <c r="DV477" s="34"/>
    </row>
    <row r="478" ht="15.75" customHeight="1">
      <c r="A478" s="34"/>
      <c r="B478" s="34"/>
      <c r="C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A478" s="34"/>
      <c r="DB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  <c r="DM478" s="34"/>
      <c r="DN478" s="34"/>
      <c r="DO478" s="34"/>
      <c r="DP478" s="34"/>
      <c r="DQ478" s="34"/>
      <c r="DR478" s="34"/>
      <c r="DS478" s="34"/>
      <c r="DT478" s="34"/>
      <c r="DU478" s="34"/>
      <c r="DV478" s="34"/>
    </row>
    <row r="479" ht="15.75" customHeight="1">
      <c r="A479" s="34"/>
      <c r="B479" s="34"/>
      <c r="C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A479" s="34"/>
      <c r="DB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  <c r="DM479" s="34"/>
      <c r="DN479" s="34"/>
      <c r="DO479" s="34"/>
      <c r="DP479" s="34"/>
      <c r="DQ479" s="34"/>
      <c r="DR479" s="34"/>
      <c r="DS479" s="34"/>
      <c r="DT479" s="34"/>
      <c r="DU479" s="34"/>
      <c r="DV479" s="34"/>
    </row>
    <row r="480" ht="15.75" customHeight="1">
      <c r="A480" s="34"/>
      <c r="B480" s="34"/>
      <c r="C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A480" s="34"/>
      <c r="DB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  <c r="DM480" s="34"/>
      <c r="DN480" s="34"/>
      <c r="DO480" s="34"/>
      <c r="DP480" s="34"/>
      <c r="DQ480" s="34"/>
      <c r="DR480" s="34"/>
      <c r="DS480" s="34"/>
      <c r="DT480" s="34"/>
      <c r="DU480" s="34"/>
      <c r="DV480" s="34"/>
    </row>
    <row r="481" ht="15.75" customHeight="1">
      <c r="A481" s="34"/>
      <c r="B481" s="34"/>
      <c r="C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A481" s="34"/>
      <c r="DB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  <c r="DM481" s="34"/>
      <c r="DN481" s="34"/>
      <c r="DO481" s="34"/>
      <c r="DP481" s="34"/>
      <c r="DQ481" s="34"/>
      <c r="DR481" s="34"/>
      <c r="DS481" s="34"/>
      <c r="DT481" s="34"/>
      <c r="DU481" s="34"/>
      <c r="DV481" s="34"/>
    </row>
    <row r="482" ht="15.75" customHeight="1">
      <c r="A482" s="34"/>
      <c r="B482" s="34"/>
      <c r="C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A482" s="34"/>
      <c r="DB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  <c r="DM482" s="34"/>
      <c r="DN482" s="34"/>
      <c r="DO482" s="34"/>
      <c r="DP482" s="34"/>
      <c r="DQ482" s="34"/>
      <c r="DR482" s="34"/>
      <c r="DS482" s="34"/>
      <c r="DT482" s="34"/>
      <c r="DU482" s="34"/>
      <c r="DV482" s="34"/>
    </row>
    <row r="483" ht="15.75" customHeight="1">
      <c r="A483" s="34"/>
      <c r="B483" s="34"/>
      <c r="C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A483" s="34"/>
      <c r="DB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  <c r="DM483" s="34"/>
      <c r="DN483" s="34"/>
      <c r="DO483" s="34"/>
      <c r="DP483" s="34"/>
      <c r="DQ483" s="34"/>
      <c r="DR483" s="34"/>
      <c r="DS483" s="34"/>
      <c r="DT483" s="34"/>
      <c r="DU483" s="34"/>
      <c r="DV483" s="34"/>
    </row>
    <row r="484" ht="15.75" customHeight="1">
      <c r="A484" s="34"/>
      <c r="B484" s="34"/>
      <c r="C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A484" s="34"/>
      <c r="DB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  <c r="DM484" s="34"/>
      <c r="DN484" s="34"/>
      <c r="DO484" s="34"/>
      <c r="DP484" s="34"/>
      <c r="DQ484" s="34"/>
      <c r="DR484" s="34"/>
      <c r="DS484" s="34"/>
      <c r="DT484" s="34"/>
      <c r="DU484" s="34"/>
      <c r="DV484" s="34"/>
    </row>
    <row r="485" ht="15.75" customHeight="1">
      <c r="A485" s="34"/>
      <c r="B485" s="34"/>
      <c r="C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A485" s="34"/>
      <c r="DB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  <c r="DM485" s="34"/>
      <c r="DN485" s="34"/>
      <c r="DO485" s="34"/>
      <c r="DP485" s="34"/>
      <c r="DQ485" s="34"/>
      <c r="DR485" s="34"/>
      <c r="DS485" s="34"/>
      <c r="DT485" s="34"/>
      <c r="DU485" s="34"/>
      <c r="DV485" s="34"/>
    </row>
    <row r="486" ht="15.75" customHeight="1">
      <c r="A486" s="34"/>
      <c r="B486" s="34"/>
      <c r="C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A486" s="34"/>
      <c r="DB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  <c r="DM486" s="34"/>
      <c r="DN486" s="34"/>
      <c r="DO486" s="34"/>
      <c r="DP486" s="34"/>
      <c r="DQ486" s="34"/>
      <c r="DR486" s="34"/>
      <c r="DS486" s="34"/>
      <c r="DT486" s="34"/>
      <c r="DU486" s="34"/>
      <c r="DV486" s="34"/>
    </row>
    <row r="487" ht="15.75" customHeight="1">
      <c r="A487" s="34"/>
      <c r="B487" s="34"/>
      <c r="C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A487" s="34"/>
      <c r="DB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  <c r="DM487" s="34"/>
      <c r="DN487" s="34"/>
      <c r="DO487" s="34"/>
      <c r="DP487" s="34"/>
      <c r="DQ487" s="34"/>
      <c r="DR487" s="34"/>
      <c r="DS487" s="34"/>
      <c r="DT487" s="34"/>
      <c r="DU487" s="34"/>
      <c r="DV487" s="34"/>
    </row>
    <row r="488" ht="15.75" customHeight="1">
      <c r="A488" s="34"/>
      <c r="B488" s="34"/>
      <c r="C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A488" s="34"/>
      <c r="DB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  <c r="DM488" s="34"/>
      <c r="DN488" s="34"/>
      <c r="DO488" s="34"/>
      <c r="DP488" s="34"/>
      <c r="DQ488" s="34"/>
      <c r="DR488" s="34"/>
      <c r="DS488" s="34"/>
      <c r="DT488" s="34"/>
      <c r="DU488" s="34"/>
      <c r="DV488" s="34"/>
    </row>
    <row r="489" ht="15.75" customHeight="1">
      <c r="A489" s="34"/>
      <c r="B489" s="34"/>
      <c r="C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A489" s="34"/>
      <c r="DB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  <c r="DM489" s="34"/>
      <c r="DN489" s="34"/>
      <c r="DO489" s="34"/>
      <c r="DP489" s="34"/>
      <c r="DQ489" s="34"/>
      <c r="DR489" s="34"/>
      <c r="DS489" s="34"/>
      <c r="DT489" s="34"/>
      <c r="DU489" s="34"/>
      <c r="DV489" s="34"/>
    </row>
    <row r="490" ht="15.75" customHeight="1">
      <c r="A490" s="34"/>
      <c r="B490" s="34"/>
      <c r="C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A490" s="34"/>
      <c r="DB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  <c r="DM490" s="34"/>
      <c r="DN490" s="34"/>
      <c r="DO490" s="34"/>
      <c r="DP490" s="34"/>
      <c r="DQ490" s="34"/>
      <c r="DR490" s="34"/>
      <c r="DS490" s="34"/>
      <c r="DT490" s="34"/>
      <c r="DU490" s="34"/>
      <c r="DV490" s="34"/>
    </row>
    <row r="491" ht="15.75" customHeight="1">
      <c r="A491" s="34"/>
      <c r="B491" s="34"/>
      <c r="C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A491" s="34"/>
      <c r="DB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  <c r="DM491" s="34"/>
      <c r="DN491" s="34"/>
      <c r="DO491" s="34"/>
      <c r="DP491" s="34"/>
      <c r="DQ491" s="34"/>
      <c r="DR491" s="34"/>
      <c r="DS491" s="34"/>
      <c r="DT491" s="34"/>
      <c r="DU491" s="34"/>
      <c r="DV491" s="34"/>
    </row>
    <row r="492" ht="15.75" customHeight="1">
      <c r="A492" s="34"/>
      <c r="B492" s="34"/>
      <c r="C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A492" s="34"/>
      <c r="DB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  <c r="DM492" s="34"/>
      <c r="DN492" s="34"/>
      <c r="DO492" s="34"/>
      <c r="DP492" s="34"/>
      <c r="DQ492" s="34"/>
      <c r="DR492" s="34"/>
      <c r="DS492" s="34"/>
      <c r="DT492" s="34"/>
      <c r="DU492" s="34"/>
      <c r="DV492" s="34"/>
    </row>
    <row r="493" ht="15.75" customHeight="1">
      <c r="A493" s="34"/>
      <c r="B493" s="34"/>
      <c r="C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  <c r="DM493" s="34"/>
      <c r="DN493" s="34"/>
      <c r="DO493" s="34"/>
      <c r="DP493" s="34"/>
      <c r="DQ493" s="34"/>
      <c r="DR493" s="34"/>
      <c r="DS493" s="34"/>
      <c r="DT493" s="34"/>
      <c r="DU493" s="34"/>
      <c r="DV493" s="34"/>
    </row>
    <row r="494" ht="15.75" customHeight="1">
      <c r="A494" s="34"/>
      <c r="B494" s="34"/>
      <c r="C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  <c r="DM494" s="34"/>
      <c r="DN494" s="34"/>
      <c r="DO494" s="34"/>
      <c r="DP494" s="34"/>
      <c r="DQ494" s="34"/>
      <c r="DR494" s="34"/>
      <c r="DS494" s="34"/>
      <c r="DT494" s="34"/>
      <c r="DU494" s="34"/>
      <c r="DV494" s="34"/>
    </row>
    <row r="495" ht="15.75" customHeight="1">
      <c r="A495" s="34"/>
      <c r="B495" s="34"/>
      <c r="C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  <c r="DM495" s="34"/>
      <c r="DN495" s="34"/>
      <c r="DO495" s="34"/>
      <c r="DP495" s="34"/>
      <c r="DQ495" s="34"/>
      <c r="DR495" s="34"/>
      <c r="DS495" s="34"/>
      <c r="DT495" s="34"/>
      <c r="DU495" s="34"/>
      <c r="DV495" s="34"/>
    </row>
    <row r="496" ht="15.75" customHeight="1">
      <c r="A496" s="34"/>
      <c r="B496" s="34"/>
      <c r="C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  <c r="DM496" s="34"/>
      <c r="DN496" s="34"/>
      <c r="DO496" s="34"/>
      <c r="DP496" s="34"/>
      <c r="DQ496" s="34"/>
      <c r="DR496" s="34"/>
      <c r="DS496" s="34"/>
      <c r="DT496" s="34"/>
      <c r="DU496" s="34"/>
      <c r="DV496" s="34"/>
    </row>
    <row r="497" ht="15.75" customHeight="1">
      <c r="A497" s="34"/>
      <c r="B497" s="34"/>
      <c r="C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  <c r="DM497" s="34"/>
      <c r="DN497" s="34"/>
      <c r="DO497" s="34"/>
      <c r="DP497" s="34"/>
      <c r="DQ497" s="34"/>
      <c r="DR497" s="34"/>
      <c r="DS497" s="34"/>
      <c r="DT497" s="34"/>
      <c r="DU497" s="34"/>
      <c r="DV497" s="34"/>
    </row>
    <row r="498" ht="15.75" customHeight="1">
      <c r="A498" s="34"/>
      <c r="B498" s="34"/>
      <c r="C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  <c r="DM498" s="34"/>
      <c r="DN498" s="34"/>
      <c r="DO498" s="34"/>
      <c r="DP498" s="34"/>
      <c r="DQ498" s="34"/>
      <c r="DR498" s="34"/>
      <c r="DS498" s="34"/>
      <c r="DT498" s="34"/>
      <c r="DU498" s="34"/>
      <c r="DV498" s="34"/>
    </row>
    <row r="499" ht="15.75" customHeight="1">
      <c r="A499" s="34"/>
      <c r="B499" s="34"/>
      <c r="C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  <c r="DM499" s="34"/>
      <c r="DN499" s="34"/>
      <c r="DO499" s="34"/>
      <c r="DP499" s="34"/>
      <c r="DQ499" s="34"/>
      <c r="DR499" s="34"/>
      <c r="DS499" s="34"/>
      <c r="DT499" s="34"/>
      <c r="DU499" s="34"/>
      <c r="DV499" s="34"/>
    </row>
    <row r="500" ht="15.75" customHeight="1">
      <c r="A500" s="34"/>
      <c r="B500" s="34"/>
      <c r="C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  <c r="DM500" s="34"/>
      <c r="DN500" s="34"/>
      <c r="DO500" s="34"/>
      <c r="DP500" s="34"/>
      <c r="DQ500" s="34"/>
      <c r="DR500" s="34"/>
      <c r="DS500" s="34"/>
      <c r="DT500" s="34"/>
      <c r="DU500" s="34"/>
      <c r="DV500" s="34"/>
    </row>
    <row r="501" ht="15.75" customHeight="1">
      <c r="A501" s="34"/>
      <c r="B501" s="34"/>
      <c r="C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  <c r="DM501" s="34"/>
      <c r="DN501" s="34"/>
      <c r="DO501" s="34"/>
      <c r="DP501" s="34"/>
      <c r="DQ501" s="34"/>
      <c r="DR501" s="34"/>
      <c r="DS501" s="34"/>
      <c r="DT501" s="34"/>
      <c r="DU501" s="34"/>
      <c r="DV501" s="34"/>
    </row>
    <row r="502" ht="15.75" customHeight="1">
      <c r="A502" s="34"/>
      <c r="B502" s="34"/>
      <c r="C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  <c r="DM502" s="34"/>
      <c r="DN502" s="34"/>
      <c r="DO502" s="34"/>
      <c r="DP502" s="34"/>
      <c r="DQ502" s="34"/>
      <c r="DR502" s="34"/>
      <c r="DS502" s="34"/>
      <c r="DT502" s="34"/>
      <c r="DU502" s="34"/>
      <c r="DV502" s="34"/>
    </row>
    <row r="503" ht="15.75" customHeight="1">
      <c r="A503" s="34"/>
      <c r="B503" s="34"/>
      <c r="C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A503" s="34"/>
      <c r="DB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  <c r="DM503" s="34"/>
      <c r="DN503" s="34"/>
      <c r="DO503" s="34"/>
      <c r="DP503" s="34"/>
      <c r="DQ503" s="34"/>
      <c r="DR503" s="34"/>
      <c r="DS503" s="34"/>
      <c r="DT503" s="34"/>
      <c r="DU503" s="34"/>
      <c r="DV503" s="34"/>
    </row>
    <row r="504" ht="15.75" customHeight="1">
      <c r="A504" s="34"/>
      <c r="B504" s="34"/>
      <c r="C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A504" s="34"/>
      <c r="DB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  <c r="DM504" s="34"/>
      <c r="DN504" s="34"/>
      <c r="DO504" s="34"/>
      <c r="DP504" s="34"/>
      <c r="DQ504" s="34"/>
      <c r="DR504" s="34"/>
      <c r="DS504" s="34"/>
      <c r="DT504" s="34"/>
      <c r="DU504" s="34"/>
      <c r="DV504" s="34"/>
    </row>
    <row r="505" ht="15.75" customHeight="1">
      <c r="A505" s="34"/>
      <c r="B505" s="34"/>
      <c r="C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A505" s="34"/>
      <c r="DB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  <c r="DM505" s="34"/>
      <c r="DN505" s="34"/>
      <c r="DO505" s="34"/>
      <c r="DP505" s="34"/>
      <c r="DQ505" s="34"/>
      <c r="DR505" s="34"/>
      <c r="DS505" s="34"/>
      <c r="DT505" s="34"/>
      <c r="DU505" s="34"/>
      <c r="DV505" s="34"/>
    </row>
    <row r="506" ht="15.75" customHeight="1">
      <c r="A506" s="34"/>
      <c r="B506" s="34"/>
      <c r="C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A506" s="34"/>
      <c r="DB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  <c r="DM506" s="34"/>
      <c r="DN506" s="34"/>
      <c r="DO506" s="34"/>
      <c r="DP506" s="34"/>
      <c r="DQ506" s="34"/>
      <c r="DR506" s="34"/>
      <c r="DS506" s="34"/>
      <c r="DT506" s="34"/>
      <c r="DU506" s="34"/>
      <c r="DV506" s="34"/>
    </row>
    <row r="507" ht="15.75" customHeight="1">
      <c r="A507" s="34"/>
      <c r="B507" s="34"/>
      <c r="C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A507" s="34"/>
      <c r="DB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  <c r="DM507" s="34"/>
      <c r="DN507" s="34"/>
      <c r="DO507" s="34"/>
      <c r="DP507" s="34"/>
      <c r="DQ507" s="34"/>
      <c r="DR507" s="34"/>
      <c r="DS507" s="34"/>
      <c r="DT507" s="34"/>
      <c r="DU507" s="34"/>
      <c r="DV507" s="34"/>
    </row>
    <row r="508" ht="15.75" customHeight="1">
      <c r="A508" s="34"/>
      <c r="B508" s="34"/>
      <c r="C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A508" s="34"/>
      <c r="DB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  <c r="DM508" s="34"/>
      <c r="DN508" s="34"/>
      <c r="DO508" s="34"/>
      <c r="DP508" s="34"/>
      <c r="DQ508" s="34"/>
      <c r="DR508" s="34"/>
      <c r="DS508" s="34"/>
      <c r="DT508" s="34"/>
      <c r="DU508" s="34"/>
      <c r="DV508" s="34"/>
    </row>
    <row r="509" ht="15.75" customHeight="1">
      <c r="A509" s="34"/>
      <c r="B509" s="34"/>
      <c r="C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A509" s="34"/>
      <c r="DB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  <c r="DM509" s="34"/>
      <c r="DN509" s="34"/>
      <c r="DO509" s="34"/>
      <c r="DP509" s="34"/>
      <c r="DQ509" s="34"/>
      <c r="DR509" s="34"/>
      <c r="DS509" s="34"/>
      <c r="DT509" s="34"/>
      <c r="DU509" s="34"/>
      <c r="DV509" s="34"/>
    </row>
    <row r="510" ht="15.75" customHeight="1">
      <c r="A510" s="34"/>
      <c r="B510" s="34"/>
      <c r="C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A510" s="34"/>
      <c r="DB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  <c r="DM510" s="34"/>
      <c r="DN510" s="34"/>
      <c r="DO510" s="34"/>
      <c r="DP510" s="34"/>
      <c r="DQ510" s="34"/>
      <c r="DR510" s="34"/>
      <c r="DS510" s="34"/>
      <c r="DT510" s="34"/>
      <c r="DU510" s="34"/>
      <c r="DV510" s="34"/>
    </row>
    <row r="511" ht="15.75" customHeight="1">
      <c r="A511" s="34"/>
      <c r="B511" s="34"/>
      <c r="C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  <c r="DM511" s="34"/>
      <c r="DN511" s="34"/>
      <c r="DO511" s="34"/>
      <c r="DP511" s="34"/>
      <c r="DQ511" s="34"/>
      <c r="DR511" s="34"/>
      <c r="DS511" s="34"/>
      <c r="DT511" s="34"/>
      <c r="DU511" s="34"/>
      <c r="DV511" s="34"/>
    </row>
    <row r="512" ht="15.75" customHeight="1">
      <c r="A512" s="34"/>
      <c r="B512" s="34"/>
      <c r="C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  <c r="DM512" s="34"/>
      <c r="DN512" s="34"/>
      <c r="DO512" s="34"/>
      <c r="DP512" s="34"/>
      <c r="DQ512" s="34"/>
      <c r="DR512" s="34"/>
      <c r="DS512" s="34"/>
      <c r="DT512" s="34"/>
      <c r="DU512" s="34"/>
      <c r="DV512" s="34"/>
    </row>
    <row r="513" ht="15.75" customHeight="1">
      <c r="A513" s="34"/>
      <c r="B513" s="34"/>
      <c r="C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A513" s="34"/>
      <c r="DB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  <c r="DM513" s="34"/>
      <c r="DN513" s="34"/>
      <c r="DO513" s="34"/>
      <c r="DP513" s="34"/>
      <c r="DQ513" s="34"/>
      <c r="DR513" s="34"/>
      <c r="DS513" s="34"/>
      <c r="DT513" s="34"/>
      <c r="DU513" s="34"/>
      <c r="DV513" s="34"/>
    </row>
    <row r="514" ht="15.75" customHeight="1">
      <c r="A514" s="34"/>
      <c r="B514" s="34"/>
      <c r="C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A514" s="34"/>
      <c r="DB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  <c r="DM514" s="34"/>
      <c r="DN514" s="34"/>
      <c r="DO514" s="34"/>
      <c r="DP514" s="34"/>
      <c r="DQ514" s="34"/>
      <c r="DR514" s="34"/>
      <c r="DS514" s="34"/>
      <c r="DT514" s="34"/>
      <c r="DU514" s="34"/>
      <c r="DV514" s="34"/>
    </row>
    <row r="515" ht="15.75" customHeight="1">
      <c r="A515" s="34"/>
      <c r="B515" s="34"/>
      <c r="C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A515" s="34"/>
      <c r="DB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  <c r="DM515" s="34"/>
      <c r="DN515" s="34"/>
      <c r="DO515" s="34"/>
      <c r="DP515" s="34"/>
      <c r="DQ515" s="34"/>
      <c r="DR515" s="34"/>
      <c r="DS515" s="34"/>
      <c r="DT515" s="34"/>
      <c r="DU515" s="34"/>
      <c r="DV515" s="34"/>
    </row>
    <row r="516" ht="15.75" customHeight="1">
      <c r="A516" s="34"/>
      <c r="B516" s="34"/>
      <c r="C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A516" s="34"/>
      <c r="DB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  <c r="DM516" s="34"/>
      <c r="DN516" s="34"/>
      <c r="DO516" s="34"/>
      <c r="DP516" s="34"/>
      <c r="DQ516" s="34"/>
      <c r="DR516" s="34"/>
      <c r="DS516" s="34"/>
      <c r="DT516" s="34"/>
      <c r="DU516" s="34"/>
      <c r="DV516" s="34"/>
    </row>
    <row r="517" ht="15.75" customHeight="1">
      <c r="A517" s="34"/>
      <c r="B517" s="34"/>
      <c r="C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A517" s="34"/>
      <c r="DB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  <c r="DM517" s="34"/>
      <c r="DN517" s="34"/>
      <c r="DO517" s="34"/>
      <c r="DP517" s="34"/>
      <c r="DQ517" s="34"/>
      <c r="DR517" s="34"/>
      <c r="DS517" s="34"/>
      <c r="DT517" s="34"/>
      <c r="DU517" s="34"/>
      <c r="DV517" s="34"/>
    </row>
    <row r="518" ht="15.75" customHeight="1">
      <c r="A518" s="34"/>
      <c r="B518" s="34"/>
      <c r="C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A518" s="34"/>
      <c r="DB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  <c r="DM518" s="34"/>
      <c r="DN518" s="34"/>
      <c r="DO518" s="34"/>
      <c r="DP518" s="34"/>
      <c r="DQ518" s="34"/>
      <c r="DR518" s="34"/>
      <c r="DS518" s="34"/>
      <c r="DT518" s="34"/>
      <c r="DU518" s="34"/>
      <c r="DV518" s="34"/>
    </row>
    <row r="519" ht="15.75" customHeight="1">
      <c r="A519" s="34"/>
      <c r="B519" s="34"/>
      <c r="C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A519" s="34"/>
      <c r="DB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  <c r="DM519" s="34"/>
      <c r="DN519" s="34"/>
      <c r="DO519" s="34"/>
      <c r="DP519" s="34"/>
      <c r="DQ519" s="34"/>
      <c r="DR519" s="34"/>
      <c r="DS519" s="34"/>
      <c r="DT519" s="34"/>
      <c r="DU519" s="34"/>
      <c r="DV519" s="34"/>
    </row>
    <row r="520" ht="15.75" customHeight="1">
      <c r="A520" s="34"/>
      <c r="B520" s="34"/>
      <c r="C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A520" s="34"/>
      <c r="DB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  <c r="DM520" s="34"/>
      <c r="DN520" s="34"/>
      <c r="DO520" s="34"/>
      <c r="DP520" s="34"/>
      <c r="DQ520" s="34"/>
      <c r="DR520" s="34"/>
      <c r="DS520" s="34"/>
      <c r="DT520" s="34"/>
      <c r="DU520" s="34"/>
      <c r="DV520" s="34"/>
    </row>
    <row r="521" ht="15.75" customHeight="1">
      <c r="A521" s="34"/>
      <c r="B521" s="34"/>
      <c r="C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A521" s="34"/>
      <c r="DB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  <c r="DM521" s="34"/>
      <c r="DN521" s="34"/>
      <c r="DO521" s="34"/>
      <c r="DP521" s="34"/>
      <c r="DQ521" s="34"/>
      <c r="DR521" s="34"/>
      <c r="DS521" s="34"/>
      <c r="DT521" s="34"/>
      <c r="DU521" s="34"/>
      <c r="DV521" s="34"/>
    </row>
    <row r="522" ht="15.75" customHeight="1">
      <c r="A522" s="34"/>
      <c r="B522" s="34"/>
      <c r="C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A522" s="34"/>
      <c r="DB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  <c r="DM522" s="34"/>
      <c r="DN522" s="34"/>
      <c r="DO522" s="34"/>
      <c r="DP522" s="34"/>
      <c r="DQ522" s="34"/>
      <c r="DR522" s="34"/>
      <c r="DS522" s="34"/>
      <c r="DT522" s="34"/>
      <c r="DU522" s="34"/>
      <c r="DV522" s="34"/>
    </row>
    <row r="523" ht="15.75" customHeight="1">
      <c r="A523" s="34"/>
      <c r="B523" s="34"/>
      <c r="C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A523" s="34"/>
      <c r="DB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  <c r="DM523" s="34"/>
      <c r="DN523" s="34"/>
      <c r="DO523" s="34"/>
      <c r="DP523" s="34"/>
      <c r="DQ523" s="34"/>
      <c r="DR523" s="34"/>
      <c r="DS523" s="34"/>
      <c r="DT523" s="34"/>
      <c r="DU523" s="34"/>
      <c r="DV523" s="34"/>
    </row>
    <row r="524" ht="15.75" customHeight="1">
      <c r="A524" s="34"/>
      <c r="B524" s="34"/>
      <c r="C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A524" s="34"/>
      <c r="DB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  <c r="DM524" s="34"/>
      <c r="DN524" s="34"/>
      <c r="DO524" s="34"/>
      <c r="DP524" s="34"/>
      <c r="DQ524" s="34"/>
      <c r="DR524" s="34"/>
      <c r="DS524" s="34"/>
      <c r="DT524" s="34"/>
      <c r="DU524" s="34"/>
      <c r="DV524" s="34"/>
    </row>
    <row r="525" ht="15.75" customHeight="1">
      <c r="A525" s="34"/>
      <c r="B525" s="34"/>
      <c r="C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A525" s="34"/>
      <c r="DB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  <c r="DM525" s="34"/>
      <c r="DN525" s="34"/>
      <c r="DO525" s="34"/>
      <c r="DP525" s="34"/>
      <c r="DQ525" s="34"/>
      <c r="DR525" s="34"/>
      <c r="DS525" s="34"/>
      <c r="DT525" s="34"/>
      <c r="DU525" s="34"/>
      <c r="DV525" s="34"/>
    </row>
    <row r="526" ht="15.75" customHeight="1">
      <c r="A526" s="34"/>
      <c r="B526" s="34"/>
      <c r="C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A526" s="34"/>
      <c r="DB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  <c r="DM526" s="34"/>
      <c r="DN526" s="34"/>
      <c r="DO526" s="34"/>
      <c r="DP526" s="34"/>
      <c r="DQ526" s="34"/>
      <c r="DR526" s="34"/>
      <c r="DS526" s="34"/>
      <c r="DT526" s="34"/>
      <c r="DU526" s="34"/>
      <c r="DV526" s="34"/>
    </row>
    <row r="527" ht="15.75" customHeight="1">
      <c r="A527" s="34"/>
      <c r="B527" s="34"/>
      <c r="C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A527" s="34"/>
      <c r="DB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  <c r="DM527" s="34"/>
      <c r="DN527" s="34"/>
      <c r="DO527" s="34"/>
      <c r="DP527" s="34"/>
      <c r="DQ527" s="34"/>
      <c r="DR527" s="34"/>
      <c r="DS527" s="34"/>
      <c r="DT527" s="34"/>
      <c r="DU527" s="34"/>
      <c r="DV527" s="34"/>
    </row>
    <row r="528" ht="15.75" customHeight="1">
      <c r="A528" s="34"/>
      <c r="B528" s="34"/>
      <c r="C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A528" s="34"/>
      <c r="DB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  <c r="DM528" s="34"/>
      <c r="DN528" s="34"/>
      <c r="DO528" s="34"/>
      <c r="DP528" s="34"/>
      <c r="DQ528" s="34"/>
      <c r="DR528" s="34"/>
      <c r="DS528" s="34"/>
      <c r="DT528" s="34"/>
      <c r="DU528" s="34"/>
      <c r="DV528" s="34"/>
    </row>
    <row r="529" ht="15.75" customHeight="1">
      <c r="A529" s="34"/>
      <c r="B529" s="34"/>
      <c r="C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  <c r="DM529" s="34"/>
      <c r="DN529" s="34"/>
      <c r="DO529" s="34"/>
      <c r="DP529" s="34"/>
      <c r="DQ529" s="34"/>
      <c r="DR529" s="34"/>
      <c r="DS529" s="34"/>
      <c r="DT529" s="34"/>
      <c r="DU529" s="34"/>
      <c r="DV529" s="34"/>
    </row>
    <row r="530" ht="15.75" customHeight="1">
      <c r="A530" s="34"/>
      <c r="B530" s="34"/>
      <c r="C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A530" s="34"/>
      <c r="DB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  <c r="DM530" s="34"/>
      <c r="DN530" s="34"/>
      <c r="DO530" s="34"/>
      <c r="DP530" s="34"/>
      <c r="DQ530" s="34"/>
      <c r="DR530" s="34"/>
      <c r="DS530" s="34"/>
      <c r="DT530" s="34"/>
      <c r="DU530" s="34"/>
      <c r="DV530" s="34"/>
    </row>
    <row r="531" ht="15.75" customHeight="1">
      <c r="A531" s="34"/>
      <c r="B531" s="34"/>
      <c r="C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A531" s="34"/>
      <c r="DB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  <c r="DM531" s="34"/>
      <c r="DN531" s="34"/>
      <c r="DO531" s="34"/>
      <c r="DP531" s="34"/>
      <c r="DQ531" s="34"/>
      <c r="DR531" s="34"/>
      <c r="DS531" s="34"/>
      <c r="DT531" s="34"/>
      <c r="DU531" s="34"/>
      <c r="DV531" s="34"/>
    </row>
    <row r="532" ht="15.75" customHeight="1">
      <c r="A532" s="34"/>
      <c r="B532" s="34"/>
      <c r="C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A532" s="34"/>
      <c r="DB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  <c r="DM532" s="34"/>
      <c r="DN532" s="34"/>
      <c r="DO532" s="34"/>
      <c r="DP532" s="34"/>
      <c r="DQ532" s="34"/>
      <c r="DR532" s="34"/>
      <c r="DS532" s="34"/>
      <c r="DT532" s="34"/>
      <c r="DU532" s="34"/>
      <c r="DV532" s="34"/>
    </row>
    <row r="533" ht="15.75" customHeight="1">
      <c r="A533" s="34"/>
      <c r="B533" s="34"/>
      <c r="C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A533" s="34"/>
      <c r="DB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  <c r="DM533" s="34"/>
      <c r="DN533" s="34"/>
      <c r="DO533" s="34"/>
      <c r="DP533" s="34"/>
      <c r="DQ533" s="34"/>
      <c r="DR533" s="34"/>
      <c r="DS533" s="34"/>
      <c r="DT533" s="34"/>
      <c r="DU533" s="34"/>
      <c r="DV533" s="34"/>
    </row>
    <row r="534" ht="15.75" customHeight="1">
      <c r="A534" s="34"/>
      <c r="B534" s="34"/>
      <c r="C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A534" s="34"/>
      <c r="DB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  <c r="DM534" s="34"/>
      <c r="DN534" s="34"/>
      <c r="DO534" s="34"/>
      <c r="DP534" s="34"/>
      <c r="DQ534" s="34"/>
      <c r="DR534" s="34"/>
      <c r="DS534" s="34"/>
      <c r="DT534" s="34"/>
      <c r="DU534" s="34"/>
      <c r="DV534" s="34"/>
    </row>
    <row r="535" ht="15.75" customHeight="1">
      <c r="A535" s="34"/>
      <c r="B535" s="34"/>
      <c r="C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A535" s="34"/>
      <c r="DB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  <c r="DM535" s="34"/>
      <c r="DN535" s="34"/>
      <c r="DO535" s="34"/>
      <c r="DP535" s="34"/>
      <c r="DQ535" s="34"/>
      <c r="DR535" s="34"/>
      <c r="DS535" s="34"/>
      <c r="DT535" s="34"/>
      <c r="DU535" s="34"/>
      <c r="DV535" s="34"/>
    </row>
    <row r="536" ht="15.75" customHeight="1">
      <c r="A536" s="34"/>
      <c r="B536" s="34"/>
      <c r="C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A536" s="34"/>
      <c r="DB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  <c r="DM536" s="34"/>
      <c r="DN536" s="34"/>
      <c r="DO536" s="34"/>
      <c r="DP536" s="34"/>
      <c r="DQ536" s="34"/>
      <c r="DR536" s="34"/>
      <c r="DS536" s="34"/>
      <c r="DT536" s="34"/>
      <c r="DU536" s="34"/>
      <c r="DV536" s="34"/>
    </row>
    <row r="537" ht="15.75" customHeight="1">
      <c r="A537" s="34"/>
      <c r="B537" s="34"/>
      <c r="C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A537" s="34"/>
      <c r="DB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  <c r="DM537" s="34"/>
      <c r="DN537" s="34"/>
      <c r="DO537" s="34"/>
      <c r="DP537" s="34"/>
      <c r="DQ537" s="34"/>
      <c r="DR537" s="34"/>
      <c r="DS537" s="34"/>
      <c r="DT537" s="34"/>
      <c r="DU537" s="34"/>
      <c r="DV537" s="34"/>
    </row>
    <row r="538" ht="15.75" customHeight="1">
      <c r="A538" s="34"/>
      <c r="B538" s="34"/>
      <c r="C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  <c r="DM538" s="34"/>
      <c r="DN538" s="34"/>
      <c r="DO538" s="34"/>
      <c r="DP538" s="34"/>
      <c r="DQ538" s="34"/>
      <c r="DR538" s="34"/>
      <c r="DS538" s="34"/>
      <c r="DT538" s="34"/>
      <c r="DU538" s="34"/>
      <c r="DV538" s="34"/>
    </row>
    <row r="539" ht="15.75" customHeight="1">
      <c r="A539" s="34"/>
      <c r="B539" s="34"/>
      <c r="C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A539" s="34"/>
      <c r="DB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  <c r="DM539" s="34"/>
      <c r="DN539" s="34"/>
      <c r="DO539" s="34"/>
      <c r="DP539" s="34"/>
      <c r="DQ539" s="34"/>
      <c r="DR539" s="34"/>
      <c r="DS539" s="34"/>
      <c r="DT539" s="34"/>
      <c r="DU539" s="34"/>
      <c r="DV539" s="34"/>
    </row>
    <row r="540" ht="15.75" customHeight="1">
      <c r="A540" s="34"/>
      <c r="B540" s="34"/>
      <c r="C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A540" s="34"/>
      <c r="DB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  <c r="DM540" s="34"/>
      <c r="DN540" s="34"/>
      <c r="DO540" s="34"/>
      <c r="DP540" s="34"/>
      <c r="DQ540" s="34"/>
      <c r="DR540" s="34"/>
      <c r="DS540" s="34"/>
      <c r="DT540" s="34"/>
      <c r="DU540" s="34"/>
      <c r="DV540" s="34"/>
    </row>
    <row r="541" ht="15.75" customHeight="1">
      <c r="A541" s="34"/>
      <c r="B541" s="34"/>
      <c r="C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A541" s="34"/>
      <c r="DB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  <c r="DM541" s="34"/>
      <c r="DN541" s="34"/>
      <c r="DO541" s="34"/>
      <c r="DP541" s="34"/>
      <c r="DQ541" s="34"/>
      <c r="DR541" s="34"/>
      <c r="DS541" s="34"/>
      <c r="DT541" s="34"/>
      <c r="DU541" s="34"/>
      <c r="DV541" s="34"/>
    </row>
    <row r="542" ht="15.75" customHeight="1">
      <c r="A542" s="34"/>
      <c r="B542" s="34"/>
      <c r="C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A542" s="34"/>
      <c r="DB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  <c r="DM542" s="34"/>
      <c r="DN542" s="34"/>
      <c r="DO542" s="34"/>
      <c r="DP542" s="34"/>
      <c r="DQ542" s="34"/>
      <c r="DR542" s="34"/>
      <c r="DS542" s="34"/>
      <c r="DT542" s="34"/>
      <c r="DU542" s="34"/>
      <c r="DV542" s="34"/>
    </row>
    <row r="543" ht="15.75" customHeight="1">
      <c r="A543" s="34"/>
      <c r="B543" s="34"/>
      <c r="C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A543" s="34"/>
      <c r="DB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  <c r="DM543" s="34"/>
      <c r="DN543" s="34"/>
      <c r="DO543" s="34"/>
      <c r="DP543" s="34"/>
      <c r="DQ543" s="34"/>
      <c r="DR543" s="34"/>
      <c r="DS543" s="34"/>
      <c r="DT543" s="34"/>
      <c r="DU543" s="34"/>
      <c r="DV543" s="34"/>
    </row>
    <row r="544" ht="15.75" customHeight="1">
      <c r="A544" s="34"/>
      <c r="B544" s="34"/>
      <c r="C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A544" s="34"/>
      <c r="DB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  <c r="DM544" s="34"/>
      <c r="DN544" s="34"/>
      <c r="DO544" s="34"/>
      <c r="DP544" s="34"/>
      <c r="DQ544" s="34"/>
      <c r="DR544" s="34"/>
      <c r="DS544" s="34"/>
      <c r="DT544" s="34"/>
      <c r="DU544" s="34"/>
      <c r="DV544" s="34"/>
    </row>
    <row r="545" ht="15.75" customHeight="1">
      <c r="A545" s="34"/>
      <c r="B545" s="34"/>
      <c r="C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A545" s="34"/>
      <c r="DB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  <c r="DM545" s="34"/>
      <c r="DN545" s="34"/>
      <c r="DO545" s="34"/>
      <c r="DP545" s="34"/>
      <c r="DQ545" s="34"/>
      <c r="DR545" s="34"/>
      <c r="DS545" s="34"/>
      <c r="DT545" s="34"/>
      <c r="DU545" s="34"/>
      <c r="DV545" s="34"/>
    </row>
    <row r="546" ht="15.75" customHeight="1">
      <c r="A546" s="34"/>
      <c r="B546" s="34"/>
      <c r="C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A546" s="34"/>
      <c r="DB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  <c r="DM546" s="34"/>
      <c r="DN546" s="34"/>
      <c r="DO546" s="34"/>
      <c r="DP546" s="34"/>
      <c r="DQ546" s="34"/>
      <c r="DR546" s="34"/>
      <c r="DS546" s="34"/>
      <c r="DT546" s="34"/>
      <c r="DU546" s="34"/>
      <c r="DV546" s="34"/>
    </row>
    <row r="547" ht="15.75" customHeight="1">
      <c r="A547" s="34"/>
      <c r="B547" s="34"/>
      <c r="C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A547" s="34"/>
      <c r="DB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  <c r="DM547" s="34"/>
      <c r="DN547" s="34"/>
      <c r="DO547" s="34"/>
      <c r="DP547" s="34"/>
      <c r="DQ547" s="34"/>
      <c r="DR547" s="34"/>
      <c r="DS547" s="34"/>
      <c r="DT547" s="34"/>
      <c r="DU547" s="34"/>
      <c r="DV547" s="34"/>
    </row>
    <row r="548" ht="15.75" customHeight="1">
      <c r="A548" s="34"/>
      <c r="B548" s="34"/>
      <c r="C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A548" s="34"/>
      <c r="DB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  <c r="DM548" s="34"/>
      <c r="DN548" s="34"/>
      <c r="DO548" s="34"/>
      <c r="DP548" s="34"/>
      <c r="DQ548" s="34"/>
      <c r="DR548" s="34"/>
      <c r="DS548" s="34"/>
      <c r="DT548" s="34"/>
      <c r="DU548" s="34"/>
      <c r="DV548" s="34"/>
    </row>
    <row r="549" ht="15.75" customHeight="1">
      <c r="A549" s="34"/>
      <c r="B549" s="34"/>
      <c r="C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A549" s="34"/>
      <c r="DB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  <c r="DM549" s="34"/>
      <c r="DN549" s="34"/>
      <c r="DO549" s="34"/>
      <c r="DP549" s="34"/>
      <c r="DQ549" s="34"/>
      <c r="DR549" s="34"/>
      <c r="DS549" s="34"/>
      <c r="DT549" s="34"/>
      <c r="DU549" s="34"/>
      <c r="DV549" s="34"/>
    </row>
    <row r="550" ht="15.75" customHeight="1">
      <c r="A550" s="34"/>
      <c r="B550" s="34"/>
      <c r="C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A550" s="34"/>
      <c r="DB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  <c r="DM550" s="34"/>
      <c r="DN550" s="34"/>
      <c r="DO550" s="34"/>
      <c r="DP550" s="34"/>
      <c r="DQ550" s="34"/>
      <c r="DR550" s="34"/>
      <c r="DS550" s="34"/>
      <c r="DT550" s="34"/>
      <c r="DU550" s="34"/>
      <c r="DV550" s="34"/>
    </row>
    <row r="551" ht="15.75" customHeight="1">
      <c r="A551" s="34"/>
      <c r="B551" s="34"/>
      <c r="C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A551" s="34"/>
      <c r="DB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  <c r="DM551" s="34"/>
      <c r="DN551" s="34"/>
      <c r="DO551" s="34"/>
      <c r="DP551" s="34"/>
      <c r="DQ551" s="34"/>
      <c r="DR551" s="34"/>
      <c r="DS551" s="34"/>
      <c r="DT551" s="34"/>
      <c r="DU551" s="34"/>
      <c r="DV551" s="34"/>
    </row>
    <row r="552" ht="15.75" customHeight="1">
      <c r="A552" s="34"/>
      <c r="B552" s="34"/>
      <c r="C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A552" s="34"/>
      <c r="DB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  <c r="DM552" s="34"/>
      <c r="DN552" s="34"/>
      <c r="DO552" s="34"/>
      <c r="DP552" s="34"/>
      <c r="DQ552" s="34"/>
      <c r="DR552" s="34"/>
      <c r="DS552" s="34"/>
      <c r="DT552" s="34"/>
      <c r="DU552" s="34"/>
      <c r="DV552" s="34"/>
    </row>
    <row r="553" ht="15.75" customHeight="1">
      <c r="A553" s="34"/>
      <c r="B553" s="34"/>
      <c r="C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  <c r="DM553" s="34"/>
      <c r="DN553" s="34"/>
      <c r="DO553" s="34"/>
      <c r="DP553" s="34"/>
      <c r="DQ553" s="34"/>
      <c r="DR553" s="34"/>
      <c r="DS553" s="34"/>
      <c r="DT553" s="34"/>
      <c r="DU553" s="34"/>
      <c r="DV553" s="34"/>
    </row>
    <row r="554" ht="15.75" customHeight="1">
      <c r="A554" s="34"/>
      <c r="B554" s="34"/>
      <c r="C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  <c r="DM554" s="34"/>
      <c r="DN554" s="34"/>
      <c r="DO554" s="34"/>
      <c r="DP554" s="34"/>
      <c r="DQ554" s="34"/>
      <c r="DR554" s="34"/>
      <c r="DS554" s="34"/>
      <c r="DT554" s="34"/>
      <c r="DU554" s="34"/>
      <c r="DV554" s="34"/>
    </row>
    <row r="555" ht="15.75" customHeight="1">
      <c r="A555" s="34"/>
      <c r="B555" s="34"/>
      <c r="C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A555" s="34"/>
      <c r="DB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  <c r="DM555" s="34"/>
      <c r="DN555" s="34"/>
      <c r="DO555" s="34"/>
      <c r="DP555" s="34"/>
      <c r="DQ555" s="34"/>
      <c r="DR555" s="34"/>
      <c r="DS555" s="34"/>
      <c r="DT555" s="34"/>
      <c r="DU555" s="34"/>
      <c r="DV555" s="34"/>
    </row>
    <row r="556" ht="15.75" customHeight="1">
      <c r="A556" s="34"/>
      <c r="B556" s="34"/>
      <c r="C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A556" s="34"/>
      <c r="DB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  <c r="DM556" s="34"/>
      <c r="DN556" s="34"/>
      <c r="DO556" s="34"/>
      <c r="DP556" s="34"/>
      <c r="DQ556" s="34"/>
      <c r="DR556" s="34"/>
      <c r="DS556" s="34"/>
      <c r="DT556" s="34"/>
      <c r="DU556" s="34"/>
      <c r="DV556" s="34"/>
    </row>
    <row r="557" ht="15.75" customHeight="1">
      <c r="A557" s="34"/>
      <c r="B557" s="34"/>
      <c r="C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A557" s="34"/>
      <c r="DB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  <c r="DM557" s="34"/>
      <c r="DN557" s="34"/>
      <c r="DO557" s="34"/>
      <c r="DP557" s="34"/>
      <c r="DQ557" s="34"/>
      <c r="DR557" s="34"/>
      <c r="DS557" s="34"/>
      <c r="DT557" s="34"/>
      <c r="DU557" s="34"/>
      <c r="DV557" s="34"/>
    </row>
    <row r="558" ht="15.75" customHeight="1">
      <c r="A558" s="34"/>
      <c r="B558" s="34"/>
      <c r="C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A558" s="34"/>
      <c r="DB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  <c r="DM558" s="34"/>
      <c r="DN558" s="34"/>
      <c r="DO558" s="34"/>
      <c r="DP558" s="34"/>
      <c r="DQ558" s="34"/>
      <c r="DR558" s="34"/>
      <c r="DS558" s="34"/>
      <c r="DT558" s="34"/>
      <c r="DU558" s="34"/>
      <c r="DV558" s="34"/>
    </row>
    <row r="559" ht="15.75" customHeight="1">
      <c r="A559" s="34"/>
      <c r="B559" s="34"/>
      <c r="C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A559" s="34"/>
      <c r="DB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  <c r="DM559" s="34"/>
      <c r="DN559" s="34"/>
      <c r="DO559" s="34"/>
      <c r="DP559" s="34"/>
      <c r="DQ559" s="34"/>
      <c r="DR559" s="34"/>
      <c r="DS559" s="34"/>
      <c r="DT559" s="34"/>
      <c r="DU559" s="34"/>
      <c r="DV559" s="34"/>
    </row>
    <row r="560" ht="15.75" customHeight="1">
      <c r="A560" s="34"/>
      <c r="B560" s="34"/>
      <c r="C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A560" s="34"/>
      <c r="DB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  <c r="DM560" s="34"/>
      <c r="DN560" s="34"/>
      <c r="DO560" s="34"/>
      <c r="DP560" s="34"/>
      <c r="DQ560" s="34"/>
      <c r="DR560" s="34"/>
      <c r="DS560" s="34"/>
      <c r="DT560" s="34"/>
      <c r="DU560" s="34"/>
      <c r="DV560" s="34"/>
    </row>
    <row r="561" ht="15.75" customHeight="1">
      <c r="A561" s="34"/>
      <c r="B561" s="34"/>
      <c r="C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A561" s="34"/>
      <c r="DB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  <c r="DM561" s="34"/>
      <c r="DN561" s="34"/>
      <c r="DO561" s="34"/>
      <c r="DP561" s="34"/>
      <c r="DQ561" s="34"/>
      <c r="DR561" s="34"/>
      <c r="DS561" s="34"/>
      <c r="DT561" s="34"/>
      <c r="DU561" s="34"/>
      <c r="DV561" s="34"/>
    </row>
    <row r="562" ht="15.75" customHeight="1">
      <c r="A562" s="34"/>
      <c r="B562" s="34"/>
      <c r="C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A562" s="34"/>
      <c r="DB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  <c r="DM562" s="34"/>
      <c r="DN562" s="34"/>
      <c r="DO562" s="34"/>
      <c r="DP562" s="34"/>
      <c r="DQ562" s="34"/>
      <c r="DR562" s="34"/>
      <c r="DS562" s="34"/>
      <c r="DT562" s="34"/>
      <c r="DU562" s="34"/>
      <c r="DV562" s="34"/>
    </row>
    <row r="563" ht="15.75" customHeight="1">
      <c r="A563" s="34"/>
      <c r="B563" s="34"/>
      <c r="C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A563" s="34"/>
      <c r="DB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  <c r="DM563" s="34"/>
      <c r="DN563" s="34"/>
      <c r="DO563" s="34"/>
      <c r="DP563" s="34"/>
      <c r="DQ563" s="34"/>
      <c r="DR563" s="34"/>
      <c r="DS563" s="34"/>
      <c r="DT563" s="34"/>
      <c r="DU563" s="34"/>
      <c r="DV563" s="34"/>
    </row>
    <row r="564" ht="15.75" customHeight="1">
      <c r="A564" s="34"/>
      <c r="B564" s="34"/>
      <c r="C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A564" s="34"/>
      <c r="DB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  <c r="DM564" s="34"/>
      <c r="DN564" s="34"/>
      <c r="DO564" s="34"/>
      <c r="DP564" s="34"/>
      <c r="DQ564" s="34"/>
      <c r="DR564" s="34"/>
      <c r="DS564" s="34"/>
      <c r="DT564" s="34"/>
      <c r="DU564" s="34"/>
      <c r="DV564" s="34"/>
    </row>
    <row r="565" ht="15.75" customHeight="1">
      <c r="A565" s="34"/>
      <c r="B565" s="34"/>
      <c r="C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A565" s="34"/>
      <c r="DB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  <c r="DM565" s="34"/>
      <c r="DN565" s="34"/>
      <c r="DO565" s="34"/>
      <c r="DP565" s="34"/>
      <c r="DQ565" s="34"/>
      <c r="DR565" s="34"/>
      <c r="DS565" s="34"/>
      <c r="DT565" s="34"/>
      <c r="DU565" s="34"/>
      <c r="DV565" s="34"/>
    </row>
    <row r="566" ht="15.75" customHeight="1">
      <c r="A566" s="34"/>
      <c r="B566" s="34"/>
      <c r="C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A566" s="34"/>
      <c r="DB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  <c r="DM566" s="34"/>
      <c r="DN566" s="34"/>
      <c r="DO566" s="34"/>
      <c r="DP566" s="34"/>
      <c r="DQ566" s="34"/>
      <c r="DR566" s="34"/>
      <c r="DS566" s="34"/>
      <c r="DT566" s="34"/>
      <c r="DU566" s="34"/>
      <c r="DV566" s="34"/>
    </row>
    <row r="567" ht="15.75" customHeight="1">
      <c r="A567" s="34"/>
      <c r="B567" s="34"/>
      <c r="C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A567" s="34"/>
      <c r="DB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  <c r="DM567" s="34"/>
      <c r="DN567" s="34"/>
      <c r="DO567" s="34"/>
      <c r="DP567" s="34"/>
      <c r="DQ567" s="34"/>
      <c r="DR567" s="34"/>
      <c r="DS567" s="34"/>
      <c r="DT567" s="34"/>
      <c r="DU567" s="34"/>
      <c r="DV567" s="34"/>
    </row>
    <row r="568" ht="15.75" customHeight="1">
      <c r="A568" s="34"/>
      <c r="B568" s="34"/>
      <c r="C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A568" s="34"/>
      <c r="DB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  <c r="DM568" s="34"/>
      <c r="DN568" s="34"/>
      <c r="DO568" s="34"/>
      <c r="DP568" s="34"/>
      <c r="DQ568" s="34"/>
      <c r="DR568" s="34"/>
      <c r="DS568" s="34"/>
      <c r="DT568" s="34"/>
      <c r="DU568" s="34"/>
      <c r="DV568" s="34"/>
    </row>
    <row r="569" ht="15.75" customHeight="1">
      <c r="A569" s="34"/>
      <c r="B569" s="34"/>
      <c r="C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A569" s="34"/>
      <c r="DB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  <c r="DM569" s="34"/>
      <c r="DN569" s="34"/>
      <c r="DO569" s="34"/>
      <c r="DP569" s="34"/>
      <c r="DQ569" s="34"/>
      <c r="DR569" s="34"/>
      <c r="DS569" s="34"/>
      <c r="DT569" s="34"/>
      <c r="DU569" s="34"/>
      <c r="DV569" s="34"/>
    </row>
    <row r="570" ht="15.75" customHeight="1">
      <c r="A570" s="34"/>
      <c r="B570" s="34"/>
      <c r="C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A570" s="34"/>
      <c r="DB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  <c r="DM570" s="34"/>
      <c r="DN570" s="34"/>
      <c r="DO570" s="34"/>
      <c r="DP570" s="34"/>
      <c r="DQ570" s="34"/>
      <c r="DR570" s="34"/>
      <c r="DS570" s="34"/>
      <c r="DT570" s="34"/>
      <c r="DU570" s="34"/>
      <c r="DV570" s="34"/>
    </row>
    <row r="571" ht="15.75" customHeight="1">
      <c r="A571" s="34"/>
      <c r="B571" s="34"/>
      <c r="C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A571" s="34"/>
      <c r="DB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  <c r="DM571" s="34"/>
      <c r="DN571" s="34"/>
      <c r="DO571" s="34"/>
      <c r="DP571" s="34"/>
      <c r="DQ571" s="34"/>
      <c r="DR571" s="34"/>
      <c r="DS571" s="34"/>
      <c r="DT571" s="34"/>
      <c r="DU571" s="34"/>
      <c r="DV571" s="34"/>
    </row>
    <row r="572" ht="15.75" customHeight="1">
      <c r="A572" s="34"/>
      <c r="B572" s="34"/>
      <c r="C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A572" s="34"/>
      <c r="DB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  <c r="DM572" s="34"/>
      <c r="DN572" s="34"/>
      <c r="DO572" s="34"/>
      <c r="DP572" s="34"/>
      <c r="DQ572" s="34"/>
      <c r="DR572" s="34"/>
      <c r="DS572" s="34"/>
      <c r="DT572" s="34"/>
      <c r="DU572" s="34"/>
      <c r="DV572" s="34"/>
    </row>
    <row r="573" ht="15.75" customHeight="1">
      <c r="A573" s="34"/>
      <c r="B573" s="34"/>
      <c r="C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A573" s="34"/>
      <c r="DB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  <c r="DM573" s="34"/>
      <c r="DN573" s="34"/>
      <c r="DO573" s="34"/>
      <c r="DP573" s="34"/>
      <c r="DQ573" s="34"/>
      <c r="DR573" s="34"/>
      <c r="DS573" s="34"/>
      <c r="DT573" s="34"/>
      <c r="DU573" s="34"/>
      <c r="DV573" s="34"/>
    </row>
    <row r="574" ht="15.75" customHeight="1">
      <c r="A574" s="34"/>
      <c r="B574" s="34"/>
      <c r="C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A574" s="34"/>
      <c r="DB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  <c r="DM574" s="34"/>
      <c r="DN574" s="34"/>
      <c r="DO574" s="34"/>
      <c r="DP574" s="34"/>
      <c r="DQ574" s="34"/>
      <c r="DR574" s="34"/>
      <c r="DS574" s="34"/>
      <c r="DT574" s="34"/>
      <c r="DU574" s="34"/>
      <c r="DV574" s="34"/>
    </row>
    <row r="575" ht="15.75" customHeight="1">
      <c r="A575" s="34"/>
      <c r="B575" s="34"/>
      <c r="C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A575" s="34"/>
      <c r="DB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  <c r="DM575" s="34"/>
      <c r="DN575" s="34"/>
      <c r="DO575" s="34"/>
      <c r="DP575" s="34"/>
      <c r="DQ575" s="34"/>
      <c r="DR575" s="34"/>
      <c r="DS575" s="34"/>
      <c r="DT575" s="34"/>
      <c r="DU575" s="34"/>
      <c r="DV575" s="34"/>
    </row>
    <row r="576" ht="15.75" customHeight="1">
      <c r="A576" s="34"/>
      <c r="B576" s="34"/>
      <c r="C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A576" s="34"/>
      <c r="DB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  <c r="DM576" s="34"/>
      <c r="DN576" s="34"/>
      <c r="DO576" s="34"/>
      <c r="DP576" s="34"/>
      <c r="DQ576" s="34"/>
      <c r="DR576" s="34"/>
      <c r="DS576" s="34"/>
      <c r="DT576" s="34"/>
      <c r="DU576" s="34"/>
      <c r="DV576" s="34"/>
    </row>
    <row r="577" ht="15.75" customHeight="1">
      <c r="A577" s="34"/>
      <c r="B577" s="34"/>
      <c r="C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A577" s="34"/>
      <c r="DB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  <c r="DM577" s="34"/>
      <c r="DN577" s="34"/>
      <c r="DO577" s="34"/>
      <c r="DP577" s="34"/>
      <c r="DQ577" s="34"/>
      <c r="DR577" s="34"/>
      <c r="DS577" s="34"/>
      <c r="DT577" s="34"/>
      <c r="DU577" s="34"/>
      <c r="DV577" s="34"/>
    </row>
    <row r="578" ht="15.75" customHeight="1">
      <c r="A578" s="34"/>
      <c r="B578" s="34"/>
      <c r="C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A578" s="34"/>
      <c r="DB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  <c r="DM578" s="34"/>
      <c r="DN578" s="34"/>
      <c r="DO578" s="34"/>
      <c r="DP578" s="34"/>
      <c r="DQ578" s="34"/>
      <c r="DR578" s="34"/>
      <c r="DS578" s="34"/>
      <c r="DT578" s="34"/>
      <c r="DU578" s="34"/>
      <c r="DV578" s="34"/>
    </row>
    <row r="579" ht="15.75" customHeight="1">
      <c r="A579" s="34"/>
      <c r="B579" s="34"/>
      <c r="C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A579" s="34"/>
      <c r="DB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  <c r="DM579" s="34"/>
      <c r="DN579" s="34"/>
      <c r="DO579" s="34"/>
      <c r="DP579" s="34"/>
      <c r="DQ579" s="34"/>
      <c r="DR579" s="34"/>
      <c r="DS579" s="34"/>
      <c r="DT579" s="34"/>
      <c r="DU579" s="34"/>
      <c r="DV579" s="34"/>
    </row>
    <row r="580" ht="15.75" customHeight="1">
      <c r="A580" s="34"/>
      <c r="B580" s="34"/>
      <c r="C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A580" s="34"/>
      <c r="DB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  <c r="DM580" s="34"/>
      <c r="DN580" s="34"/>
      <c r="DO580" s="34"/>
      <c r="DP580" s="34"/>
      <c r="DQ580" s="34"/>
      <c r="DR580" s="34"/>
      <c r="DS580" s="34"/>
      <c r="DT580" s="34"/>
      <c r="DU580" s="34"/>
      <c r="DV580" s="34"/>
    </row>
    <row r="581" ht="15.75" customHeight="1">
      <c r="A581" s="34"/>
      <c r="B581" s="34"/>
      <c r="C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A581" s="34"/>
      <c r="DB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  <c r="DM581" s="34"/>
      <c r="DN581" s="34"/>
      <c r="DO581" s="34"/>
      <c r="DP581" s="34"/>
      <c r="DQ581" s="34"/>
      <c r="DR581" s="34"/>
      <c r="DS581" s="34"/>
      <c r="DT581" s="34"/>
      <c r="DU581" s="34"/>
      <c r="DV581" s="34"/>
    </row>
    <row r="582" ht="15.75" customHeight="1">
      <c r="A582" s="34"/>
      <c r="B582" s="34"/>
      <c r="C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A582" s="34"/>
      <c r="DB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  <c r="DM582" s="34"/>
      <c r="DN582" s="34"/>
      <c r="DO582" s="34"/>
      <c r="DP582" s="34"/>
      <c r="DQ582" s="34"/>
      <c r="DR582" s="34"/>
      <c r="DS582" s="34"/>
      <c r="DT582" s="34"/>
      <c r="DU582" s="34"/>
      <c r="DV582" s="34"/>
    </row>
    <row r="583" ht="15.75" customHeight="1">
      <c r="A583" s="34"/>
      <c r="B583" s="34"/>
      <c r="C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  <c r="DM583" s="34"/>
      <c r="DN583" s="34"/>
      <c r="DO583" s="34"/>
      <c r="DP583" s="34"/>
      <c r="DQ583" s="34"/>
      <c r="DR583" s="34"/>
      <c r="DS583" s="34"/>
      <c r="DT583" s="34"/>
      <c r="DU583" s="34"/>
      <c r="DV583" s="34"/>
    </row>
    <row r="584" ht="15.75" customHeight="1">
      <c r="A584" s="34"/>
      <c r="B584" s="34"/>
      <c r="C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A584" s="34"/>
      <c r="DB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  <c r="DM584" s="34"/>
      <c r="DN584" s="34"/>
      <c r="DO584" s="34"/>
      <c r="DP584" s="34"/>
      <c r="DQ584" s="34"/>
      <c r="DR584" s="34"/>
      <c r="DS584" s="34"/>
      <c r="DT584" s="34"/>
      <c r="DU584" s="34"/>
      <c r="DV584" s="34"/>
    </row>
    <row r="585" ht="15.75" customHeight="1">
      <c r="A585" s="34"/>
      <c r="B585" s="34"/>
      <c r="C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A585" s="34"/>
      <c r="DB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  <c r="DM585" s="34"/>
      <c r="DN585" s="34"/>
      <c r="DO585" s="34"/>
      <c r="DP585" s="34"/>
      <c r="DQ585" s="34"/>
      <c r="DR585" s="34"/>
      <c r="DS585" s="34"/>
      <c r="DT585" s="34"/>
      <c r="DU585" s="34"/>
      <c r="DV585" s="34"/>
    </row>
    <row r="586" ht="15.75" customHeight="1">
      <c r="A586" s="34"/>
      <c r="B586" s="34"/>
      <c r="C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A586" s="34"/>
      <c r="DB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  <c r="DM586" s="34"/>
      <c r="DN586" s="34"/>
      <c r="DO586" s="34"/>
      <c r="DP586" s="34"/>
      <c r="DQ586" s="34"/>
      <c r="DR586" s="34"/>
      <c r="DS586" s="34"/>
      <c r="DT586" s="34"/>
      <c r="DU586" s="34"/>
      <c r="DV586" s="34"/>
    </row>
    <row r="587" ht="15.75" customHeight="1">
      <c r="A587" s="34"/>
      <c r="B587" s="34"/>
      <c r="C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A587" s="34"/>
      <c r="DB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  <c r="DM587" s="34"/>
      <c r="DN587" s="34"/>
      <c r="DO587" s="34"/>
      <c r="DP587" s="34"/>
      <c r="DQ587" s="34"/>
      <c r="DR587" s="34"/>
      <c r="DS587" s="34"/>
      <c r="DT587" s="34"/>
      <c r="DU587" s="34"/>
      <c r="DV587" s="34"/>
    </row>
    <row r="588" ht="15.75" customHeight="1">
      <c r="A588" s="34"/>
      <c r="B588" s="34"/>
      <c r="C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A588" s="34"/>
      <c r="DB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  <c r="DM588" s="34"/>
      <c r="DN588" s="34"/>
      <c r="DO588" s="34"/>
      <c r="DP588" s="34"/>
      <c r="DQ588" s="34"/>
      <c r="DR588" s="34"/>
      <c r="DS588" s="34"/>
      <c r="DT588" s="34"/>
      <c r="DU588" s="34"/>
      <c r="DV588" s="34"/>
    </row>
    <row r="589" ht="15.75" customHeight="1">
      <c r="A589" s="34"/>
      <c r="B589" s="34"/>
      <c r="C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A589" s="34"/>
      <c r="DB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  <c r="DM589" s="34"/>
      <c r="DN589" s="34"/>
      <c r="DO589" s="34"/>
      <c r="DP589" s="34"/>
      <c r="DQ589" s="34"/>
      <c r="DR589" s="34"/>
      <c r="DS589" s="34"/>
      <c r="DT589" s="34"/>
      <c r="DU589" s="34"/>
      <c r="DV589" s="34"/>
    </row>
    <row r="590" ht="15.75" customHeight="1">
      <c r="A590" s="34"/>
      <c r="B590" s="34"/>
      <c r="C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A590" s="34"/>
      <c r="DB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  <c r="DM590" s="34"/>
      <c r="DN590" s="34"/>
      <c r="DO590" s="34"/>
      <c r="DP590" s="34"/>
      <c r="DQ590" s="34"/>
      <c r="DR590" s="34"/>
      <c r="DS590" s="34"/>
      <c r="DT590" s="34"/>
      <c r="DU590" s="34"/>
      <c r="DV590" s="34"/>
    </row>
    <row r="591" ht="15.75" customHeight="1">
      <c r="A591" s="34"/>
      <c r="B591" s="34"/>
      <c r="C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A591" s="34"/>
      <c r="DB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  <c r="DM591" s="34"/>
      <c r="DN591" s="34"/>
      <c r="DO591" s="34"/>
      <c r="DP591" s="34"/>
      <c r="DQ591" s="34"/>
      <c r="DR591" s="34"/>
      <c r="DS591" s="34"/>
      <c r="DT591" s="34"/>
      <c r="DU591" s="34"/>
      <c r="DV591" s="34"/>
    </row>
    <row r="592" ht="15.75" customHeight="1">
      <c r="A592" s="34"/>
      <c r="B592" s="34"/>
      <c r="C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A592" s="34"/>
      <c r="DB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  <c r="DM592" s="34"/>
      <c r="DN592" s="34"/>
      <c r="DO592" s="34"/>
      <c r="DP592" s="34"/>
      <c r="DQ592" s="34"/>
      <c r="DR592" s="34"/>
      <c r="DS592" s="34"/>
      <c r="DT592" s="34"/>
      <c r="DU592" s="34"/>
      <c r="DV592" s="34"/>
    </row>
    <row r="593" ht="15.75" customHeight="1">
      <c r="A593" s="34"/>
      <c r="B593" s="34"/>
      <c r="C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A593" s="34"/>
      <c r="DB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  <c r="DM593" s="34"/>
      <c r="DN593" s="34"/>
      <c r="DO593" s="34"/>
      <c r="DP593" s="34"/>
      <c r="DQ593" s="34"/>
      <c r="DR593" s="34"/>
      <c r="DS593" s="34"/>
      <c r="DT593" s="34"/>
      <c r="DU593" s="34"/>
      <c r="DV593" s="34"/>
    </row>
    <row r="594" ht="15.75" customHeight="1">
      <c r="A594" s="34"/>
      <c r="B594" s="34"/>
      <c r="C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A594" s="34"/>
      <c r="DB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  <c r="DM594" s="34"/>
      <c r="DN594" s="34"/>
      <c r="DO594" s="34"/>
      <c r="DP594" s="34"/>
      <c r="DQ594" s="34"/>
      <c r="DR594" s="34"/>
      <c r="DS594" s="34"/>
      <c r="DT594" s="34"/>
      <c r="DU594" s="34"/>
      <c r="DV594" s="34"/>
    </row>
    <row r="595" ht="15.75" customHeight="1">
      <c r="A595" s="34"/>
      <c r="B595" s="34"/>
      <c r="C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A595" s="34"/>
      <c r="DB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  <c r="DM595" s="34"/>
      <c r="DN595" s="34"/>
      <c r="DO595" s="34"/>
      <c r="DP595" s="34"/>
      <c r="DQ595" s="34"/>
      <c r="DR595" s="34"/>
      <c r="DS595" s="34"/>
      <c r="DT595" s="34"/>
      <c r="DU595" s="34"/>
      <c r="DV595" s="34"/>
    </row>
    <row r="596" ht="15.75" customHeight="1">
      <c r="A596" s="34"/>
      <c r="B596" s="34"/>
      <c r="C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A596" s="34"/>
      <c r="DB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  <c r="DM596" s="34"/>
      <c r="DN596" s="34"/>
      <c r="DO596" s="34"/>
      <c r="DP596" s="34"/>
      <c r="DQ596" s="34"/>
      <c r="DR596" s="34"/>
      <c r="DS596" s="34"/>
      <c r="DT596" s="34"/>
      <c r="DU596" s="34"/>
      <c r="DV596" s="34"/>
    </row>
    <row r="597" ht="15.75" customHeight="1">
      <c r="A597" s="34"/>
      <c r="B597" s="34"/>
      <c r="C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A597" s="34"/>
      <c r="DB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  <c r="DM597" s="34"/>
      <c r="DN597" s="34"/>
      <c r="DO597" s="34"/>
      <c r="DP597" s="34"/>
      <c r="DQ597" s="34"/>
      <c r="DR597" s="34"/>
      <c r="DS597" s="34"/>
      <c r="DT597" s="34"/>
      <c r="DU597" s="34"/>
      <c r="DV597" s="34"/>
    </row>
    <row r="598" ht="15.75" customHeight="1">
      <c r="A598" s="34"/>
      <c r="B598" s="34"/>
      <c r="C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A598" s="34"/>
      <c r="DB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  <c r="DM598" s="34"/>
      <c r="DN598" s="34"/>
      <c r="DO598" s="34"/>
      <c r="DP598" s="34"/>
      <c r="DQ598" s="34"/>
      <c r="DR598" s="34"/>
      <c r="DS598" s="34"/>
      <c r="DT598" s="34"/>
      <c r="DU598" s="34"/>
      <c r="DV598" s="34"/>
    </row>
    <row r="599" ht="15.75" customHeight="1">
      <c r="A599" s="34"/>
      <c r="B599" s="34"/>
      <c r="C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A599" s="34"/>
      <c r="DB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  <c r="DM599" s="34"/>
      <c r="DN599" s="34"/>
      <c r="DO599" s="34"/>
      <c r="DP599" s="34"/>
      <c r="DQ599" s="34"/>
      <c r="DR599" s="34"/>
      <c r="DS599" s="34"/>
      <c r="DT599" s="34"/>
      <c r="DU599" s="34"/>
      <c r="DV599" s="34"/>
    </row>
    <row r="600" ht="15.75" customHeight="1">
      <c r="A600" s="34"/>
      <c r="B600" s="34"/>
      <c r="C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A600" s="34"/>
      <c r="DB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  <c r="DM600" s="34"/>
      <c r="DN600" s="34"/>
      <c r="DO600" s="34"/>
      <c r="DP600" s="34"/>
      <c r="DQ600" s="34"/>
      <c r="DR600" s="34"/>
      <c r="DS600" s="34"/>
      <c r="DT600" s="34"/>
      <c r="DU600" s="34"/>
      <c r="DV600" s="34"/>
    </row>
    <row r="601" ht="15.75" customHeight="1">
      <c r="A601" s="34"/>
      <c r="B601" s="34"/>
      <c r="C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A601" s="34"/>
      <c r="DB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  <c r="DM601" s="34"/>
      <c r="DN601" s="34"/>
      <c r="DO601" s="34"/>
      <c r="DP601" s="34"/>
      <c r="DQ601" s="34"/>
      <c r="DR601" s="34"/>
      <c r="DS601" s="34"/>
      <c r="DT601" s="34"/>
      <c r="DU601" s="34"/>
      <c r="DV601" s="34"/>
    </row>
    <row r="602" ht="15.75" customHeight="1">
      <c r="A602" s="34"/>
      <c r="B602" s="34"/>
      <c r="C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A602" s="34"/>
      <c r="DB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  <c r="DM602" s="34"/>
      <c r="DN602" s="34"/>
      <c r="DO602" s="34"/>
      <c r="DP602" s="34"/>
      <c r="DQ602" s="34"/>
      <c r="DR602" s="34"/>
      <c r="DS602" s="34"/>
      <c r="DT602" s="34"/>
      <c r="DU602" s="34"/>
      <c r="DV602" s="34"/>
    </row>
    <row r="603" ht="15.75" customHeight="1">
      <c r="A603" s="34"/>
      <c r="B603" s="34"/>
      <c r="C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A603" s="34"/>
      <c r="DB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  <c r="DM603" s="34"/>
      <c r="DN603" s="34"/>
      <c r="DO603" s="34"/>
      <c r="DP603" s="34"/>
      <c r="DQ603" s="34"/>
      <c r="DR603" s="34"/>
      <c r="DS603" s="34"/>
      <c r="DT603" s="34"/>
      <c r="DU603" s="34"/>
      <c r="DV603" s="34"/>
    </row>
    <row r="604" ht="15.75" customHeight="1">
      <c r="A604" s="34"/>
      <c r="B604" s="34"/>
      <c r="C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A604" s="34"/>
      <c r="DB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  <c r="DM604" s="34"/>
      <c r="DN604" s="34"/>
      <c r="DO604" s="34"/>
      <c r="DP604" s="34"/>
      <c r="DQ604" s="34"/>
      <c r="DR604" s="34"/>
      <c r="DS604" s="34"/>
      <c r="DT604" s="34"/>
      <c r="DU604" s="34"/>
      <c r="DV604" s="34"/>
    </row>
    <row r="605" ht="15.75" customHeight="1">
      <c r="A605" s="34"/>
      <c r="B605" s="34"/>
      <c r="C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A605" s="34"/>
      <c r="DB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  <c r="DM605" s="34"/>
      <c r="DN605" s="34"/>
      <c r="DO605" s="34"/>
      <c r="DP605" s="34"/>
      <c r="DQ605" s="34"/>
      <c r="DR605" s="34"/>
      <c r="DS605" s="34"/>
      <c r="DT605" s="34"/>
      <c r="DU605" s="34"/>
      <c r="DV605" s="34"/>
    </row>
    <row r="606" ht="15.75" customHeight="1">
      <c r="A606" s="34"/>
      <c r="B606" s="34"/>
      <c r="C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A606" s="34"/>
      <c r="DB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  <c r="DM606" s="34"/>
      <c r="DN606" s="34"/>
      <c r="DO606" s="34"/>
      <c r="DP606" s="34"/>
      <c r="DQ606" s="34"/>
      <c r="DR606" s="34"/>
      <c r="DS606" s="34"/>
      <c r="DT606" s="34"/>
      <c r="DU606" s="34"/>
      <c r="DV606" s="34"/>
    </row>
    <row r="607" ht="15.75" customHeight="1">
      <c r="A607" s="34"/>
      <c r="B607" s="34"/>
      <c r="C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A607" s="34"/>
      <c r="DB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  <c r="DM607" s="34"/>
      <c r="DN607" s="34"/>
      <c r="DO607" s="34"/>
      <c r="DP607" s="34"/>
      <c r="DQ607" s="34"/>
      <c r="DR607" s="34"/>
      <c r="DS607" s="34"/>
      <c r="DT607" s="34"/>
      <c r="DU607" s="34"/>
      <c r="DV607" s="34"/>
    </row>
    <row r="608" ht="15.75" customHeight="1">
      <c r="A608" s="34"/>
      <c r="B608" s="34"/>
      <c r="C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A608" s="34"/>
      <c r="DB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  <c r="DM608" s="34"/>
      <c r="DN608" s="34"/>
      <c r="DO608" s="34"/>
      <c r="DP608" s="34"/>
      <c r="DQ608" s="34"/>
      <c r="DR608" s="34"/>
      <c r="DS608" s="34"/>
      <c r="DT608" s="34"/>
      <c r="DU608" s="34"/>
      <c r="DV608" s="34"/>
    </row>
    <row r="609" ht="15.75" customHeight="1">
      <c r="A609" s="34"/>
      <c r="B609" s="34"/>
      <c r="C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A609" s="34"/>
      <c r="DB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  <c r="DM609" s="34"/>
      <c r="DN609" s="34"/>
      <c r="DO609" s="34"/>
      <c r="DP609" s="34"/>
      <c r="DQ609" s="34"/>
      <c r="DR609" s="34"/>
      <c r="DS609" s="34"/>
      <c r="DT609" s="34"/>
      <c r="DU609" s="34"/>
      <c r="DV609" s="34"/>
    </row>
    <row r="610" ht="15.75" customHeight="1">
      <c r="A610" s="34"/>
      <c r="B610" s="34"/>
      <c r="C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A610" s="34"/>
      <c r="DB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  <c r="DM610" s="34"/>
      <c r="DN610" s="34"/>
      <c r="DO610" s="34"/>
      <c r="DP610" s="34"/>
      <c r="DQ610" s="34"/>
      <c r="DR610" s="34"/>
      <c r="DS610" s="34"/>
      <c r="DT610" s="34"/>
      <c r="DU610" s="34"/>
      <c r="DV610" s="34"/>
    </row>
    <row r="611" ht="15.75" customHeight="1">
      <c r="A611" s="34"/>
      <c r="B611" s="34"/>
      <c r="C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A611" s="34"/>
      <c r="DB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  <c r="DM611" s="34"/>
      <c r="DN611" s="34"/>
      <c r="DO611" s="34"/>
      <c r="DP611" s="34"/>
      <c r="DQ611" s="34"/>
      <c r="DR611" s="34"/>
      <c r="DS611" s="34"/>
      <c r="DT611" s="34"/>
      <c r="DU611" s="34"/>
      <c r="DV611" s="34"/>
    </row>
    <row r="612" ht="15.75" customHeight="1">
      <c r="A612" s="34"/>
      <c r="B612" s="34"/>
      <c r="C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A612" s="34"/>
      <c r="DB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  <c r="DM612" s="34"/>
      <c r="DN612" s="34"/>
      <c r="DO612" s="34"/>
      <c r="DP612" s="34"/>
      <c r="DQ612" s="34"/>
      <c r="DR612" s="34"/>
      <c r="DS612" s="34"/>
      <c r="DT612" s="34"/>
      <c r="DU612" s="34"/>
      <c r="DV612" s="34"/>
    </row>
    <row r="613" ht="15.75" customHeight="1">
      <c r="A613" s="34"/>
      <c r="B613" s="34"/>
      <c r="C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A613" s="34"/>
      <c r="DB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  <c r="DM613" s="34"/>
      <c r="DN613" s="34"/>
      <c r="DO613" s="34"/>
      <c r="DP613" s="34"/>
      <c r="DQ613" s="34"/>
      <c r="DR613" s="34"/>
      <c r="DS613" s="34"/>
      <c r="DT613" s="34"/>
      <c r="DU613" s="34"/>
      <c r="DV613" s="34"/>
    </row>
    <row r="614" ht="15.75" customHeight="1">
      <c r="A614" s="34"/>
      <c r="B614" s="34"/>
      <c r="C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A614" s="34"/>
      <c r="DB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  <c r="DM614" s="34"/>
      <c r="DN614" s="34"/>
      <c r="DO614" s="34"/>
      <c r="DP614" s="34"/>
      <c r="DQ614" s="34"/>
      <c r="DR614" s="34"/>
      <c r="DS614" s="34"/>
      <c r="DT614" s="34"/>
      <c r="DU614" s="34"/>
      <c r="DV614" s="34"/>
    </row>
    <row r="615" ht="15.75" customHeight="1">
      <c r="A615" s="34"/>
      <c r="B615" s="34"/>
      <c r="C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A615" s="34"/>
      <c r="DB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  <c r="DM615" s="34"/>
      <c r="DN615" s="34"/>
      <c r="DO615" s="34"/>
      <c r="DP615" s="34"/>
      <c r="DQ615" s="34"/>
      <c r="DR615" s="34"/>
      <c r="DS615" s="34"/>
      <c r="DT615" s="34"/>
      <c r="DU615" s="34"/>
      <c r="DV615" s="34"/>
    </row>
    <row r="616" ht="15.75" customHeight="1">
      <c r="A616" s="34"/>
      <c r="B616" s="34"/>
      <c r="C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A616" s="34"/>
      <c r="DB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  <c r="DM616" s="34"/>
      <c r="DN616" s="34"/>
      <c r="DO616" s="34"/>
      <c r="DP616" s="34"/>
      <c r="DQ616" s="34"/>
      <c r="DR616" s="34"/>
      <c r="DS616" s="34"/>
      <c r="DT616" s="34"/>
      <c r="DU616" s="34"/>
      <c r="DV616" s="34"/>
    </row>
    <row r="617" ht="15.75" customHeight="1">
      <c r="A617" s="34"/>
      <c r="B617" s="34"/>
      <c r="C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A617" s="34"/>
      <c r="DB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  <c r="DM617" s="34"/>
      <c r="DN617" s="34"/>
      <c r="DO617" s="34"/>
      <c r="DP617" s="34"/>
      <c r="DQ617" s="34"/>
      <c r="DR617" s="34"/>
      <c r="DS617" s="34"/>
      <c r="DT617" s="34"/>
      <c r="DU617" s="34"/>
      <c r="DV617" s="34"/>
    </row>
    <row r="618" ht="15.75" customHeight="1">
      <c r="A618" s="34"/>
      <c r="B618" s="34"/>
      <c r="C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A618" s="34"/>
      <c r="DB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  <c r="DM618" s="34"/>
      <c r="DN618" s="34"/>
      <c r="DO618" s="34"/>
      <c r="DP618" s="34"/>
      <c r="DQ618" s="34"/>
      <c r="DR618" s="34"/>
      <c r="DS618" s="34"/>
      <c r="DT618" s="34"/>
      <c r="DU618" s="34"/>
      <c r="DV618" s="34"/>
    </row>
    <row r="619" ht="15.75" customHeight="1">
      <c r="A619" s="34"/>
      <c r="B619" s="34"/>
      <c r="C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A619" s="34"/>
      <c r="DB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  <c r="DM619" s="34"/>
      <c r="DN619" s="34"/>
      <c r="DO619" s="34"/>
      <c r="DP619" s="34"/>
      <c r="DQ619" s="34"/>
      <c r="DR619" s="34"/>
      <c r="DS619" s="34"/>
      <c r="DT619" s="34"/>
      <c r="DU619" s="34"/>
      <c r="DV619" s="34"/>
    </row>
    <row r="620" ht="15.75" customHeight="1">
      <c r="A620" s="34"/>
      <c r="B620" s="34"/>
      <c r="C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A620" s="34"/>
      <c r="DB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  <c r="DM620" s="34"/>
      <c r="DN620" s="34"/>
      <c r="DO620" s="34"/>
      <c r="DP620" s="34"/>
      <c r="DQ620" s="34"/>
      <c r="DR620" s="34"/>
      <c r="DS620" s="34"/>
      <c r="DT620" s="34"/>
      <c r="DU620" s="34"/>
      <c r="DV620" s="34"/>
    </row>
    <row r="621" ht="15.75" customHeight="1">
      <c r="A621" s="34"/>
      <c r="B621" s="34"/>
      <c r="C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A621" s="34"/>
      <c r="DB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  <c r="DM621" s="34"/>
      <c r="DN621" s="34"/>
      <c r="DO621" s="34"/>
      <c r="DP621" s="34"/>
      <c r="DQ621" s="34"/>
      <c r="DR621" s="34"/>
      <c r="DS621" s="34"/>
      <c r="DT621" s="34"/>
      <c r="DU621" s="34"/>
      <c r="DV621" s="34"/>
    </row>
    <row r="622" ht="15.75" customHeight="1">
      <c r="A622" s="34"/>
      <c r="B622" s="34"/>
      <c r="C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A622" s="34"/>
      <c r="DB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  <c r="DM622" s="34"/>
      <c r="DN622" s="34"/>
      <c r="DO622" s="34"/>
      <c r="DP622" s="34"/>
      <c r="DQ622" s="34"/>
      <c r="DR622" s="34"/>
      <c r="DS622" s="34"/>
      <c r="DT622" s="34"/>
      <c r="DU622" s="34"/>
      <c r="DV622" s="34"/>
    </row>
    <row r="623" ht="15.75" customHeight="1">
      <c r="A623" s="34"/>
      <c r="B623" s="34"/>
      <c r="C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A623" s="34"/>
      <c r="DB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  <c r="DM623" s="34"/>
      <c r="DN623" s="34"/>
      <c r="DO623" s="34"/>
      <c r="DP623" s="34"/>
      <c r="DQ623" s="34"/>
      <c r="DR623" s="34"/>
      <c r="DS623" s="34"/>
      <c r="DT623" s="34"/>
      <c r="DU623" s="34"/>
      <c r="DV623" s="34"/>
    </row>
    <row r="624" ht="15.75" customHeight="1">
      <c r="A624" s="34"/>
      <c r="B624" s="34"/>
      <c r="C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A624" s="34"/>
      <c r="DB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  <c r="DM624" s="34"/>
      <c r="DN624" s="34"/>
      <c r="DO624" s="34"/>
      <c r="DP624" s="34"/>
      <c r="DQ624" s="34"/>
      <c r="DR624" s="34"/>
      <c r="DS624" s="34"/>
      <c r="DT624" s="34"/>
      <c r="DU624" s="34"/>
      <c r="DV624" s="34"/>
    </row>
    <row r="625" ht="15.75" customHeight="1">
      <c r="A625" s="34"/>
      <c r="B625" s="34"/>
      <c r="C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A625" s="34"/>
      <c r="DB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  <c r="DM625" s="34"/>
      <c r="DN625" s="34"/>
      <c r="DO625" s="34"/>
      <c r="DP625" s="34"/>
      <c r="DQ625" s="34"/>
      <c r="DR625" s="34"/>
      <c r="DS625" s="34"/>
      <c r="DT625" s="34"/>
      <c r="DU625" s="34"/>
      <c r="DV625" s="34"/>
    </row>
    <row r="626" ht="15.75" customHeight="1">
      <c r="A626" s="34"/>
      <c r="B626" s="34"/>
      <c r="C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A626" s="34"/>
      <c r="DB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  <c r="DM626" s="34"/>
      <c r="DN626" s="34"/>
      <c r="DO626" s="34"/>
      <c r="DP626" s="34"/>
      <c r="DQ626" s="34"/>
      <c r="DR626" s="34"/>
      <c r="DS626" s="34"/>
      <c r="DT626" s="34"/>
      <c r="DU626" s="34"/>
      <c r="DV626" s="34"/>
    </row>
    <row r="627" ht="15.75" customHeight="1">
      <c r="A627" s="34"/>
      <c r="B627" s="34"/>
      <c r="C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O627" s="34"/>
      <c r="CP627" s="34"/>
      <c r="CQ627" s="34"/>
      <c r="CR627" s="34"/>
      <c r="CS627" s="34"/>
      <c r="CT627" s="34"/>
      <c r="CU627" s="34"/>
      <c r="CV627" s="34"/>
      <c r="CW627" s="34"/>
      <c r="CX627" s="34"/>
      <c r="CY627" s="34"/>
      <c r="CZ627" s="34"/>
      <c r="DA627" s="34"/>
      <c r="DB627" s="34"/>
      <c r="DC627" s="34"/>
      <c r="DD627" s="34"/>
      <c r="DE627" s="34"/>
      <c r="DF627" s="34"/>
      <c r="DG627" s="34"/>
      <c r="DH627" s="34"/>
      <c r="DI627" s="34"/>
      <c r="DJ627" s="34"/>
      <c r="DK627" s="34"/>
      <c r="DL627" s="34"/>
      <c r="DM627" s="34"/>
      <c r="DN627" s="34"/>
      <c r="DO627" s="34"/>
      <c r="DP627" s="34"/>
      <c r="DQ627" s="34"/>
      <c r="DR627" s="34"/>
      <c r="DS627" s="34"/>
      <c r="DT627" s="34"/>
      <c r="DU627" s="34"/>
      <c r="DV627" s="34"/>
    </row>
    <row r="628" ht="15.75" customHeight="1">
      <c r="A628" s="34"/>
      <c r="B628" s="34"/>
      <c r="C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O628" s="34"/>
      <c r="CP628" s="34"/>
      <c r="CQ628" s="34"/>
      <c r="CR628" s="34"/>
      <c r="CS628" s="34"/>
      <c r="CT628" s="34"/>
      <c r="CU628" s="34"/>
      <c r="CV628" s="34"/>
      <c r="CW628" s="34"/>
      <c r="CX628" s="34"/>
      <c r="CY628" s="34"/>
      <c r="CZ628" s="34"/>
      <c r="DA628" s="34"/>
      <c r="DB628" s="34"/>
      <c r="DC628" s="34"/>
      <c r="DD628" s="34"/>
      <c r="DE628" s="34"/>
      <c r="DF628" s="34"/>
      <c r="DG628" s="34"/>
      <c r="DH628" s="34"/>
      <c r="DI628" s="34"/>
      <c r="DJ628" s="34"/>
      <c r="DK628" s="34"/>
      <c r="DL628" s="34"/>
      <c r="DM628" s="34"/>
      <c r="DN628" s="34"/>
      <c r="DO628" s="34"/>
      <c r="DP628" s="34"/>
      <c r="DQ628" s="34"/>
      <c r="DR628" s="34"/>
      <c r="DS628" s="34"/>
      <c r="DT628" s="34"/>
      <c r="DU628" s="34"/>
      <c r="DV628" s="34"/>
    </row>
    <row r="629" ht="15.75" customHeight="1">
      <c r="A629" s="34"/>
      <c r="B629" s="34"/>
      <c r="C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O629" s="34"/>
      <c r="CP629" s="34"/>
      <c r="CQ629" s="34"/>
      <c r="CR629" s="34"/>
      <c r="CS629" s="34"/>
      <c r="CT629" s="34"/>
      <c r="CU629" s="34"/>
      <c r="CV629" s="34"/>
      <c r="CW629" s="34"/>
      <c r="CX629" s="34"/>
      <c r="CY629" s="34"/>
      <c r="CZ629" s="34"/>
      <c r="DA629" s="34"/>
      <c r="DB629" s="34"/>
      <c r="DC629" s="34"/>
      <c r="DD629" s="34"/>
      <c r="DE629" s="34"/>
      <c r="DF629" s="34"/>
      <c r="DG629" s="34"/>
      <c r="DH629" s="34"/>
      <c r="DI629" s="34"/>
      <c r="DJ629" s="34"/>
      <c r="DK629" s="34"/>
      <c r="DL629" s="34"/>
      <c r="DM629" s="34"/>
      <c r="DN629" s="34"/>
      <c r="DO629" s="34"/>
      <c r="DP629" s="34"/>
      <c r="DQ629" s="34"/>
      <c r="DR629" s="34"/>
      <c r="DS629" s="34"/>
      <c r="DT629" s="34"/>
      <c r="DU629" s="34"/>
      <c r="DV629" s="34"/>
    </row>
    <row r="630" ht="15.75" customHeight="1">
      <c r="A630" s="34"/>
      <c r="B630" s="34"/>
      <c r="C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O630" s="34"/>
      <c r="CP630" s="34"/>
      <c r="CQ630" s="34"/>
      <c r="CR630" s="34"/>
      <c r="CS630" s="34"/>
      <c r="CT630" s="34"/>
      <c r="CU630" s="34"/>
      <c r="CV630" s="34"/>
      <c r="CW630" s="34"/>
      <c r="CX630" s="34"/>
      <c r="CY630" s="34"/>
      <c r="CZ630" s="34"/>
      <c r="DA630" s="34"/>
      <c r="DB630" s="34"/>
      <c r="DC630" s="34"/>
      <c r="DD630" s="34"/>
      <c r="DE630" s="34"/>
      <c r="DF630" s="34"/>
      <c r="DG630" s="34"/>
      <c r="DH630" s="34"/>
      <c r="DI630" s="34"/>
      <c r="DJ630" s="34"/>
      <c r="DK630" s="34"/>
      <c r="DL630" s="34"/>
      <c r="DM630" s="34"/>
      <c r="DN630" s="34"/>
      <c r="DO630" s="34"/>
      <c r="DP630" s="34"/>
      <c r="DQ630" s="34"/>
      <c r="DR630" s="34"/>
      <c r="DS630" s="34"/>
      <c r="DT630" s="34"/>
      <c r="DU630" s="34"/>
      <c r="DV630" s="34"/>
    </row>
    <row r="631" ht="15.75" customHeight="1">
      <c r="A631" s="34"/>
      <c r="B631" s="34"/>
      <c r="C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O631" s="34"/>
      <c r="CP631" s="34"/>
      <c r="CQ631" s="34"/>
      <c r="CR631" s="34"/>
      <c r="CS631" s="34"/>
      <c r="CT631" s="34"/>
      <c r="CU631" s="34"/>
      <c r="CV631" s="34"/>
      <c r="CW631" s="34"/>
      <c r="CX631" s="34"/>
      <c r="CY631" s="34"/>
      <c r="CZ631" s="34"/>
      <c r="DA631" s="34"/>
      <c r="DB631" s="34"/>
      <c r="DC631" s="34"/>
      <c r="DD631" s="34"/>
      <c r="DE631" s="34"/>
      <c r="DF631" s="34"/>
      <c r="DG631" s="34"/>
      <c r="DH631" s="34"/>
      <c r="DI631" s="34"/>
      <c r="DJ631" s="34"/>
      <c r="DK631" s="34"/>
      <c r="DL631" s="34"/>
      <c r="DM631" s="34"/>
      <c r="DN631" s="34"/>
      <c r="DO631" s="34"/>
      <c r="DP631" s="34"/>
      <c r="DQ631" s="34"/>
      <c r="DR631" s="34"/>
      <c r="DS631" s="34"/>
      <c r="DT631" s="34"/>
      <c r="DU631" s="34"/>
      <c r="DV631" s="34"/>
    </row>
    <row r="632" ht="15.75" customHeight="1">
      <c r="A632" s="34"/>
      <c r="B632" s="34"/>
      <c r="C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O632" s="34"/>
      <c r="CP632" s="34"/>
      <c r="CQ632" s="34"/>
      <c r="CR632" s="34"/>
      <c r="CS632" s="34"/>
      <c r="CT632" s="34"/>
      <c r="CU632" s="34"/>
      <c r="CV632" s="34"/>
      <c r="CW632" s="34"/>
      <c r="CX632" s="34"/>
      <c r="CY632" s="34"/>
      <c r="CZ632" s="34"/>
      <c r="DA632" s="34"/>
      <c r="DB632" s="34"/>
      <c r="DC632" s="34"/>
      <c r="DD632" s="34"/>
      <c r="DE632" s="34"/>
      <c r="DF632" s="34"/>
      <c r="DG632" s="34"/>
      <c r="DH632" s="34"/>
      <c r="DI632" s="34"/>
      <c r="DJ632" s="34"/>
      <c r="DK632" s="34"/>
      <c r="DL632" s="34"/>
      <c r="DM632" s="34"/>
      <c r="DN632" s="34"/>
      <c r="DO632" s="34"/>
      <c r="DP632" s="34"/>
      <c r="DQ632" s="34"/>
      <c r="DR632" s="34"/>
      <c r="DS632" s="34"/>
      <c r="DT632" s="34"/>
      <c r="DU632" s="34"/>
      <c r="DV632" s="34"/>
    </row>
    <row r="633" ht="15.75" customHeight="1">
      <c r="A633" s="34"/>
      <c r="B633" s="34"/>
      <c r="C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O633" s="34"/>
      <c r="CP633" s="34"/>
      <c r="CQ633" s="34"/>
      <c r="CR633" s="34"/>
      <c r="CS633" s="34"/>
      <c r="CT633" s="34"/>
      <c r="CU633" s="34"/>
      <c r="CV633" s="34"/>
      <c r="CW633" s="34"/>
      <c r="CX633" s="34"/>
      <c r="CY633" s="34"/>
      <c r="CZ633" s="34"/>
      <c r="DA633" s="34"/>
      <c r="DB633" s="34"/>
      <c r="DC633" s="34"/>
      <c r="DD633" s="34"/>
      <c r="DE633" s="34"/>
      <c r="DF633" s="34"/>
      <c r="DG633" s="34"/>
      <c r="DH633" s="34"/>
      <c r="DI633" s="34"/>
      <c r="DJ633" s="34"/>
      <c r="DK633" s="34"/>
      <c r="DL633" s="34"/>
      <c r="DM633" s="34"/>
      <c r="DN633" s="34"/>
      <c r="DO633" s="34"/>
      <c r="DP633" s="34"/>
      <c r="DQ633" s="34"/>
      <c r="DR633" s="34"/>
      <c r="DS633" s="34"/>
      <c r="DT633" s="34"/>
      <c r="DU633" s="34"/>
      <c r="DV633" s="34"/>
    </row>
    <row r="634" ht="15.75" customHeight="1">
      <c r="A634" s="34"/>
      <c r="B634" s="34"/>
      <c r="C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O634" s="34"/>
      <c r="CP634" s="34"/>
      <c r="CQ634" s="34"/>
      <c r="CR634" s="34"/>
      <c r="CS634" s="34"/>
      <c r="CT634" s="34"/>
      <c r="CU634" s="34"/>
      <c r="CV634" s="34"/>
      <c r="CW634" s="34"/>
      <c r="CX634" s="34"/>
      <c r="CY634" s="34"/>
      <c r="CZ634" s="34"/>
      <c r="DA634" s="34"/>
      <c r="DB634" s="34"/>
      <c r="DC634" s="34"/>
      <c r="DD634" s="34"/>
      <c r="DE634" s="34"/>
      <c r="DF634" s="34"/>
      <c r="DG634" s="34"/>
      <c r="DH634" s="34"/>
      <c r="DI634" s="34"/>
      <c r="DJ634" s="34"/>
      <c r="DK634" s="34"/>
      <c r="DL634" s="34"/>
      <c r="DM634" s="34"/>
      <c r="DN634" s="34"/>
      <c r="DO634" s="34"/>
      <c r="DP634" s="34"/>
      <c r="DQ634" s="34"/>
      <c r="DR634" s="34"/>
      <c r="DS634" s="34"/>
      <c r="DT634" s="34"/>
      <c r="DU634" s="34"/>
      <c r="DV634" s="34"/>
    </row>
    <row r="635" ht="15.75" customHeight="1">
      <c r="A635" s="34"/>
      <c r="B635" s="34"/>
      <c r="C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O635" s="34"/>
      <c r="CP635" s="34"/>
      <c r="CQ635" s="34"/>
      <c r="CR635" s="34"/>
      <c r="CS635" s="34"/>
      <c r="CT635" s="34"/>
      <c r="CU635" s="34"/>
      <c r="CV635" s="34"/>
      <c r="CW635" s="34"/>
      <c r="CX635" s="34"/>
      <c r="CY635" s="34"/>
      <c r="CZ635" s="34"/>
      <c r="DA635" s="34"/>
      <c r="DB635" s="34"/>
      <c r="DC635" s="34"/>
      <c r="DD635" s="34"/>
      <c r="DE635" s="34"/>
      <c r="DF635" s="34"/>
      <c r="DG635" s="34"/>
      <c r="DH635" s="34"/>
      <c r="DI635" s="34"/>
      <c r="DJ635" s="34"/>
      <c r="DK635" s="34"/>
      <c r="DL635" s="34"/>
      <c r="DM635" s="34"/>
      <c r="DN635" s="34"/>
      <c r="DO635" s="34"/>
      <c r="DP635" s="34"/>
      <c r="DQ635" s="34"/>
      <c r="DR635" s="34"/>
      <c r="DS635" s="34"/>
      <c r="DT635" s="34"/>
      <c r="DU635" s="34"/>
      <c r="DV635" s="34"/>
    </row>
    <row r="636" ht="15.75" customHeight="1">
      <c r="A636" s="34"/>
      <c r="B636" s="34"/>
      <c r="C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O636" s="34"/>
      <c r="CP636" s="34"/>
      <c r="CQ636" s="34"/>
      <c r="CR636" s="34"/>
      <c r="CS636" s="34"/>
      <c r="CT636" s="34"/>
      <c r="CU636" s="34"/>
      <c r="CV636" s="34"/>
      <c r="CW636" s="34"/>
      <c r="CX636" s="34"/>
      <c r="CY636" s="34"/>
      <c r="CZ636" s="34"/>
      <c r="DA636" s="34"/>
      <c r="DB636" s="34"/>
      <c r="DC636" s="34"/>
      <c r="DD636" s="34"/>
      <c r="DE636" s="34"/>
      <c r="DF636" s="34"/>
      <c r="DG636" s="34"/>
      <c r="DH636" s="34"/>
      <c r="DI636" s="34"/>
      <c r="DJ636" s="34"/>
      <c r="DK636" s="34"/>
      <c r="DL636" s="34"/>
      <c r="DM636" s="34"/>
      <c r="DN636" s="34"/>
      <c r="DO636" s="34"/>
      <c r="DP636" s="34"/>
      <c r="DQ636" s="34"/>
      <c r="DR636" s="34"/>
      <c r="DS636" s="34"/>
      <c r="DT636" s="34"/>
      <c r="DU636" s="34"/>
      <c r="DV636" s="34"/>
    </row>
    <row r="637" ht="15.75" customHeight="1">
      <c r="A637" s="34"/>
      <c r="B637" s="34"/>
      <c r="C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O637" s="34"/>
      <c r="CP637" s="34"/>
      <c r="CQ637" s="34"/>
      <c r="CR637" s="34"/>
      <c r="CS637" s="34"/>
      <c r="CT637" s="34"/>
      <c r="CU637" s="34"/>
      <c r="CV637" s="34"/>
      <c r="CW637" s="34"/>
      <c r="CX637" s="34"/>
      <c r="CY637" s="34"/>
      <c r="CZ637" s="34"/>
      <c r="DA637" s="34"/>
      <c r="DB637" s="34"/>
      <c r="DC637" s="34"/>
      <c r="DD637" s="34"/>
      <c r="DE637" s="34"/>
      <c r="DF637" s="34"/>
      <c r="DG637" s="34"/>
      <c r="DH637" s="34"/>
      <c r="DI637" s="34"/>
      <c r="DJ637" s="34"/>
      <c r="DK637" s="34"/>
      <c r="DL637" s="34"/>
      <c r="DM637" s="34"/>
      <c r="DN637" s="34"/>
      <c r="DO637" s="34"/>
      <c r="DP637" s="34"/>
      <c r="DQ637" s="34"/>
      <c r="DR637" s="34"/>
      <c r="DS637" s="34"/>
      <c r="DT637" s="34"/>
      <c r="DU637" s="34"/>
      <c r="DV637" s="34"/>
    </row>
    <row r="638" ht="15.75" customHeight="1">
      <c r="A638" s="34"/>
      <c r="B638" s="34"/>
      <c r="C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O638" s="34"/>
      <c r="CP638" s="34"/>
      <c r="CQ638" s="34"/>
      <c r="CR638" s="34"/>
      <c r="CS638" s="34"/>
      <c r="CT638" s="34"/>
      <c r="CU638" s="34"/>
      <c r="CV638" s="34"/>
      <c r="CW638" s="34"/>
      <c r="CX638" s="34"/>
      <c r="CY638" s="34"/>
      <c r="CZ638" s="34"/>
      <c r="DA638" s="34"/>
      <c r="DB638" s="34"/>
      <c r="DC638" s="34"/>
      <c r="DD638" s="34"/>
      <c r="DE638" s="34"/>
      <c r="DF638" s="34"/>
      <c r="DG638" s="34"/>
      <c r="DH638" s="34"/>
      <c r="DI638" s="34"/>
      <c r="DJ638" s="34"/>
      <c r="DK638" s="34"/>
      <c r="DL638" s="34"/>
      <c r="DM638" s="34"/>
      <c r="DN638" s="34"/>
      <c r="DO638" s="34"/>
      <c r="DP638" s="34"/>
      <c r="DQ638" s="34"/>
      <c r="DR638" s="34"/>
      <c r="DS638" s="34"/>
      <c r="DT638" s="34"/>
      <c r="DU638" s="34"/>
      <c r="DV638" s="34"/>
    </row>
    <row r="639" ht="15.75" customHeight="1">
      <c r="A639" s="34"/>
      <c r="B639" s="34"/>
      <c r="C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O639" s="34"/>
      <c r="CP639" s="34"/>
      <c r="CQ639" s="34"/>
      <c r="CR639" s="34"/>
      <c r="CS639" s="34"/>
      <c r="CT639" s="34"/>
      <c r="CU639" s="34"/>
      <c r="CV639" s="34"/>
      <c r="CW639" s="34"/>
      <c r="CX639" s="34"/>
      <c r="CY639" s="34"/>
      <c r="CZ639" s="34"/>
      <c r="DA639" s="34"/>
      <c r="DB639" s="34"/>
      <c r="DC639" s="34"/>
      <c r="DD639" s="34"/>
      <c r="DE639" s="34"/>
      <c r="DF639" s="34"/>
      <c r="DG639" s="34"/>
      <c r="DH639" s="34"/>
      <c r="DI639" s="34"/>
      <c r="DJ639" s="34"/>
      <c r="DK639" s="34"/>
      <c r="DL639" s="34"/>
      <c r="DM639" s="34"/>
      <c r="DN639" s="34"/>
      <c r="DO639" s="34"/>
      <c r="DP639" s="34"/>
      <c r="DQ639" s="34"/>
      <c r="DR639" s="34"/>
      <c r="DS639" s="34"/>
      <c r="DT639" s="34"/>
      <c r="DU639" s="34"/>
      <c r="DV639" s="34"/>
    </row>
    <row r="640" ht="15.75" customHeight="1">
      <c r="A640" s="34"/>
      <c r="B640" s="34"/>
      <c r="C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O640" s="34"/>
      <c r="CP640" s="34"/>
      <c r="CQ640" s="34"/>
      <c r="CR640" s="34"/>
      <c r="CS640" s="34"/>
      <c r="CT640" s="34"/>
      <c r="CU640" s="34"/>
      <c r="CV640" s="34"/>
      <c r="CW640" s="34"/>
      <c r="CX640" s="34"/>
      <c r="CY640" s="34"/>
      <c r="CZ640" s="34"/>
      <c r="DA640" s="34"/>
      <c r="DB640" s="34"/>
      <c r="DC640" s="34"/>
      <c r="DD640" s="34"/>
      <c r="DE640" s="34"/>
      <c r="DF640" s="34"/>
      <c r="DG640" s="34"/>
      <c r="DH640" s="34"/>
      <c r="DI640" s="34"/>
      <c r="DJ640" s="34"/>
      <c r="DK640" s="34"/>
      <c r="DL640" s="34"/>
      <c r="DM640" s="34"/>
      <c r="DN640" s="34"/>
      <c r="DO640" s="34"/>
      <c r="DP640" s="34"/>
      <c r="DQ640" s="34"/>
      <c r="DR640" s="34"/>
      <c r="DS640" s="34"/>
      <c r="DT640" s="34"/>
      <c r="DU640" s="34"/>
      <c r="DV640" s="34"/>
    </row>
    <row r="641" ht="15.75" customHeight="1">
      <c r="A641" s="34"/>
      <c r="B641" s="34"/>
      <c r="C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O641" s="34"/>
      <c r="CP641" s="34"/>
      <c r="CQ641" s="34"/>
      <c r="CR641" s="34"/>
      <c r="CS641" s="34"/>
      <c r="CT641" s="34"/>
      <c r="CU641" s="34"/>
      <c r="CV641" s="34"/>
      <c r="CW641" s="34"/>
      <c r="CX641" s="34"/>
      <c r="CY641" s="34"/>
      <c r="CZ641" s="34"/>
      <c r="DA641" s="34"/>
      <c r="DB641" s="34"/>
      <c r="DC641" s="34"/>
      <c r="DD641" s="34"/>
      <c r="DE641" s="34"/>
      <c r="DF641" s="34"/>
      <c r="DG641" s="34"/>
      <c r="DH641" s="34"/>
      <c r="DI641" s="34"/>
      <c r="DJ641" s="34"/>
      <c r="DK641" s="34"/>
      <c r="DL641" s="34"/>
      <c r="DM641" s="34"/>
      <c r="DN641" s="34"/>
      <c r="DO641" s="34"/>
      <c r="DP641" s="34"/>
      <c r="DQ641" s="34"/>
      <c r="DR641" s="34"/>
      <c r="DS641" s="34"/>
      <c r="DT641" s="34"/>
      <c r="DU641" s="34"/>
      <c r="DV641" s="34"/>
    </row>
    <row r="642" ht="15.75" customHeight="1">
      <c r="A642" s="34"/>
      <c r="B642" s="34"/>
      <c r="C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O642" s="34"/>
      <c r="CP642" s="34"/>
      <c r="CQ642" s="34"/>
      <c r="CR642" s="34"/>
      <c r="CS642" s="34"/>
      <c r="CT642" s="34"/>
      <c r="CU642" s="34"/>
      <c r="CV642" s="34"/>
      <c r="CW642" s="34"/>
      <c r="CX642" s="34"/>
      <c r="CY642" s="34"/>
      <c r="CZ642" s="34"/>
      <c r="DA642" s="34"/>
      <c r="DB642" s="34"/>
      <c r="DC642" s="34"/>
      <c r="DD642" s="34"/>
      <c r="DE642" s="34"/>
      <c r="DF642" s="34"/>
      <c r="DG642" s="34"/>
      <c r="DH642" s="34"/>
      <c r="DI642" s="34"/>
      <c r="DJ642" s="34"/>
      <c r="DK642" s="34"/>
      <c r="DL642" s="34"/>
      <c r="DM642" s="34"/>
      <c r="DN642" s="34"/>
      <c r="DO642" s="34"/>
      <c r="DP642" s="34"/>
      <c r="DQ642" s="34"/>
      <c r="DR642" s="34"/>
      <c r="DS642" s="34"/>
      <c r="DT642" s="34"/>
      <c r="DU642" s="34"/>
      <c r="DV642" s="34"/>
    </row>
    <row r="643" ht="15.75" customHeight="1">
      <c r="A643" s="34"/>
      <c r="B643" s="34"/>
      <c r="C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A643" s="34"/>
      <c r="DB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  <c r="DM643" s="34"/>
      <c r="DN643" s="34"/>
      <c r="DO643" s="34"/>
      <c r="DP643" s="34"/>
      <c r="DQ643" s="34"/>
      <c r="DR643" s="34"/>
      <c r="DS643" s="34"/>
      <c r="DT643" s="34"/>
      <c r="DU643" s="34"/>
      <c r="DV643" s="34"/>
    </row>
    <row r="644" ht="15.75" customHeight="1">
      <c r="A644" s="34"/>
      <c r="B644" s="34"/>
      <c r="C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A644" s="34"/>
      <c r="DB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  <c r="DM644" s="34"/>
      <c r="DN644" s="34"/>
      <c r="DO644" s="34"/>
      <c r="DP644" s="34"/>
      <c r="DQ644" s="34"/>
      <c r="DR644" s="34"/>
      <c r="DS644" s="34"/>
      <c r="DT644" s="34"/>
      <c r="DU644" s="34"/>
      <c r="DV644" s="34"/>
    </row>
    <row r="645" ht="15.75" customHeight="1">
      <c r="A645" s="34"/>
      <c r="B645" s="34"/>
      <c r="C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A645" s="34"/>
      <c r="DB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  <c r="DM645" s="34"/>
      <c r="DN645" s="34"/>
      <c r="DO645" s="34"/>
      <c r="DP645" s="34"/>
      <c r="DQ645" s="34"/>
      <c r="DR645" s="34"/>
      <c r="DS645" s="34"/>
      <c r="DT645" s="34"/>
      <c r="DU645" s="34"/>
      <c r="DV645" s="34"/>
    </row>
    <row r="646" ht="15.75" customHeight="1">
      <c r="A646" s="34"/>
      <c r="B646" s="34"/>
      <c r="C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A646" s="34"/>
      <c r="DB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  <c r="DM646" s="34"/>
      <c r="DN646" s="34"/>
      <c r="DO646" s="34"/>
      <c r="DP646" s="34"/>
      <c r="DQ646" s="34"/>
      <c r="DR646" s="34"/>
      <c r="DS646" s="34"/>
      <c r="DT646" s="34"/>
      <c r="DU646" s="34"/>
      <c r="DV646" s="34"/>
    </row>
    <row r="647" ht="15.75" customHeight="1">
      <c r="A647" s="34"/>
      <c r="B647" s="34"/>
      <c r="C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A647" s="34"/>
      <c r="DB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  <c r="DM647" s="34"/>
      <c r="DN647" s="34"/>
      <c r="DO647" s="34"/>
      <c r="DP647" s="34"/>
      <c r="DQ647" s="34"/>
      <c r="DR647" s="34"/>
      <c r="DS647" s="34"/>
      <c r="DT647" s="34"/>
      <c r="DU647" s="34"/>
      <c r="DV647" s="34"/>
    </row>
    <row r="648" ht="15.75" customHeight="1">
      <c r="A648" s="34"/>
      <c r="B648" s="34"/>
      <c r="C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A648" s="34"/>
      <c r="DB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  <c r="DM648" s="34"/>
      <c r="DN648" s="34"/>
      <c r="DO648" s="34"/>
      <c r="DP648" s="34"/>
      <c r="DQ648" s="34"/>
      <c r="DR648" s="34"/>
      <c r="DS648" s="34"/>
      <c r="DT648" s="34"/>
      <c r="DU648" s="34"/>
      <c r="DV648" s="34"/>
    </row>
    <row r="649" ht="15.75" customHeight="1">
      <c r="A649" s="34"/>
      <c r="B649" s="34"/>
      <c r="C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A649" s="34"/>
      <c r="DB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  <c r="DM649" s="34"/>
      <c r="DN649" s="34"/>
      <c r="DO649" s="34"/>
      <c r="DP649" s="34"/>
      <c r="DQ649" s="34"/>
      <c r="DR649" s="34"/>
      <c r="DS649" s="34"/>
      <c r="DT649" s="34"/>
      <c r="DU649" s="34"/>
      <c r="DV649" s="34"/>
    </row>
    <row r="650" ht="15.75" customHeight="1">
      <c r="A650" s="34"/>
      <c r="B650" s="34"/>
      <c r="C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A650" s="34"/>
      <c r="DB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  <c r="DM650" s="34"/>
      <c r="DN650" s="34"/>
      <c r="DO650" s="34"/>
      <c r="DP650" s="34"/>
      <c r="DQ650" s="34"/>
      <c r="DR650" s="34"/>
      <c r="DS650" s="34"/>
      <c r="DT650" s="34"/>
      <c r="DU650" s="34"/>
      <c r="DV650" s="34"/>
    </row>
    <row r="651" ht="15.75" customHeight="1">
      <c r="A651" s="34"/>
      <c r="B651" s="34"/>
      <c r="C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A651" s="34"/>
      <c r="DB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  <c r="DM651" s="34"/>
      <c r="DN651" s="34"/>
      <c r="DO651" s="34"/>
      <c r="DP651" s="34"/>
      <c r="DQ651" s="34"/>
      <c r="DR651" s="34"/>
      <c r="DS651" s="34"/>
      <c r="DT651" s="34"/>
      <c r="DU651" s="34"/>
      <c r="DV651" s="34"/>
    </row>
    <row r="652" ht="15.75" customHeight="1">
      <c r="A652" s="34"/>
      <c r="B652" s="34"/>
      <c r="C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A652" s="34"/>
      <c r="DB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  <c r="DM652" s="34"/>
      <c r="DN652" s="34"/>
      <c r="DO652" s="34"/>
      <c r="DP652" s="34"/>
      <c r="DQ652" s="34"/>
      <c r="DR652" s="34"/>
      <c r="DS652" s="34"/>
      <c r="DT652" s="34"/>
      <c r="DU652" s="34"/>
      <c r="DV652" s="34"/>
    </row>
    <row r="653" ht="15.75" customHeight="1">
      <c r="A653" s="34"/>
      <c r="B653" s="34"/>
      <c r="C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A653" s="34"/>
      <c r="DB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  <c r="DM653" s="34"/>
      <c r="DN653" s="34"/>
      <c r="DO653" s="34"/>
      <c r="DP653" s="34"/>
      <c r="DQ653" s="34"/>
      <c r="DR653" s="34"/>
      <c r="DS653" s="34"/>
      <c r="DT653" s="34"/>
      <c r="DU653" s="34"/>
      <c r="DV653" s="34"/>
    </row>
    <row r="654" ht="15.75" customHeight="1">
      <c r="A654" s="34"/>
      <c r="B654" s="34"/>
      <c r="C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A654" s="34"/>
      <c r="DB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  <c r="DM654" s="34"/>
      <c r="DN654" s="34"/>
      <c r="DO654" s="34"/>
      <c r="DP654" s="34"/>
      <c r="DQ654" s="34"/>
      <c r="DR654" s="34"/>
      <c r="DS654" s="34"/>
      <c r="DT654" s="34"/>
      <c r="DU654" s="34"/>
      <c r="DV654" s="34"/>
    </row>
    <row r="655" ht="15.75" customHeight="1">
      <c r="A655" s="34"/>
      <c r="B655" s="34"/>
      <c r="C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A655" s="34"/>
      <c r="DB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  <c r="DM655" s="34"/>
      <c r="DN655" s="34"/>
      <c r="DO655" s="34"/>
      <c r="DP655" s="34"/>
      <c r="DQ655" s="34"/>
      <c r="DR655" s="34"/>
      <c r="DS655" s="34"/>
      <c r="DT655" s="34"/>
      <c r="DU655" s="34"/>
      <c r="DV655" s="34"/>
    </row>
    <row r="656" ht="15.75" customHeight="1">
      <c r="A656" s="34"/>
      <c r="B656" s="34"/>
      <c r="C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A656" s="34"/>
      <c r="DB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  <c r="DM656" s="34"/>
      <c r="DN656" s="34"/>
      <c r="DO656" s="34"/>
      <c r="DP656" s="34"/>
      <c r="DQ656" s="34"/>
      <c r="DR656" s="34"/>
      <c r="DS656" s="34"/>
      <c r="DT656" s="34"/>
      <c r="DU656" s="34"/>
      <c r="DV656" s="34"/>
    </row>
    <row r="657" ht="15.75" customHeight="1">
      <c r="A657" s="34"/>
      <c r="B657" s="34"/>
      <c r="C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A657" s="34"/>
      <c r="DB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  <c r="DM657" s="34"/>
      <c r="DN657" s="34"/>
      <c r="DO657" s="34"/>
      <c r="DP657" s="34"/>
      <c r="DQ657" s="34"/>
      <c r="DR657" s="34"/>
      <c r="DS657" s="34"/>
      <c r="DT657" s="34"/>
      <c r="DU657" s="34"/>
      <c r="DV657" s="34"/>
    </row>
    <row r="658" ht="15.75" customHeight="1">
      <c r="A658" s="34"/>
      <c r="B658" s="34"/>
      <c r="C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A658" s="34"/>
      <c r="DB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  <c r="DM658" s="34"/>
      <c r="DN658" s="34"/>
      <c r="DO658" s="34"/>
      <c r="DP658" s="34"/>
      <c r="DQ658" s="34"/>
      <c r="DR658" s="34"/>
      <c r="DS658" s="34"/>
      <c r="DT658" s="34"/>
      <c r="DU658" s="34"/>
      <c r="DV658" s="34"/>
    </row>
    <row r="659" ht="15.75" customHeight="1">
      <c r="A659" s="34"/>
      <c r="B659" s="34"/>
      <c r="C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A659" s="34"/>
      <c r="DB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  <c r="DM659" s="34"/>
      <c r="DN659" s="34"/>
      <c r="DO659" s="34"/>
      <c r="DP659" s="34"/>
      <c r="DQ659" s="34"/>
      <c r="DR659" s="34"/>
      <c r="DS659" s="34"/>
      <c r="DT659" s="34"/>
      <c r="DU659" s="34"/>
      <c r="DV659" s="34"/>
    </row>
    <row r="660" ht="15.75" customHeight="1">
      <c r="A660" s="34"/>
      <c r="B660" s="34"/>
      <c r="C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A660" s="34"/>
      <c r="DB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  <c r="DM660" s="34"/>
      <c r="DN660" s="34"/>
      <c r="DO660" s="34"/>
      <c r="DP660" s="34"/>
      <c r="DQ660" s="34"/>
      <c r="DR660" s="34"/>
      <c r="DS660" s="34"/>
      <c r="DT660" s="34"/>
      <c r="DU660" s="34"/>
      <c r="DV660" s="34"/>
    </row>
    <row r="661" ht="15.75" customHeight="1">
      <c r="A661" s="34"/>
      <c r="B661" s="34"/>
      <c r="C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A661" s="34"/>
      <c r="DB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  <c r="DM661" s="34"/>
      <c r="DN661" s="34"/>
      <c r="DO661" s="34"/>
      <c r="DP661" s="34"/>
      <c r="DQ661" s="34"/>
      <c r="DR661" s="34"/>
      <c r="DS661" s="34"/>
      <c r="DT661" s="34"/>
      <c r="DU661" s="34"/>
      <c r="DV661" s="34"/>
    </row>
    <row r="662" ht="15.75" customHeight="1">
      <c r="A662" s="34"/>
      <c r="B662" s="34"/>
      <c r="C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A662" s="34"/>
      <c r="DB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  <c r="DM662" s="34"/>
      <c r="DN662" s="34"/>
      <c r="DO662" s="34"/>
      <c r="DP662" s="34"/>
      <c r="DQ662" s="34"/>
      <c r="DR662" s="34"/>
      <c r="DS662" s="34"/>
      <c r="DT662" s="34"/>
      <c r="DU662" s="34"/>
      <c r="DV662" s="34"/>
    </row>
    <row r="663" ht="15.75" customHeight="1">
      <c r="A663" s="34"/>
      <c r="B663" s="34"/>
      <c r="C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A663" s="34"/>
      <c r="DB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  <c r="DM663" s="34"/>
      <c r="DN663" s="34"/>
      <c r="DO663" s="34"/>
      <c r="DP663" s="34"/>
      <c r="DQ663" s="34"/>
      <c r="DR663" s="34"/>
      <c r="DS663" s="34"/>
      <c r="DT663" s="34"/>
      <c r="DU663" s="34"/>
      <c r="DV663" s="34"/>
    </row>
    <row r="664" ht="15.75" customHeight="1">
      <c r="A664" s="34"/>
      <c r="B664" s="34"/>
      <c r="C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A664" s="34"/>
      <c r="DB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  <c r="DM664" s="34"/>
      <c r="DN664" s="34"/>
      <c r="DO664" s="34"/>
      <c r="DP664" s="34"/>
      <c r="DQ664" s="34"/>
      <c r="DR664" s="34"/>
      <c r="DS664" s="34"/>
      <c r="DT664" s="34"/>
      <c r="DU664" s="34"/>
      <c r="DV664" s="34"/>
    </row>
    <row r="665" ht="15.75" customHeight="1">
      <c r="A665" s="34"/>
      <c r="B665" s="34"/>
      <c r="C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A665" s="34"/>
      <c r="DB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  <c r="DM665" s="34"/>
      <c r="DN665" s="34"/>
      <c r="DO665" s="34"/>
      <c r="DP665" s="34"/>
      <c r="DQ665" s="34"/>
      <c r="DR665" s="34"/>
      <c r="DS665" s="34"/>
      <c r="DT665" s="34"/>
      <c r="DU665" s="34"/>
      <c r="DV665" s="34"/>
    </row>
    <row r="666" ht="15.75" customHeight="1">
      <c r="A666" s="34"/>
      <c r="B666" s="34"/>
      <c r="C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A666" s="34"/>
      <c r="DB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  <c r="DM666" s="34"/>
      <c r="DN666" s="34"/>
      <c r="DO666" s="34"/>
      <c r="DP666" s="34"/>
      <c r="DQ666" s="34"/>
      <c r="DR666" s="34"/>
      <c r="DS666" s="34"/>
      <c r="DT666" s="34"/>
      <c r="DU666" s="34"/>
      <c r="DV666" s="34"/>
    </row>
    <row r="667" ht="15.75" customHeight="1">
      <c r="A667" s="34"/>
      <c r="B667" s="34"/>
      <c r="C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A667" s="34"/>
      <c r="DB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  <c r="DM667" s="34"/>
      <c r="DN667" s="34"/>
      <c r="DO667" s="34"/>
      <c r="DP667" s="34"/>
      <c r="DQ667" s="34"/>
      <c r="DR667" s="34"/>
      <c r="DS667" s="34"/>
      <c r="DT667" s="34"/>
      <c r="DU667" s="34"/>
      <c r="DV667" s="34"/>
    </row>
    <row r="668" ht="15.75" customHeight="1">
      <c r="A668" s="34"/>
      <c r="B668" s="34"/>
      <c r="C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A668" s="34"/>
      <c r="DB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  <c r="DM668" s="34"/>
      <c r="DN668" s="34"/>
      <c r="DO668" s="34"/>
      <c r="DP668" s="34"/>
      <c r="DQ668" s="34"/>
      <c r="DR668" s="34"/>
      <c r="DS668" s="34"/>
      <c r="DT668" s="34"/>
      <c r="DU668" s="34"/>
      <c r="DV668" s="34"/>
    </row>
    <row r="669" ht="15.75" customHeight="1">
      <c r="A669" s="34"/>
      <c r="B669" s="34"/>
      <c r="C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A669" s="34"/>
      <c r="DB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  <c r="DM669" s="34"/>
      <c r="DN669" s="34"/>
      <c r="DO669" s="34"/>
      <c r="DP669" s="34"/>
      <c r="DQ669" s="34"/>
      <c r="DR669" s="34"/>
      <c r="DS669" s="34"/>
      <c r="DT669" s="34"/>
      <c r="DU669" s="34"/>
      <c r="DV669" s="34"/>
    </row>
    <row r="670" ht="15.75" customHeight="1">
      <c r="A670" s="34"/>
      <c r="B670" s="34"/>
      <c r="C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A670" s="34"/>
      <c r="DB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  <c r="DM670" s="34"/>
      <c r="DN670" s="34"/>
      <c r="DO670" s="34"/>
      <c r="DP670" s="34"/>
      <c r="DQ670" s="34"/>
      <c r="DR670" s="34"/>
      <c r="DS670" s="34"/>
      <c r="DT670" s="34"/>
      <c r="DU670" s="34"/>
      <c r="DV670" s="34"/>
    </row>
    <row r="671" ht="15.75" customHeight="1">
      <c r="A671" s="34"/>
      <c r="B671" s="34"/>
      <c r="C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A671" s="34"/>
      <c r="DB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  <c r="DM671" s="34"/>
      <c r="DN671" s="34"/>
      <c r="DO671" s="34"/>
      <c r="DP671" s="34"/>
      <c r="DQ671" s="34"/>
      <c r="DR671" s="34"/>
      <c r="DS671" s="34"/>
      <c r="DT671" s="34"/>
      <c r="DU671" s="34"/>
      <c r="DV671" s="34"/>
    </row>
    <row r="672" ht="15.75" customHeight="1">
      <c r="A672" s="34"/>
      <c r="B672" s="34"/>
      <c r="C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A672" s="34"/>
      <c r="DB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  <c r="DM672" s="34"/>
      <c r="DN672" s="34"/>
      <c r="DO672" s="34"/>
      <c r="DP672" s="34"/>
      <c r="DQ672" s="34"/>
      <c r="DR672" s="34"/>
      <c r="DS672" s="34"/>
      <c r="DT672" s="34"/>
      <c r="DU672" s="34"/>
      <c r="DV672" s="34"/>
    </row>
    <row r="673" ht="15.75" customHeight="1">
      <c r="A673" s="34"/>
      <c r="B673" s="34"/>
      <c r="C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A673" s="34"/>
      <c r="DB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  <c r="DM673" s="34"/>
      <c r="DN673" s="34"/>
      <c r="DO673" s="34"/>
      <c r="DP673" s="34"/>
      <c r="DQ673" s="34"/>
      <c r="DR673" s="34"/>
      <c r="DS673" s="34"/>
      <c r="DT673" s="34"/>
      <c r="DU673" s="34"/>
      <c r="DV673" s="34"/>
    </row>
    <row r="674" ht="15.75" customHeight="1">
      <c r="A674" s="34"/>
      <c r="B674" s="34"/>
      <c r="C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A674" s="34"/>
      <c r="DB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  <c r="DM674" s="34"/>
      <c r="DN674" s="34"/>
      <c r="DO674" s="34"/>
      <c r="DP674" s="34"/>
      <c r="DQ674" s="34"/>
      <c r="DR674" s="34"/>
      <c r="DS674" s="34"/>
      <c r="DT674" s="34"/>
      <c r="DU674" s="34"/>
      <c r="DV674" s="34"/>
    </row>
    <row r="675" ht="15.75" customHeight="1">
      <c r="A675" s="34"/>
      <c r="B675" s="34"/>
      <c r="C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A675" s="34"/>
      <c r="DB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  <c r="DM675" s="34"/>
      <c r="DN675" s="34"/>
      <c r="DO675" s="34"/>
      <c r="DP675" s="34"/>
      <c r="DQ675" s="34"/>
      <c r="DR675" s="34"/>
      <c r="DS675" s="34"/>
      <c r="DT675" s="34"/>
      <c r="DU675" s="34"/>
      <c r="DV675" s="34"/>
    </row>
    <row r="676" ht="15.75" customHeight="1">
      <c r="A676" s="34"/>
      <c r="B676" s="34"/>
      <c r="C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A676" s="34"/>
      <c r="DB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  <c r="DM676" s="34"/>
      <c r="DN676" s="34"/>
      <c r="DO676" s="34"/>
      <c r="DP676" s="34"/>
      <c r="DQ676" s="34"/>
      <c r="DR676" s="34"/>
      <c r="DS676" s="34"/>
      <c r="DT676" s="34"/>
      <c r="DU676" s="34"/>
      <c r="DV676" s="34"/>
    </row>
    <row r="677" ht="15.75" customHeight="1">
      <c r="A677" s="34"/>
      <c r="B677" s="34"/>
      <c r="C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A677" s="34"/>
      <c r="DB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  <c r="DM677" s="34"/>
      <c r="DN677" s="34"/>
      <c r="DO677" s="34"/>
      <c r="DP677" s="34"/>
      <c r="DQ677" s="34"/>
      <c r="DR677" s="34"/>
      <c r="DS677" s="34"/>
      <c r="DT677" s="34"/>
      <c r="DU677" s="34"/>
      <c r="DV677" s="34"/>
    </row>
    <row r="678" ht="15.75" customHeight="1">
      <c r="A678" s="34"/>
      <c r="B678" s="34"/>
      <c r="C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A678" s="34"/>
      <c r="DB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  <c r="DM678" s="34"/>
      <c r="DN678" s="34"/>
      <c r="DO678" s="34"/>
      <c r="DP678" s="34"/>
      <c r="DQ678" s="34"/>
      <c r="DR678" s="34"/>
      <c r="DS678" s="34"/>
      <c r="DT678" s="34"/>
      <c r="DU678" s="34"/>
      <c r="DV678" s="34"/>
    </row>
    <row r="679" ht="15.75" customHeight="1">
      <c r="A679" s="34"/>
      <c r="B679" s="34"/>
      <c r="C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A679" s="34"/>
      <c r="DB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  <c r="DM679" s="34"/>
      <c r="DN679" s="34"/>
      <c r="DO679" s="34"/>
      <c r="DP679" s="34"/>
      <c r="DQ679" s="34"/>
      <c r="DR679" s="34"/>
      <c r="DS679" s="34"/>
      <c r="DT679" s="34"/>
      <c r="DU679" s="34"/>
      <c r="DV679" s="34"/>
    </row>
    <row r="680" ht="15.75" customHeight="1">
      <c r="A680" s="34"/>
      <c r="B680" s="34"/>
      <c r="C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A680" s="34"/>
      <c r="DB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  <c r="DM680" s="34"/>
      <c r="DN680" s="34"/>
      <c r="DO680" s="34"/>
      <c r="DP680" s="34"/>
      <c r="DQ680" s="34"/>
      <c r="DR680" s="34"/>
      <c r="DS680" s="34"/>
      <c r="DT680" s="34"/>
      <c r="DU680" s="34"/>
      <c r="DV680" s="34"/>
    </row>
    <row r="681" ht="15.75" customHeight="1">
      <c r="A681" s="34"/>
      <c r="B681" s="34"/>
      <c r="C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A681" s="34"/>
      <c r="DB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  <c r="DM681" s="34"/>
      <c r="DN681" s="34"/>
      <c r="DO681" s="34"/>
      <c r="DP681" s="34"/>
      <c r="DQ681" s="34"/>
      <c r="DR681" s="34"/>
      <c r="DS681" s="34"/>
      <c r="DT681" s="34"/>
      <c r="DU681" s="34"/>
      <c r="DV681" s="34"/>
    </row>
    <row r="682" ht="15.75" customHeight="1">
      <c r="A682" s="34"/>
      <c r="B682" s="34"/>
      <c r="C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A682" s="34"/>
      <c r="DB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  <c r="DM682" s="34"/>
      <c r="DN682" s="34"/>
      <c r="DO682" s="34"/>
      <c r="DP682" s="34"/>
      <c r="DQ682" s="34"/>
      <c r="DR682" s="34"/>
      <c r="DS682" s="34"/>
      <c r="DT682" s="34"/>
      <c r="DU682" s="34"/>
      <c r="DV682" s="34"/>
    </row>
    <row r="683" ht="15.75" customHeight="1">
      <c r="A683" s="34"/>
      <c r="B683" s="34"/>
      <c r="C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A683" s="34"/>
      <c r="DB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  <c r="DM683" s="34"/>
      <c r="DN683" s="34"/>
      <c r="DO683" s="34"/>
      <c r="DP683" s="34"/>
      <c r="DQ683" s="34"/>
      <c r="DR683" s="34"/>
      <c r="DS683" s="34"/>
      <c r="DT683" s="34"/>
      <c r="DU683" s="34"/>
      <c r="DV683" s="34"/>
    </row>
    <row r="684" ht="15.75" customHeight="1">
      <c r="A684" s="34"/>
      <c r="B684" s="34"/>
      <c r="C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A684" s="34"/>
      <c r="DB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  <c r="DM684" s="34"/>
      <c r="DN684" s="34"/>
      <c r="DO684" s="34"/>
      <c r="DP684" s="34"/>
      <c r="DQ684" s="34"/>
      <c r="DR684" s="34"/>
      <c r="DS684" s="34"/>
      <c r="DT684" s="34"/>
      <c r="DU684" s="34"/>
      <c r="DV684" s="34"/>
    </row>
    <row r="685" ht="15.75" customHeight="1">
      <c r="A685" s="34"/>
      <c r="B685" s="34"/>
      <c r="C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A685" s="34"/>
      <c r="DB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  <c r="DM685" s="34"/>
      <c r="DN685" s="34"/>
      <c r="DO685" s="34"/>
      <c r="DP685" s="34"/>
      <c r="DQ685" s="34"/>
      <c r="DR685" s="34"/>
      <c r="DS685" s="34"/>
      <c r="DT685" s="34"/>
      <c r="DU685" s="34"/>
      <c r="DV685" s="34"/>
    </row>
    <row r="686" ht="15.75" customHeight="1">
      <c r="A686" s="34"/>
      <c r="B686" s="34"/>
      <c r="C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A686" s="34"/>
      <c r="DB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  <c r="DM686" s="34"/>
      <c r="DN686" s="34"/>
      <c r="DO686" s="34"/>
      <c r="DP686" s="34"/>
      <c r="DQ686" s="34"/>
      <c r="DR686" s="34"/>
      <c r="DS686" s="34"/>
      <c r="DT686" s="34"/>
      <c r="DU686" s="34"/>
      <c r="DV686" s="34"/>
    </row>
    <row r="687" ht="15.75" customHeight="1">
      <c r="A687" s="34"/>
      <c r="B687" s="34"/>
      <c r="C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A687" s="34"/>
      <c r="DB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  <c r="DM687" s="34"/>
      <c r="DN687" s="34"/>
      <c r="DO687" s="34"/>
      <c r="DP687" s="34"/>
      <c r="DQ687" s="34"/>
      <c r="DR687" s="34"/>
      <c r="DS687" s="34"/>
      <c r="DT687" s="34"/>
      <c r="DU687" s="34"/>
      <c r="DV687" s="34"/>
    </row>
    <row r="688" ht="15.75" customHeight="1">
      <c r="A688" s="34"/>
      <c r="B688" s="34"/>
      <c r="C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A688" s="34"/>
      <c r="DB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  <c r="DM688" s="34"/>
      <c r="DN688" s="34"/>
      <c r="DO688" s="34"/>
      <c r="DP688" s="34"/>
      <c r="DQ688" s="34"/>
      <c r="DR688" s="34"/>
      <c r="DS688" s="34"/>
      <c r="DT688" s="34"/>
      <c r="DU688" s="34"/>
      <c r="DV688" s="34"/>
    </row>
    <row r="689" ht="15.75" customHeight="1">
      <c r="A689" s="34"/>
      <c r="B689" s="34"/>
      <c r="C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A689" s="34"/>
      <c r="DB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  <c r="DM689" s="34"/>
      <c r="DN689" s="34"/>
      <c r="DO689" s="34"/>
      <c r="DP689" s="34"/>
      <c r="DQ689" s="34"/>
      <c r="DR689" s="34"/>
      <c r="DS689" s="34"/>
      <c r="DT689" s="34"/>
      <c r="DU689" s="34"/>
      <c r="DV689" s="34"/>
    </row>
    <row r="690" ht="15.75" customHeight="1">
      <c r="A690" s="34"/>
      <c r="B690" s="34"/>
      <c r="C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A690" s="34"/>
      <c r="DB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  <c r="DM690" s="34"/>
      <c r="DN690" s="34"/>
      <c r="DO690" s="34"/>
      <c r="DP690" s="34"/>
      <c r="DQ690" s="34"/>
      <c r="DR690" s="34"/>
      <c r="DS690" s="34"/>
      <c r="DT690" s="34"/>
      <c r="DU690" s="34"/>
      <c r="DV690" s="34"/>
    </row>
    <row r="691" ht="15.75" customHeight="1">
      <c r="A691" s="34"/>
      <c r="B691" s="34"/>
      <c r="C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A691" s="34"/>
      <c r="DB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  <c r="DM691" s="34"/>
      <c r="DN691" s="34"/>
      <c r="DO691" s="34"/>
      <c r="DP691" s="34"/>
      <c r="DQ691" s="34"/>
      <c r="DR691" s="34"/>
      <c r="DS691" s="34"/>
      <c r="DT691" s="34"/>
      <c r="DU691" s="34"/>
      <c r="DV691" s="34"/>
    </row>
    <row r="692" ht="15.75" customHeight="1">
      <c r="A692" s="34"/>
      <c r="B692" s="34"/>
      <c r="C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A692" s="34"/>
      <c r="DB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  <c r="DM692" s="34"/>
      <c r="DN692" s="34"/>
      <c r="DO692" s="34"/>
      <c r="DP692" s="34"/>
      <c r="DQ692" s="34"/>
      <c r="DR692" s="34"/>
      <c r="DS692" s="34"/>
      <c r="DT692" s="34"/>
      <c r="DU692" s="34"/>
      <c r="DV692" s="34"/>
    </row>
    <row r="693" ht="15.75" customHeight="1">
      <c r="A693" s="34"/>
      <c r="B693" s="34"/>
      <c r="C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A693" s="34"/>
      <c r="DB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  <c r="DM693" s="34"/>
      <c r="DN693" s="34"/>
      <c r="DO693" s="34"/>
      <c r="DP693" s="34"/>
      <c r="DQ693" s="34"/>
      <c r="DR693" s="34"/>
      <c r="DS693" s="34"/>
      <c r="DT693" s="34"/>
      <c r="DU693" s="34"/>
      <c r="DV693" s="34"/>
    </row>
    <row r="694" ht="15.75" customHeight="1">
      <c r="A694" s="34"/>
      <c r="B694" s="34"/>
      <c r="C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  <c r="DM694" s="34"/>
      <c r="DN694" s="34"/>
      <c r="DO694" s="34"/>
      <c r="DP694" s="34"/>
      <c r="DQ694" s="34"/>
      <c r="DR694" s="34"/>
      <c r="DS694" s="34"/>
      <c r="DT694" s="34"/>
      <c r="DU694" s="34"/>
      <c r="DV694" s="34"/>
    </row>
    <row r="695" ht="15.75" customHeight="1">
      <c r="A695" s="34"/>
      <c r="B695" s="34"/>
      <c r="C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  <c r="DM695" s="34"/>
      <c r="DN695" s="34"/>
      <c r="DO695" s="34"/>
      <c r="DP695" s="34"/>
      <c r="DQ695" s="34"/>
      <c r="DR695" s="34"/>
      <c r="DS695" s="34"/>
      <c r="DT695" s="34"/>
      <c r="DU695" s="34"/>
      <c r="DV695" s="34"/>
    </row>
    <row r="696" ht="15.75" customHeight="1">
      <c r="A696" s="34"/>
      <c r="B696" s="34"/>
      <c r="C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  <c r="DM696" s="34"/>
      <c r="DN696" s="34"/>
      <c r="DO696" s="34"/>
      <c r="DP696" s="34"/>
      <c r="DQ696" s="34"/>
      <c r="DR696" s="34"/>
      <c r="DS696" s="34"/>
      <c r="DT696" s="34"/>
      <c r="DU696" s="34"/>
      <c r="DV696" s="34"/>
    </row>
    <row r="697" ht="15.75" customHeight="1">
      <c r="A697" s="34"/>
      <c r="B697" s="34"/>
      <c r="C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  <c r="DM697" s="34"/>
      <c r="DN697" s="34"/>
      <c r="DO697" s="34"/>
      <c r="DP697" s="34"/>
      <c r="DQ697" s="34"/>
      <c r="DR697" s="34"/>
      <c r="DS697" s="34"/>
      <c r="DT697" s="34"/>
      <c r="DU697" s="34"/>
      <c r="DV697" s="34"/>
    </row>
    <row r="698" ht="15.75" customHeight="1">
      <c r="A698" s="34"/>
      <c r="B698" s="34"/>
      <c r="C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  <c r="DM698" s="34"/>
      <c r="DN698" s="34"/>
      <c r="DO698" s="34"/>
      <c r="DP698" s="34"/>
      <c r="DQ698" s="34"/>
      <c r="DR698" s="34"/>
      <c r="DS698" s="34"/>
      <c r="DT698" s="34"/>
      <c r="DU698" s="34"/>
      <c r="DV698" s="34"/>
    </row>
    <row r="699" ht="15.75" customHeight="1">
      <c r="A699" s="34"/>
      <c r="B699" s="34"/>
      <c r="C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  <c r="DM699" s="34"/>
      <c r="DN699" s="34"/>
      <c r="DO699" s="34"/>
      <c r="DP699" s="34"/>
      <c r="DQ699" s="34"/>
      <c r="DR699" s="34"/>
      <c r="DS699" s="34"/>
      <c r="DT699" s="34"/>
      <c r="DU699" s="34"/>
      <c r="DV699" s="34"/>
    </row>
    <row r="700" ht="15.75" customHeight="1">
      <c r="A700" s="34"/>
      <c r="B700" s="34"/>
      <c r="C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  <c r="DM700" s="34"/>
      <c r="DN700" s="34"/>
      <c r="DO700" s="34"/>
      <c r="DP700" s="34"/>
      <c r="DQ700" s="34"/>
      <c r="DR700" s="34"/>
      <c r="DS700" s="34"/>
      <c r="DT700" s="34"/>
      <c r="DU700" s="34"/>
      <c r="DV700" s="34"/>
    </row>
    <row r="701" ht="15.75" customHeight="1">
      <c r="A701" s="34"/>
      <c r="B701" s="34"/>
      <c r="C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  <c r="DM701" s="34"/>
      <c r="DN701" s="34"/>
      <c r="DO701" s="34"/>
      <c r="DP701" s="34"/>
      <c r="DQ701" s="34"/>
      <c r="DR701" s="34"/>
      <c r="DS701" s="34"/>
      <c r="DT701" s="34"/>
      <c r="DU701" s="34"/>
      <c r="DV701" s="34"/>
    </row>
    <row r="702" ht="15.75" customHeight="1">
      <c r="A702" s="34"/>
      <c r="B702" s="34"/>
      <c r="C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  <c r="DM702" s="34"/>
      <c r="DN702" s="34"/>
      <c r="DO702" s="34"/>
      <c r="DP702" s="34"/>
      <c r="DQ702" s="34"/>
      <c r="DR702" s="34"/>
      <c r="DS702" s="34"/>
      <c r="DT702" s="34"/>
      <c r="DU702" s="34"/>
      <c r="DV702" s="34"/>
    </row>
    <row r="703" ht="15.75" customHeight="1">
      <c r="A703" s="34"/>
      <c r="B703" s="34"/>
      <c r="C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  <c r="DM703" s="34"/>
      <c r="DN703" s="34"/>
      <c r="DO703" s="34"/>
      <c r="DP703" s="34"/>
      <c r="DQ703" s="34"/>
      <c r="DR703" s="34"/>
      <c r="DS703" s="34"/>
      <c r="DT703" s="34"/>
      <c r="DU703" s="34"/>
      <c r="DV703" s="34"/>
    </row>
    <row r="704" ht="15.75" customHeight="1">
      <c r="A704" s="34"/>
      <c r="B704" s="34"/>
      <c r="C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  <c r="DM704" s="34"/>
      <c r="DN704" s="34"/>
      <c r="DO704" s="34"/>
      <c r="DP704" s="34"/>
      <c r="DQ704" s="34"/>
      <c r="DR704" s="34"/>
      <c r="DS704" s="34"/>
      <c r="DT704" s="34"/>
      <c r="DU704" s="34"/>
      <c r="DV704" s="34"/>
    </row>
    <row r="705" ht="15.75" customHeight="1">
      <c r="A705" s="34"/>
      <c r="B705" s="34"/>
      <c r="C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  <c r="DM705" s="34"/>
      <c r="DN705" s="34"/>
      <c r="DO705" s="34"/>
      <c r="DP705" s="34"/>
      <c r="DQ705" s="34"/>
      <c r="DR705" s="34"/>
      <c r="DS705" s="34"/>
      <c r="DT705" s="34"/>
      <c r="DU705" s="34"/>
      <c r="DV705" s="34"/>
    </row>
    <row r="706" ht="15.75" customHeight="1">
      <c r="A706" s="34"/>
      <c r="B706" s="34"/>
      <c r="C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  <c r="DM706" s="34"/>
      <c r="DN706" s="34"/>
      <c r="DO706" s="34"/>
      <c r="DP706" s="34"/>
      <c r="DQ706" s="34"/>
      <c r="DR706" s="34"/>
      <c r="DS706" s="34"/>
      <c r="DT706" s="34"/>
      <c r="DU706" s="34"/>
      <c r="DV706" s="34"/>
    </row>
    <row r="707" ht="15.75" customHeight="1">
      <c r="A707" s="34"/>
      <c r="B707" s="34"/>
      <c r="C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  <c r="DM707" s="34"/>
      <c r="DN707" s="34"/>
      <c r="DO707" s="34"/>
      <c r="DP707" s="34"/>
      <c r="DQ707" s="34"/>
      <c r="DR707" s="34"/>
      <c r="DS707" s="34"/>
      <c r="DT707" s="34"/>
      <c r="DU707" s="34"/>
      <c r="DV707" s="34"/>
    </row>
    <row r="708" ht="15.75" customHeight="1">
      <c r="A708" s="34"/>
      <c r="B708" s="34"/>
      <c r="C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  <c r="DM708" s="34"/>
      <c r="DN708" s="34"/>
      <c r="DO708" s="34"/>
      <c r="DP708" s="34"/>
      <c r="DQ708" s="34"/>
      <c r="DR708" s="34"/>
      <c r="DS708" s="34"/>
      <c r="DT708" s="34"/>
      <c r="DU708" s="34"/>
      <c r="DV708" s="34"/>
    </row>
    <row r="709" ht="15.75" customHeight="1">
      <c r="A709" s="34"/>
      <c r="B709" s="34"/>
      <c r="C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  <c r="DM709" s="34"/>
      <c r="DN709" s="34"/>
      <c r="DO709" s="34"/>
      <c r="DP709" s="34"/>
      <c r="DQ709" s="34"/>
      <c r="DR709" s="34"/>
      <c r="DS709" s="34"/>
      <c r="DT709" s="34"/>
      <c r="DU709" s="34"/>
      <c r="DV709" s="34"/>
    </row>
    <row r="710" ht="15.75" customHeight="1">
      <c r="A710" s="34"/>
      <c r="B710" s="34"/>
      <c r="C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  <c r="DM710" s="34"/>
      <c r="DN710" s="34"/>
      <c r="DO710" s="34"/>
      <c r="DP710" s="34"/>
      <c r="DQ710" s="34"/>
      <c r="DR710" s="34"/>
      <c r="DS710" s="34"/>
      <c r="DT710" s="34"/>
      <c r="DU710" s="34"/>
      <c r="DV710" s="34"/>
    </row>
    <row r="711" ht="15.75" customHeight="1">
      <c r="A711" s="34"/>
      <c r="B711" s="34"/>
      <c r="C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  <c r="DM711" s="34"/>
      <c r="DN711" s="34"/>
      <c r="DO711" s="34"/>
      <c r="DP711" s="34"/>
      <c r="DQ711" s="34"/>
      <c r="DR711" s="34"/>
      <c r="DS711" s="34"/>
      <c r="DT711" s="34"/>
      <c r="DU711" s="34"/>
      <c r="DV711" s="34"/>
    </row>
    <row r="712" ht="15.75" customHeight="1">
      <c r="A712" s="34"/>
      <c r="B712" s="34"/>
      <c r="C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  <c r="DM712" s="34"/>
      <c r="DN712" s="34"/>
      <c r="DO712" s="34"/>
      <c r="DP712" s="34"/>
      <c r="DQ712" s="34"/>
      <c r="DR712" s="34"/>
      <c r="DS712" s="34"/>
      <c r="DT712" s="34"/>
      <c r="DU712" s="34"/>
      <c r="DV712" s="34"/>
    </row>
    <row r="713" ht="15.75" customHeight="1">
      <c r="A713" s="34"/>
      <c r="B713" s="34"/>
      <c r="C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  <c r="DM713" s="34"/>
      <c r="DN713" s="34"/>
      <c r="DO713" s="34"/>
      <c r="DP713" s="34"/>
      <c r="DQ713" s="34"/>
      <c r="DR713" s="34"/>
      <c r="DS713" s="34"/>
      <c r="DT713" s="34"/>
      <c r="DU713" s="34"/>
      <c r="DV713" s="34"/>
    </row>
    <row r="714" ht="15.75" customHeight="1">
      <c r="A714" s="34"/>
      <c r="B714" s="34"/>
      <c r="C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  <c r="DM714" s="34"/>
      <c r="DN714" s="34"/>
      <c r="DO714" s="34"/>
      <c r="DP714" s="34"/>
      <c r="DQ714" s="34"/>
      <c r="DR714" s="34"/>
      <c r="DS714" s="34"/>
      <c r="DT714" s="34"/>
      <c r="DU714" s="34"/>
      <c r="DV714" s="34"/>
    </row>
    <row r="715" ht="15.75" customHeight="1">
      <c r="A715" s="34"/>
      <c r="B715" s="34"/>
      <c r="C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  <c r="DM715" s="34"/>
      <c r="DN715" s="34"/>
      <c r="DO715" s="34"/>
      <c r="DP715" s="34"/>
      <c r="DQ715" s="34"/>
      <c r="DR715" s="34"/>
      <c r="DS715" s="34"/>
      <c r="DT715" s="34"/>
      <c r="DU715" s="34"/>
      <c r="DV715" s="34"/>
    </row>
    <row r="716" ht="15.75" customHeight="1">
      <c r="A716" s="34"/>
      <c r="B716" s="34"/>
      <c r="C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  <c r="DM716" s="34"/>
      <c r="DN716" s="34"/>
      <c r="DO716" s="34"/>
      <c r="DP716" s="34"/>
      <c r="DQ716" s="34"/>
      <c r="DR716" s="34"/>
      <c r="DS716" s="34"/>
      <c r="DT716" s="34"/>
      <c r="DU716" s="34"/>
      <c r="DV716" s="34"/>
    </row>
    <row r="717" ht="15.75" customHeight="1">
      <c r="A717" s="34"/>
      <c r="B717" s="34"/>
      <c r="C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  <c r="DM717" s="34"/>
      <c r="DN717" s="34"/>
      <c r="DO717" s="34"/>
      <c r="DP717" s="34"/>
      <c r="DQ717" s="34"/>
      <c r="DR717" s="34"/>
      <c r="DS717" s="34"/>
      <c r="DT717" s="34"/>
      <c r="DU717" s="34"/>
      <c r="DV717" s="34"/>
    </row>
    <row r="718" ht="15.75" customHeight="1">
      <c r="A718" s="34"/>
      <c r="B718" s="34"/>
      <c r="C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  <c r="DM718" s="34"/>
      <c r="DN718" s="34"/>
      <c r="DO718" s="34"/>
      <c r="DP718" s="34"/>
      <c r="DQ718" s="34"/>
      <c r="DR718" s="34"/>
      <c r="DS718" s="34"/>
      <c r="DT718" s="34"/>
      <c r="DU718" s="34"/>
      <c r="DV718" s="34"/>
    </row>
    <row r="719" ht="15.75" customHeight="1">
      <c r="A719" s="34"/>
      <c r="B719" s="34"/>
      <c r="C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  <c r="DM719" s="34"/>
      <c r="DN719" s="34"/>
      <c r="DO719" s="34"/>
      <c r="DP719" s="34"/>
      <c r="DQ719" s="34"/>
      <c r="DR719" s="34"/>
      <c r="DS719" s="34"/>
      <c r="DT719" s="34"/>
      <c r="DU719" s="34"/>
      <c r="DV719" s="34"/>
    </row>
    <row r="720" ht="15.75" customHeight="1">
      <c r="A720" s="34"/>
      <c r="B720" s="34"/>
      <c r="C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  <c r="DM720" s="34"/>
      <c r="DN720" s="34"/>
      <c r="DO720" s="34"/>
      <c r="DP720" s="34"/>
      <c r="DQ720" s="34"/>
      <c r="DR720" s="34"/>
      <c r="DS720" s="34"/>
      <c r="DT720" s="34"/>
      <c r="DU720" s="34"/>
      <c r="DV720" s="34"/>
    </row>
    <row r="721" ht="15.75" customHeight="1">
      <c r="A721" s="34"/>
      <c r="B721" s="34"/>
      <c r="C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  <c r="DM721" s="34"/>
      <c r="DN721" s="34"/>
      <c r="DO721" s="34"/>
      <c r="DP721" s="34"/>
      <c r="DQ721" s="34"/>
      <c r="DR721" s="34"/>
      <c r="DS721" s="34"/>
      <c r="DT721" s="34"/>
      <c r="DU721" s="34"/>
      <c r="DV721" s="34"/>
    </row>
    <row r="722" ht="15.75" customHeight="1">
      <c r="A722" s="34"/>
      <c r="B722" s="34"/>
      <c r="C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  <c r="DM722" s="34"/>
      <c r="DN722" s="34"/>
      <c r="DO722" s="34"/>
      <c r="DP722" s="34"/>
      <c r="DQ722" s="34"/>
      <c r="DR722" s="34"/>
      <c r="DS722" s="34"/>
      <c r="DT722" s="34"/>
      <c r="DU722" s="34"/>
      <c r="DV722" s="34"/>
    </row>
    <row r="723" ht="15.75" customHeight="1">
      <c r="A723" s="34"/>
      <c r="B723" s="34"/>
      <c r="C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  <c r="DM723" s="34"/>
      <c r="DN723" s="34"/>
      <c r="DO723" s="34"/>
      <c r="DP723" s="34"/>
      <c r="DQ723" s="34"/>
      <c r="DR723" s="34"/>
      <c r="DS723" s="34"/>
      <c r="DT723" s="34"/>
      <c r="DU723" s="34"/>
      <c r="DV723" s="34"/>
    </row>
    <row r="724" ht="15.75" customHeight="1">
      <c r="A724" s="34"/>
      <c r="B724" s="34"/>
      <c r="C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  <c r="DM724" s="34"/>
      <c r="DN724" s="34"/>
      <c r="DO724" s="34"/>
      <c r="DP724" s="34"/>
      <c r="DQ724" s="34"/>
      <c r="DR724" s="34"/>
      <c r="DS724" s="34"/>
      <c r="DT724" s="34"/>
      <c r="DU724" s="34"/>
      <c r="DV724" s="34"/>
    </row>
    <row r="725" ht="15.75" customHeight="1">
      <c r="A725" s="34"/>
      <c r="B725" s="34"/>
      <c r="C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  <c r="DM725" s="34"/>
      <c r="DN725" s="34"/>
      <c r="DO725" s="34"/>
      <c r="DP725" s="34"/>
      <c r="DQ725" s="34"/>
      <c r="DR725" s="34"/>
      <c r="DS725" s="34"/>
      <c r="DT725" s="34"/>
      <c r="DU725" s="34"/>
      <c r="DV725" s="34"/>
    </row>
    <row r="726" ht="15.75" customHeight="1">
      <c r="A726" s="34"/>
      <c r="B726" s="34"/>
      <c r="C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  <c r="DM726" s="34"/>
      <c r="DN726" s="34"/>
      <c r="DO726" s="34"/>
      <c r="DP726" s="34"/>
      <c r="DQ726" s="34"/>
      <c r="DR726" s="34"/>
      <c r="DS726" s="34"/>
      <c r="DT726" s="34"/>
      <c r="DU726" s="34"/>
      <c r="DV726" s="34"/>
    </row>
    <row r="727" ht="15.75" customHeight="1">
      <c r="A727" s="34"/>
      <c r="B727" s="34"/>
      <c r="C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  <c r="DM727" s="34"/>
      <c r="DN727" s="34"/>
      <c r="DO727" s="34"/>
      <c r="DP727" s="34"/>
      <c r="DQ727" s="34"/>
      <c r="DR727" s="34"/>
      <c r="DS727" s="34"/>
      <c r="DT727" s="34"/>
      <c r="DU727" s="34"/>
      <c r="DV727" s="34"/>
    </row>
    <row r="728" ht="15.75" customHeight="1">
      <c r="A728" s="34"/>
      <c r="B728" s="34"/>
      <c r="C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  <c r="DM728" s="34"/>
      <c r="DN728" s="34"/>
      <c r="DO728" s="34"/>
      <c r="DP728" s="34"/>
      <c r="DQ728" s="34"/>
      <c r="DR728" s="34"/>
      <c r="DS728" s="34"/>
      <c r="DT728" s="34"/>
      <c r="DU728" s="34"/>
      <c r="DV728" s="34"/>
    </row>
    <row r="729" ht="15.75" customHeight="1">
      <c r="A729" s="34"/>
      <c r="B729" s="34"/>
      <c r="C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  <c r="DM729" s="34"/>
      <c r="DN729" s="34"/>
      <c r="DO729" s="34"/>
      <c r="DP729" s="34"/>
      <c r="DQ729" s="34"/>
      <c r="DR729" s="34"/>
      <c r="DS729" s="34"/>
      <c r="DT729" s="34"/>
      <c r="DU729" s="34"/>
      <c r="DV729" s="34"/>
    </row>
    <row r="730" ht="15.75" customHeight="1">
      <c r="A730" s="34"/>
      <c r="B730" s="34"/>
      <c r="C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  <c r="DM730" s="34"/>
      <c r="DN730" s="34"/>
      <c r="DO730" s="34"/>
      <c r="DP730" s="34"/>
      <c r="DQ730" s="34"/>
      <c r="DR730" s="34"/>
      <c r="DS730" s="34"/>
      <c r="DT730" s="34"/>
      <c r="DU730" s="34"/>
      <c r="DV730" s="34"/>
    </row>
    <row r="731" ht="15.75" customHeight="1">
      <c r="A731" s="34"/>
      <c r="B731" s="34"/>
      <c r="C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  <c r="DM731" s="34"/>
      <c r="DN731" s="34"/>
      <c r="DO731" s="34"/>
      <c r="DP731" s="34"/>
      <c r="DQ731" s="34"/>
      <c r="DR731" s="34"/>
      <c r="DS731" s="34"/>
      <c r="DT731" s="34"/>
      <c r="DU731" s="34"/>
      <c r="DV731" s="34"/>
    </row>
    <row r="732" ht="15.75" customHeight="1">
      <c r="A732" s="34"/>
      <c r="B732" s="34"/>
      <c r="C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  <c r="DM732" s="34"/>
      <c r="DN732" s="34"/>
      <c r="DO732" s="34"/>
      <c r="DP732" s="34"/>
      <c r="DQ732" s="34"/>
      <c r="DR732" s="34"/>
      <c r="DS732" s="34"/>
      <c r="DT732" s="34"/>
      <c r="DU732" s="34"/>
      <c r="DV732" s="34"/>
    </row>
    <row r="733" ht="15.75" customHeight="1">
      <c r="A733" s="34"/>
      <c r="B733" s="34"/>
      <c r="C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  <c r="DM733" s="34"/>
      <c r="DN733" s="34"/>
      <c r="DO733" s="34"/>
      <c r="DP733" s="34"/>
      <c r="DQ733" s="34"/>
      <c r="DR733" s="34"/>
      <c r="DS733" s="34"/>
      <c r="DT733" s="34"/>
      <c r="DU733" s="34"/>
      <c r="DV733" s="34"/>
    </row>
    <row r="734" ht="15.75" customHeight="1">
      <c r="A734" s="34"/>
      <c r="B734" s="34"/>
      <c r="C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  <c r="DM734" s="34"/>
      <c r="DN734" s="34"/>
      <c r="DO734" s="34"/>
      <c r="DP734" s="34"/>
      <c r="DQ734" s="34"/>
      <c r="DR734" s="34"/>
      <c r="DS734" s="34"/>
      <c r="DT734" s="34"/>
      <c r="DU734" s="34"/>
      <c r="DV734" s="34"/>
    </row>
    <row r="735" ht="15.75" customHeight="1">
      <c r="A735" s="34"/>
      <c r="B735" s="34"/>
      <c r="C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  <c r="DM735" s="34"/>
      <c r="DN735" s="34"/>
      <c r="DO735" s="34"/>
      <c r="DP735" s="34"/>
      <c r="DQ735" s="34"/>
      <c r="DR735" s="34"/>
      <c r="DS735" s="34"/>
      <c r="DT735" s="34"/>
      <c r="DU735" s="34"/>
      <c r="DV735" s="34"/>
    </row>
    <row r="736" ht="15.75" customHeight="1">
      <c r="A736" s="34"/>
      <c r="B736" s="34"/>
      <c r="C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  <c r="DM736" s="34"/>
      <c r="DN736" s="34"/>
      <c r="DO736" s="34"/>
      <c r="DP736" s="34"/>
      <c r="DQ736" s="34"/>
      <c r="DR736" s="34"/>
      <c r="DS736" s="34"/>
      <c r="DT736" s="34"/>
      <c r="DU736" s="34"/>
      <c r="DV736" s="34"/>
    </row>
    <row r="737" ht="15.75" customHeight="1">
      <c r="A737" s="34"/>
      <c r="B737" s="34"/>
      <c r="C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  <c r="DM737" s="34"/>
      <c r="DN737" s="34"/>
      <c r="DO737" s="34"/>
      <c r="DP737" s="34"/>
      <c r="DQ737" s="34"/>
      <c r="DR737" s="34"/>
      <c r="DS737" s="34"/>
      <c r="DT737" s="34"/>
      <c r="DU737" s="34"/>
      <c r="DV737" s="34"/>
    </row>
    <row r="738" ht="15.75" customHeight="1">
      <c r="A738" s="34"/>
      <c r="B738" s="34"/>
      <c r="C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  <c r="DM738" s="34"/>
      <c r="DN738" s="34"/>
      <c r="DO738" s="34"/>
      <c r="DP738" s="34"/>
      <c r="DQ738" s="34"/>
      <c r="DR738" s="34"/>
      <c r="DS738" s="34"/>
      <c r="DT738" s="34"/>
      <c r="DU738" s="34"/>
      <c r="DV738" s="34"/>
    </row>
    <row r="739" ht="15.75" customHeight="1">
      <c r="A739" s="34"/>
      <c r="B739" s="34"/>
      <c r="C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  <c r="DM739" s="34"/>
      <c r="DN739" s="34"/>
      <c r="DO739" s="34"/>
      <c r="DP739" s="34"/>
      <c r="DQ739" s="34"/>
      <c r="DR739" s="34"/>
      <c r="DS739" s="34"/>
      <c r="DT739" s="34"/>
      <c r="DU739" s="34"/>
      <c r="DV739" s="34"/>
    </row>
    <row r="740" ht="15.75" customHeight="1">
      <c r="A740" s="34"/>
      <c r="B740" s="34"/>
      <c r="C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  <c r="DM740" s="34"/>
      <c r="DN740" s="34"/>
      <c r="DO740" s="34"/>
      <c r="DP740" s="34"/>
      <c r="DQ740" s="34"/>
      <c r="DR740" s="34"/>
      <c r="DS740" s="34"/>
      <c r="DT740" s="34"/>
      <c r="DU740" s="34"/>
      <c r="DV740" s="34"/>
    </row>
    <row r="741" ht="15.75" customHeight="1">
      <c r="A741" s="34"/>
      <c r="B741" s="34"/>
      <c r="C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  <c r="DM741" s="34"/>
      <c r="DN741" s="34"/>
      <c r="DO741" s="34"/>
      <c r="DP741" s="34"/>
      <c r="DQ741" s="34"/>
      <c r="DR741" s="34"/>
      <c r="DS741" s="34"/>
      <c r="DT741" s="34"/>
      <c r="DU741" s="34"/>
      <c r="DV741" s="34"/>
    </row>
    <row r="742" ht="15.75" customHeight="1">
      <c r="A742" s="34"/>
      <c r="B742" s="34"/>
      <c r="C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  <c r="DM742" s="34"/>
      <c r="DN742" s="34"/>
      <c r="DO742" s="34"/>
      <c r="DP742" s="34"/>
      <c r="DQ742" s="34"/>
      <c r="DR742" s="34"/>
      <c r="DS742" s="34"/>
      <c r="DT742" s="34"/>
      <c r="DU742" s="34"/>
      <c r="DV742" s="34"/>
    </row>
    <row r="743" ht="15.75" customHeight="1">
      <c r="A743" s="34"/>
      <c r="B743" s="34"/>
      <c r="C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</row>
    <row r="744" ht="15.75" customHeight="1">
      <c r="A744" s="34"/>
      <c r="B744" s="34"/>
      <c r="C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  <c r="DM744" s="34"/>
      <c r="DN744" s="34"/>
      <c r="DO744" s="34"/>
      <c r="DP744" s="34"/>
      <c r="DQ744" s="34"/>
      <c r="DR744" s="34"/>
      <c r="DS744" s="34"/>
      <c r="DT744" s="34"/>
      <c r="DU744" s="34"/>
      <c r="DV744" s="34"/>
    </row>
    <row r="745" ht="15.75" customHeight="1">
      <c r="A745" s="34"/>
      <c r="B745" s="34"/>
      <c r="C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  <c r="DM745" s="34"/>
      <c r="DN745" s="34"/>
      <c r="DO745" s="34"/>
      <c r="DP745" s="34"/>
      <c r="DQ745" s="34"/>
      <c r="DR745" s="34"/>
      <c r="DS745" s="34"/>
      <c r="DT745" s="34"/>
      <c r="DU745" s="34"/>
      <c r="DV745" s="34"/>
    </row>
    <row r="746" ht="15.75" customHeight="1">
      <c r="A746" s="34"/>
      <c r="B746" s="34"/>
      <c r="C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  <c r="DM746" s="34"/>
      <c r="DN746" s="34"/>
      <c r="DO746" s="34"/>
      <c r="DP746" s="34"/>
      <c r="DQ746" s="34"/>
      <c r="DR746" s="34"/>
      <c r="DS746" s="34"/>
      <c r="DT746" s="34"/>
      <c r="DU746" s="34"/>
      <c r="DV746" s="34"/>
    </row>
    <row r="747" ht="15.75" customHeight="1">
      <c r="A747" s="34"/>
      <c r="B747" s="34"/>
      <c r="C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  <c r="DM747" s="34"/>
      <c r="DN747" s="34"/>
      <c r="DO747" s="34"/>
      <c r="DP747" s="34"/>
      <c r="DQ747" s="34"/>
      <c r="DR747" s="34"/>
      <c r="DS747" s="34"/>
      <c r="DT747" s="34"/>
      <c r="DU747" s="34"/>
      <c r="DV747" s="34"/>
    </row>
    <row r="748" ht="15.75" customHeight="1">
      <c r="A748" s="34"/>
      <c r="B748" s="34"/>
      <c r="C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  <c r="DR748" s="34"/>
      <c r="DS748" s="34"/>
      <c r="DT748" s="34"/>
      <c r="DU748" s="34"/>
      <c r="DV748" s="34"/>
    </row>
    <row r="749" ht="15.75" customHeight="1">
      <c r="A749" s="34"/>
      <c r="B749" s="34"/>
      <c r="C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  <c r="DR749" s="34"/>
      <c r="DS749" s="34"/>
      <c r="DT749" s="34"/>
      <c r="DU749" s="34"/>
      <c r="DV749" s="34"/>
    </row>
    <row r="750" ht="15.75" customHeight="1">
      <c r="A750" s="34"/>
      <c r="B750" s="34"/>
      <c r="C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  <c r="DR750" s="34"/>
      <c r="DS750" s="34"/>
      <c r="DT750" s="34"/>
      <c r="DU750" s="34"/>
      <c r="DV750" s="34"/>
    </row>
    <row r="751" ht="15.75" customHeight="1">
      <c r="A751" s="34"/>
      <c r="B751" s="34"/>
      <c r="C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  <c r="DR751" s="34"/>
      <c r="DS751" s="34"/>
      <c r="DT751" s="34"/>
      <c r="DU751" s="34"/>
      <c r="DV751" s="34"/>
    </row>
    <row r="752" ht="15.75" customHeight="1">
      <c r="A752" s="34"/>
      <c r="B752" s="34"/>
      <c r="C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  <c r="DM752" s="34"/>
      <c r="DN752" s="34"/>
      <c r="DO752" s="34"/>
      <c r="DP752" s="34"/>
      <c r="DQ752" s="34"/>
      <c r="DR752" s="34"/>
      <c r="DS752" s="34"/>
      <c r="DT752" s="34"/>
      <c r="DU752" s="34"/>
      <c r="DV752" s="34"/>
    </row>
    <row r="753" ht="15.75" customHeight="1">
      <c r="A753" s="34"/>
      <c r="B753" s="34"/>
      <c r="C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  <c r="DM753" s="34"/>
      <c r="DN753" s="34"/>
      <c r="DO753" s="34"/>
      <c r="DP753" s="34"/>
      <c r="DQ753" s="34"/>
      <c r="DR753" s="34"/>
      <c r="DS753" s="34"/>
      <c r="DT753" s="34"/>
      <c r="DU753" s="34"/>
      <c r="DV753" s="34"/>
    </row>
    <row r="754" ht="15.75" customHeight="1">
      <c r="A754" s="34"/>
      <c r="B754" s="34"/>
      <c r="C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  <c r="DM754" s="34"/>
      <c r="DN754" s="34"/>
      <c r="DO754" s="34"/>
      <c r="DP754" s="34"/>
      <c r="DQ754" s="34"/>
      <c r="DR754" s="34"/>
      <c r="DS754" s="34"/>
      <c r="DT754" s="34"/>
      <c r="DU754" s="34"/>
      <c r="DV754" s="34"/>
    </row>
    <row r="755" ht="15.75" customHeight="1">
      <c r="A755" s="34"/>
      <c r="B755" s="34"/>
      <c r="C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  <c r="DM755" s="34"/>
      <c r="DN755" s="34"/>
      <c r="DO755" s="34"/>
      <c r="DP755" s="34"/>
      <c r="DQ755" s="34"/>
      <c r="DR755" s="34"/>
      <c r="DS755" s="34"/>
      <c r="DT755" s="34"/>
      <c r="DU755" s="34"/>
      <c r="DV755" s="34"/>
    </row>
    <row r="756" ht="15.75" customHeight="1">
      <c r="A756" s="34"/>
      <c r="B756" s="34"/>
      <c r="C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  <c r="DM756" s="34"/>
      <c r="DN756" s="34"/>
      <c r="DO756" s="34"/>
      <c r="DP756" s="34"/>
      <c r="DQ756" s="34"/>
      <c r="DR756" s="34"/>
      <c r="DS756" s="34"/>
      <c r="DT756" s="34"/>
      <c r="DU756" s="34"/>
      <c r="DV756" s="34"/>
    </row>
    <row r="757" ht="15.75" customHeight="1">
      <c r="A757" s="34"/>
      <c r="B757" s="34"/>
      <c r="C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  <c r="DM757" s="34"/>
      <c r="DN757" s="34"/>
      <c r="DO757" s="34"/>
      <c r="DP757" s="34"/>
      <c r="DQ757" s="34"/>
      <c r="DR757" s="34"/>
      <c r="DS757" s="34"/>
      <c r="DT757" s="34"/>
      <c r="DU757" s="34"/>
      <c r="DV757" s="34"/>
    </row>
    <row r="758" ht="15.75" customHeight="1">
      <c r="A758" s="34"/>
      <c r="B758" s="34"/>
      <c r="C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  <c r="DR758" s="34"/>
      <c r="DS758" s="34"/>
      <c r="DT758" s="34"/>
      <c r="DU758" s="34"/>
      <c r="DV758" s="34"/>
    </row>
    <row r="759" ht="15.75" customHeight="1">
      <c r="A759" s="34"/>
      <c r="B759" s="34"/>
      <c r="C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  <c r="DR759" s="34"/>
      <c r="DS759" s="34"/>
      <c r="DT759" s="34"/>
      <c r="DU759" s="34"/>
      <c r="DV759" s="34"/>
    </row>
    <row r="760" ht="15.75" customHeight="1">
      <c r="A760" s="34"/>
      <c r="B760" s="34"/>
      <c r="C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  <c r="DR760" s="34"/>
      <c r="DS760" s="34"/>
      <c r="DT760" s="34"/>
      <c r="DU760" s="34"/>
      <c r="DV760" s="34"/>
    </row>
    <row r="761" ht="15.75" customHeight="1">
      <c r="A761" s="34"/>
      <c r="B761" s="34"/>
      <c r="C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  <c r="DM761" s="34"/>
      <c r="DN761" s="34"/>
      <c r="DO761" s="34"/>
      <c r="DP761" s="34"/>
      <c r="DQ761" s="34"/>
      <c r="DR761" s="34"/>
      <c r="DS761" s="34"/>
      <c r="DT761" s="34"/>
      <c r="DU761" s="34"/>
      <c r="DV761" s="34"/>
    </row>
    <row r="762" ht="15.75" customHeight="1">
      <c r="A762" s="34"/>
      <c r="B762" s="34"/>
      <c r="C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  <c r="DR762" s="34"/>
      <c r="DS762" s="34"/>
      <c r="DT762" s="34"/>
      <c r="DU762" s="34"/>
      <c r="DV762" s="34"/>
    </row>
    <row r="763" ht="15.75" customHeight="1">
      <c r="A763" s="34"/>
      <c r="B763" s="34"/>
      <c r="C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  <c r="DM763" s="34"/>
      <c r="DN763" s="34"/>
      <c r="DO763" s="34"/>
      <c r="DP763" s="34"/>
      <c r="DQ763" s="34"/>
      <c r="DR763" s="34"/>
      <c r="DS763" s="34"/>
      <c r="DT763" s="34"/>
      <c r="DU763" s="34"/>
      <c r="DV763" s="34"/>
    </row>
    <row r="764" ht="15.75" customHeight="1">
      <c r="A764" s="34"/>
      <c r="B764" s="34"/>
      <c r="C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  <c r="DM764" s="34"/>
      <c r="DN764" s="34"/>
      <c r="DO764" s="34"/>
      <c r="DP764" s="34"/>
      <c r="DQ764" s="34"/>
      <c r="DR764" s="34"/>
      <c r="DS764" s="34"/>
      <c r="DT764" s="34"/>
      <c r="DU764" s="34"/>
      <c r="DV764" s="34"/>
    </row>
    <row r="765" ht="15.75" customHeight="1">
      <c r="A765" s="34"/>
      <c r="B765" s="34"/>
      <c r="C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  <c r="DM765" s="34"/>
      <c r="DN765" s="34"/>
      <c r="DO765" s="34"/>
      <c r="DP765" s="34"/>
      <c r="DQ765" s="34"/>
      <c r="DR765" s="34"/>
      <c r="DS765" s="34"/>
      <c r="DT765" s="34"/>
      <c r="DU765" s="34"/>
      <c r="DV765" s="34"/>
    </row>
    <row r="766" ht="15.75" customHeight="1">
      <c r="A766" s="34"/>
      <c r="B766" s="34"/>
      <c r="C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  <c r="DM766" s="34"/>
      <c r="DN766" s="34"/>
      <c r="DO766" s="34"/>
      <c r="DP766" s="34"/>
      <c r="DQ766" s="34"/>
      <c r="DR766" s="34"/>
      <c r="DS766" s="34"/>
      <c r="DT766" s="34"/>
      <c r="DU766" s="34"/>
      <c r="DV766" s="34"/>
    </row>
    <row r="767" ht="15.75" customHeight="1">
      <c r="A767" s="34"/>
      <c r="B767" s="34"/>
      <c r="C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  <c r="DM767" s="34"/>
      <c r="DN767" s="34"/>
      <c r="DO767" s="34"/>
      <c r="DP767" s="34"/>
      <c r="DQ767" s="34"/>
      <c r="DR767" s="34"/>
      <c r="DS767" s="34"/>
      <c r="DT767" s="34"/>
      <c r="DU767" s="34"/>
      <c r="DV767" s="34"/>
    </row>
    <row r="768" ht="15.75" customHeight="1">
      <c r="A768" s="34"/>
      <c r="B768" s="34"/>
      <c r="C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  <c r="DM768" s="34"/>
      <c r="DN768" s="34"/>
      <c r="DO768" s="34"/>
      <c r="DP768" s="34"/>
      <c r="DQ768" s="34"/>
      <c r="DR768" s="34"/>
      <c r="DS768" s="34"/>
      <c r="DT768" s="34"/>
      <c r="DU768" s="34"/>
      <c r="DV768" s="34"/>
    </row>
    <row r="769" ht="15.75" customHeight="1">
      <c r="A769" s="34"/>
      <c r="B769" s="34"/>
      <c r="C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  <c r="DM769" s="34"/>
      <c r="DN769" s="34"/>
      <c r="DO769" s="34"/>
      <c r="DP769" s="34"/>
      <c r="DQ769" s="34"/>
      <c r="DR769" s="34"/>
      <c r="DS769" s="34"/>
      <c r="DT769" s="34"/>
      <c r="DU769" s="34"/>
      <c r="DV769" s="34"/>
    </row>
    <row r="770" ht="15.75" customHeight="1">
      <c r="A770" s="34"/>
      <c r="B770" s="34"/>
      <c r="C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  <c r="DM770" s="34"/>
      <c r="DN770" s="34"/>
      <c r="DO770" s="34"/>
      <c r="DP770" s="34"/>
      <c r="DQ770" s="34"/>
      <c r="DR770" s="34"/>
      <c r="DS770" s="34"/>
      <c r="DT770" s="34"/>
      <c r="DU770" s="34"/>
      <c r="DV770" s="34"/>
    </row>
    <row r="771" ht="15.75" customHeight="1">
      <c r="A771" s="34"/>
      <c r="B771" s="34"/>
      <c r="C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  <c r="DM771" s="34"/>
      <c r="DN771" s="34"/>
      <c r="DO771" s="34"/>
      <c r="DP771" s="34"/>
      <c r="DQ771" s="34"/>
      <c r="DR771" s="34"/>
      <c r="DS771" s="34"/>
      <c r="DT771" s="34"/>
      <c r="DU771" s="34"/>
      <c r="DV771" s="34"/>
    </row>
    <row r="772" ht="15.75" customHeight="1">
      <c r="A772" s="34"/>
      <c r="B772" s="34"/>
      <c r="C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  <c r="DM772" s="34"/>
      <c r="DN772" s="34"/>
      <c r="DO772" s="34"/>
      <c r="DP772" s="34"/>
      <c r="DQ772" s="34"/>
      <c r="DR772" s="34"/>
      <c r="DS772" s="34"/>
      <c r="DT772" s="34"/>
      <c r="DU772" s="34"/>
      <c r="DV772" s="34"/>
    </row>
    <row r="773" ht="15.75" customHeight="1">
      <c r="A773" s="34"/>
      <c r="B773" s="34"/>
      <c r="C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  <c r="DM773" s="34"/>
      <c r="DN773" s="34"/>
      <c r="DO773" s="34"/>
      <c r="DP773" s="34"/>
      <c r="DQ773" s="34"/>
      <c r="DR773" s="34"/>
      <c r="DS773" s="34"/>
      <c r="DT773" s="34"/>
      <c r="DU773" s="34"/>
      <c r="DV773" s="34"/>
    </row>
    <row r="774" ht="15.75" customHeight="1">
      <c r="A774" s="34"/>
      <c r="B774" s="34"/>
      <c r="C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  <c r="DM774" s="34"/>
      <c r="DN774" s="34"/>
      <c r="DO774" s="34"/>
      <c r="DP774" s="34"/>
      <c r="DQ774" s="34"/>
      <c r="DR774" s="34"/>
      <c r="DS774" s="34"/>
      <c r="DT774" s="34"/>
      <c r="DU774" s="34"/>
      <c r="DV774" s="34"/>
    </row>
    <row r="775" ht="15.75" customHeight="1">
      <c r="A775" s="34"/>
      <c r="B775" s="34"/>
      <c r="C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  <c r="DM775" s="34"/>
      <c r="DN775" s="34"/>
      <c r="DO775" s="34"/>
      <c r="DP775" s="34"/>
      <c r="DQ775" s="34"/>
      <c r="DR775" s="34"/>
      <c r="DS775" s="34"/>
      <c r="DT775" s="34"/>
      <c r="DU775" s="34"/>
      <c r="DV775" s="34"/>
    </row>
    <row r="776" ht="15.75" customHeight="1">
      <c r="A776" s="34"/>
      <c r="B776" s="34"/>
      <c r="C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  <c r="DM776" s="34"/>
      <c r="DN776" s="34"/>
      <c r="DO776" s="34"/>
      <c r="DP776" s="34"/>
      <c r="DQ776" s="34"/>
      <c r="DR776" s="34"/>
      <c r="DS776" s="34"/>
      <c r="DT776" s="34"/>
      <c r="DU776" s="34"/>
      <c r="DV776" s="34"/>
    </row>
    <row r="777" ht="15.75" customHeight="1">
      <c r="A777" s="34"/>
      <c r="B777" s="34"/>
      <c r="C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  <c r="DM777" s="34"/>
      <c r="DN777" s="34"/>
      <c r="DO777" s="34"/>
      <c r="DP777" s="34"/>
      <c r="DQ777" s="34"/>
      <c r="DR777" s="34"/>
      <c r="DS777" s="34"/>
      <c r="DT777" s="34"/>
      <c r="DU777" s="34"/>
      <c r="DV777" s="34"/>
    </row>
    <row r="778" ht="15.75" customHeight="1">
      <c r="A778" s="34"/>
      <c r="B778" s="34"/>
      <c r="C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  <c r="DM778" s="34"/>
      <c r="DN778" s="34"/>
      <c r="DO778" s="34"/>
      <c r="DP778" s="34"/>
      <c r="DQ778" s="34"/>
      <c r="DR778" s="34"/>
      <c r="DS778" s="34"/>
      <c r="DT778" s="34"/>
      <c r="DU778" s="34"/>
      <c r="DV778" s="34"/>
    </row>
    <row r="779" ht="15.75" customHeight="1">
      <c r="A779" s="34"/>
      <c r="B779" s="34"/>
      <c r="C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  <c r="DM779" s="34"/>
      <c r="DN779" s="34"/>
      <c r="DO779" s="34"/>
      <c r="DP779" s="34"/>
      <c r="DQ779" s="34"/>
      <c r="DR779" s="34"/>
      <c r="DS779" s="34"/>
      <c r="DT779" s="34"/>
      <c r="DU779" s="34"/>
      <c r="DV779" s="34"/>
    </row>
    <row r="780" ht="15.75" customHeight="1">
      <c r="A780" s="34"/>
      <c r="B780" s="34"/>
      <c r="C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  <c r="DM780" s="34"/>
      <c r="DN780" s="34"/>
      <c r="DO780" s="34"/>
      <c r="DP780" s="34"/>
      <c r="DQ780" s="34"/>
      <c r="DR780" s="34"/>
      <c r="DS780" s="34"/>
      <c r="DT780" s="34"/>
      <c r="DU780" s="34"/>
      <c r="DV780" s="34"/>
    </row>
    <row r="781" ht="15.75" customHeight="1">
      <c r="A781" s="34"/>
      <c r="B781" s="34"/>
      <c r="C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  <c r="DM781" s="34"/>
      <c r="DN781" s="34"/>
      <c r="DO781" s="34"/>
      <c r="DP781" s="34"/>
      <c r="DQ781" s="34"/>
      <c r="DR781" s="34"/>
      <c r="DS781" s="34"/>
      <c r="DT781" s="34"/>
      <c r="DU781" s="34"/>
      <c r="DV781" s="34"/>
    </row>
    <row r="782" ht="15.75" customHeight="1">
      <c r="A782" s="34"/>
      <c r="B782" s="34"/>
      <c r="C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  <c r="DM782" s="34"/>
      <c r="DN782" s="34"/>
      <c r="DO782" s="34"/>
      <c r="DP782" s="34"/>
      <c r="DQ782" s="34"/>
      <c r="DR782" s="34"/>
      <c r="DS782" s="34"/>
      <c r="DT782" s="34"/>
      <c r="DU782" s="34"/>
      <c r="DV782" s="34"/>
    </row>
    <row r="783" ht="15.75" customHeight="1">
      <c r="A783" s="34"/>
      <c r="B783" s="34"/>
      <c r="C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  <c r="DM783" s="34"/>
      <c r="DN783" s="34"/>
      <c r="DO783" s="34"/>
      <c r="DP783" s="34"/>
      <c r="DQ783" s="34"/>
      <c r="DR783" s="34"/>
      <c r="DS783" s="34"/>
      <c r="DT783" s="34"/>
      <c r="DU783" s="34"/>
      <c r="DV783" s="34"/>
    </row>
    <row r="784" ht="15.75" customHeight="1">
      <c r="A784" s="34"/>
      <c r="B784" s="34"/>
      <c r="C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  <c r="DM784" s="34"/>
      <c r="DN784" s="34"/>
      <c r="DO784" s="34"/>
      <c r="DP784" s="34"/>
      <c r="DQ784" s="34"/>
      <c r="DR784" s="34"/>
      <c r="DS784" s="34"/>
      <c r="DT784" s="34"/>
      <c r="DU784" s="34"/>
      <c r="DV784" s="34"/>
    </row>
    <row r="785" ht="15.75" customHeight="1">
      <c r="A785" s="34"/>
      <c r="B785" s="34"/>
      <c r="C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  <c r="DM785" s="34"/>
      <c r="DN785" s="34"/>
      <c r="DO785" s="34"/>
      <c r="DP785" s="34"/>
      <c r="DQ785" s="34"/>
      <c r="DR785" s="34"/>
      <c r="DS785" s="34"/>
      <c r="DT785" s="34"/>
      <c r="DU785" s="34"/>
      <c r="DV785" s="34"/>
    </row>
    <row r="786" ht="15.75" customHeight="1">
      <c r="A786" s="34"/>
      <c r="B786" s="34"/>
      <c r="C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  <c r="DR786" s="34"/>
      <c r="DS786" s="34"/>
      <c r="DT786" s="34"/>
      <c r="DU786" s="34"/>
      <c r="DV786" s="34"/>
    </row>
    <row r="787" ht="15.75" customHeight="1">
      <c r="A787" s="34"/>
      <c r="B787" s="34"/>
      <c r="C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  <c r="DR787" s="34"/>
      <c r="DS787" s="34"/>
      <c r="DT787" s="34"/>
      <c r="DU787" s="34"/>
      <c r="DV787" s="34"/>
    </row>
    <row r="788" ht="15.75" customHeight="1">
      <c r="A788" s="34"/>
      <c r="B788" s="34"/>
      <c r="C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  <c r="DR788" s="34"/>
      <c r="DS788" s="34"/>
      <c r="DT788" s="34"/>
      <c r="DU788" s="34"/>
      <c r="DV788" s="34"/>
    </row>
    <row r="789" ht="15.75" customHeight="1">
      <c r="A789" s="34"/>
      <c r="B789" s="34"/>
      <c r="C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  <c r="DM789" s="34"/>
      <c r="DN789" s="34"/>
      <c r="DO789" s="34"/>
      <c r="DP789" s="34"/>
      <c r="DQ789" s="34"/>
      <c r="DR789" s="34"/>
      <c r="DS789" s="34"/>
      <c r="DT789" s="34"/>
      <c r="DU789" s="34"/>
      <c r="DV789" s="34"/>
    </row>
    <row r="790" ht="15.75" customHeight="1">
      <c r="A790" s="34"/>
      <c r="B790" s="34"/>
      <c r="C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  <c r="DR790" s="34"/>
      <c r="DS790" s="34"/>
      <c r="DT790" s="34"/>
      <c r="DU790" s="34"/>
      <c r="DV790" s="34"/>
    </row>
    <row r="791" ht="15.75" customHeight="1">
      <c r="A791" s="34"/>
      <c r="B791" s="34"/>
      <c r="C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  <c r="DM791" s="34"/>
      <c r="DN791" s="34"/>
      <c r="DO791" s="34"/>
      <c r="DP791" s="34"/>
      <c r="DQ791" s="34"/>
      <c r="DR791" s="34"/>
      <c r="DS791" s="34"/>
      <c r="DT791" s="34"/>
      <c r="DU791" s="34"/>
      <c r="DV791" s="34"/>
    </row>
    <row r="792" ht="15.75" customHeight="1">
      <c r="A792" s="34"/>
      <c r="B792" s="34"/>
      <c r="C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  <c r="DM792" s="34"/>
      <c r="DN792" s="34"/>
      <c r="DO792" s="34"/>
      <c r="DP792" s="34"/>
      <c r="DQ792" s="34"/>
      <c r="DR792" s="34"/>
      <c r="DS792" s="34"/>
      <c r="DT792" s="34"/>
      <c r="DU792" s="34"/>
      <c r="DV792" s="34"/>
    </row>
    <row r="793" ht="15.75" customHeight="1">
      <c r="A793" s="34"/>
      <c r="B793" s="34"/>
      <c r="C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  <c r="DR793" s="34"/>
      <c r="DS793" s="34"/>
      <c r="DT793" s="34"/>
      <c r="DU793" s="34"/>
      <c r="DV793" s="34"/>
    </row>
    <row r="794" ht="15.75" customHeight="1">
      <c r="A794" s="34"/>
      <c r="B794" s="34"/>
      <c r="C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  <c r="DM794" s="34"/>
      <c r="DN794" s="34"/>
      <c r="DO794" s="34"/>
      <c r="DP794" s="34"/>
      <c r="DQ794" s="34"/>
      <c r="DR794" s="34"/>
      <c r="DS794" s="34"/>
      <c r="DT794" s="34"/>
      <c r="DU794" s="34"/>
      <c r="DV794" s="34"/>
    </row>
    <row r="795" ht="15.75" customHeight="1">
      <c r="A795" s="34"/>
      <c r="B795" s="34"/>
      <c r="C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  <c r="DR795" s="34"/>
      <c r="DS795" s="34"/>
      <c r="DT795" s="34"/>
      <c r="DU795" s="34"/>
      <c r="DV795" s="34"/>
    </row>
    <row r="796" ht="15.75" customHeight="1">
      <c r="A796" s="34"/>
      <c r="B796" s="34"/>
      <c r="C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  <c r="DR796" s="34"/>
      <c r="DS796" s="34"/>
      <c r="DT796" s="34"/>
      <c r="DU796" s="34"/>
      <c r="DV796" s="34"/>
    </row>
    <row r="797" ht="15.75" customHeight="1">
      <c r="A797" s="34"/>
      <c r="B797" s="34"/>
      <c r="C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  <c r="DR797" s="34"/>
      <c r="DS797" s="34"/>
      <c r="DT797" s="34"/>
      <c r="DU797" s="34"/>
      <c r="DV797" s="34"/>
    </row>
    <row r="798" ht="15.75" customHeight="1">
      <c r="A798" s="34"/>
      <c r="B798" s="34"/>
      <c r="C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  <c r="DR798" s="34"/>
      <c r="DS798" s="34"/>
      <c r="DT798" s="34"/>
      <c r="DU798" s="34"/>
      <c r="DV798" s="34"/>
    </row>
    <row r="799" ht="15.75" customHeight="1">
      <c r="A799" s="34"/>
      <c r="B799" s="34"/>
      <c r="C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  <c r="DR799" s="34"/>
      <c r="DS799" s="34"/>
      <c r="DT799" s="34"/>
      <c r="DU799" s="34"/>
      <c r="DV799" s="34"/>
    </row>
    <row r="800" ht="15.75" customHeight="1">
      <c r="A800" s="34"/>
      <c r="B800" s="34"/>
      <c r="C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  <c r="DM800" s="34"/>
      <c r="DN800" s="34"/>
      <c r="DO800" s="34"/>
      <c r="DP800" s="34"/>
      <c r="DQ800" s="34"/>
      <c r="DR800" s="34"/>
      <c r="DS800" s="34"/>
      <c r="DT800" s="34"/>
      <c r="DU800" s="34"/>
      <c r="DV800" s="34"/>
    </row>
    <row r="801" ht="15.75" customHeight="1">
      <c r="A801" s="34"/>
      <c r="B801" s="34"/>
      <c r="C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  <c r="DM801" s="34"/>
      <c r="DN801" s="34"/>
      <c r="DO801" s="34"/>
      <c r="DP801" s="34"/>
      <c r="DQ801" s="34"/>
      <c r="DR801" s="34"/>
      <c r="DS801" s="34"/>
      <c r="DT801" s="34"/>
      <c r="DU801" s="34"/>
      <c r="DV801" s="34"/>
    </row>
    <row r="802" ht="15.75" customHeight="1">
      <c r="A802" s="34"/>
      <c r="B802" s="34"/>
      <c r="C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  <c r="DR802" s="34"/>
      <c r="DS802" s="34"/>
      <c r="DT802" s="34"/>
      <c r="DU802" s="34"/>
      <c r="DV802" s="34"/>
    </row>
    <row r="803" ht="15.75" customHeight="1">
      <c r="A803" s="34"/>
      <c r="B803" s="34"/>
      <c r="C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  <c r="DR803" s="34"/>
      <c r="DS803" s="34"/>
      <c r="DT803" s="34"/>
      <c r="DU803" s="34"/>
      <c r="DV803" s="34"/>
    </row>
    <row r="804" ht="15.75" customHeight="1">
      <c r="A804" s="34"/>
      <c r="B804" s="34"/>
      <c r="C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  <c r="DR804" s="34"/>
      <c r="DS804" s="34"/>
      <c r="DT804" s="34"/>
      <c r="DU804" s="34"/>
      <c r="DV804" s="34"/>
    </row>
    <row r="805" ht="15.75" customHeight="1">
      <c r="A805" s="34"/>
      <c r="B805" s="34"/>
      <c r="C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  <c r="DR805" s="34"/>
      <c r="DS805" s="34"/>
      <c r="DT805" s="34"/>
      <c r="DU805" s="34"/>
      <c r="DV805" s="34"/>
    </row>
    <row r="806" ht="15.75" customHeight="1">
      <c r="A806" s="34"/>
      <c r="B806" s="34"/>
      <c r="C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  <c r="DR806" s="34"/>
      <c r="DS806" s="34"/>
      <c r="DT806" s="34"/>
      <c r="DU806" s="34"/>
      <c r="DV806" s="34"/>
    </row>
    <row r="807" ht="15.75" customHeight="1">
      <c r="A807" s="34"/>
      <c r="B807" s="34"/>
      <c r="C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  <c r="DM807" s="34"/>
      <c r="DN807" s="34"/>
      <c r="DO807" s="34"/>
      <c r="DP807" s="34"/>
      <c r="DQ807" s="34"/>
      <c r="DR807" s="34"/>
      <c r="DS807" s="34"/>
      <c r="DT807" s="34"/>
      <c r="DU807" s="34"/>
      <c r="DV807" s="34"/>
    </row>
    <row r="808" ht="15.75" customHeight="1">
      <c r="A808" s="34"/>
      <c r="B808" s="34"/>
      <c r="C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  <c r="DR808" s="34"/>
      <c r="DS808" s="34"/>
      <c r="DT808" s="34"/>
      <c r="DU808" s="34"/>
      <c r="DV808" s="34"/>
    </row>
    <row r="809" ht="15.75" customHeight="1">
      <c r="A809" s="34"/>
      <c r="B809" s="34"/>
      <c r="C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  <c r="DM809" s="34"/>
      <c r="DN809" s="34"/>
      <c r="DO809" s="34"/>
      <c r="DP809" s="34"/>
      <c r="DQ809" s="34"/>
      <c r="DR809" s="34"/>
      <c r="DS809" s="34"/>
      <c r="DT809" s="34"/>
      <c r="DU809" s="34"/>
      <c r="DV809" s="34"/>
    </row>
    <row r="810" ht="15.75" customHeight="1">
      <c r="A810" s="34"/>
      <c r="B810" s="34"/>
      <c r="C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  <c r="DR810" s="34"/>
      <c r="DS810" s="34"/>
      <c r="DT810" s="34"/>
      <c r="DU810" s="34"/>
      <c r="DV810" s="34"/>
    </row>
    <row r="811" ht="15.75" customHeight="1">
      <c r="A811" s="34"/>
      <c r="B811" s="34"/>
      <c r="C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  <c r="DR811" s="34"/>
      <c r="DS811" s="34"/>
      <c r="DT811" s="34"/>
      <c r="DU811" s="34"/>
      <c r="DV811" s="34"/>
    </row>
    <row r="812" ht="15.75" customHeight="1">
      <c r="A812" s="34"/>
      <c r="B812" s="34"/>
      <c r="C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  <c r="DR812" s="34"/>
      <c r="DS812" s="34"/>
      <c r="DT812" s="34"/>
      <c r="DU812" s="34"/>
      <c r="DV812" s="34"/>
    </row>
    <row r="813" ht="15.75" customHeight="1">
      <c r="A813" s="34"/>
      <c r="B813" s="34"/>
      <c r="C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  <c r="DR813" s="34"/>
      <c r="DS813" s="34"/>
      <c r="DT813" s="34"/>
      <c r="DU813" s="34"/>
      <c r="DV813" s="34"/>
    </row>
    <row r="814" ht="15.75" customHeight="1">
      <c r="A814" s="34"/>
      <c r="B814" s="34"/>
      <c r="C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  <c r="DR814" s="34"/>
      <c r="DS814" s="34"/>
      <c r="DT814" s="34"/>
      <c r="DU814" s="34"/>
      <c r="DV814" s="34"/>
    </row>
    <row r="815" ht="15.75" customHeight="1">
      <c r="A815" s="34"/>
      <c r="B815" s="34"/>
      <c r="C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  <c r="DR815" s="34"/>
      <c r="DS815" s="34"/>
      <c r="DT815" s="34"/>
      <c r="DU815" s="34"/>
      <c r="DV815" s="34"/>
    </row>
    <row r="816" ht="15.75" customHeight="1">
      <c r="A816" s="34"/>
      <c r="B816" s="34"/>
      <c r="C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  <c r="DR816" s="34"/>
      <c r="DS816" s="34"/>
      <c r="DT816" s="34"/>
      <c r="DU816" s="34"/>
      <c r="DV816" s="34"/>
    </row>
    <row r="817" ht="15.75" customHeight="1">
      <c r="A817" s="34"/>
      <c r="B817" s="34"/>
      <c r="C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  <c r="DR817" s="34"/>
      <c r="DS817" s="34"/>
      <c r="DT817" s="34"/>
      <c r="DU817" s="34"/>
      <c r="DV817" s="34"/>
    </row>
    <row r="818" ht="15.75" customHeight="1">
      <c r="A818" s="34"/>
      <c r="B818" s="34"/>
      <c r="C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  <c r="DR818" s="34"/>
      <c r="DS818" s="34"/>
      <c r="DT818" s="34"/>
      <c r="DU818" s="34"/>
      <c r="DV818" s="34"/>
    </row>
    <row r="819" ht="15.75" customHeight="1">
      <c r="A819" s="34"/>
      <c r="B819" s="34"/>
      <c r="C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  <c r="DM819" s="34"/>
      <c r="DN819" s="34"/>
      <c r="DO819" s="34"/>
      <c r="DP819" s="34"/>
      <c r="DQ819" s="34"/>
      <c r="DR819" s="34"/>
      <c r="DS819" s="34"/>
      <c r="DT819" s="34"/>
      <c r="DU819" s="34"/>
      <c r="DV819" s="34"/>
    </row>
    <row r="820" ht="15.75" customHeight="1">
      <c r="A820" s="34"/>
      <c r="B820" s="34"/>
      <c r="C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  <c r="DM820" s="34"/>
      <c r="DN820" s="34"/>
      <c r="DO820" s="34"/>
      <c r="DP820" s="34"/>
      <c r="DQ820" s="34"/>
      <c r="DR820" s="34"/>
      <c r="DS820" s="34"/>
      <c r="DT820" s="34"/>
      <c r="DU820" s="34"/>
      <c r="DV820" s="34"/>
    </row>
    <row r="821" ht="15.75" customHeight="1">
      <c r="A821" s="34"/>
      <c r="B821" s="34"/>
      <c r="C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  <c r="DR821" s="34"/>
      <c r="DS821" s="34"/>
      <c r="DT821" s="34"/>
      <c r="DU821" s="34"/>
      <c r="DV821" s="34"/>
    </row>
    <row r="822" ht="15.75" customHeight="1">
      <c r="A822" s="34"/>
      <c r="B822" s="34"/>
      <c r="C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/>
      <c r="DO822" s="34"/>
      <c r="DP822" s="34"/>
      <c r="DQ822" s="34"/>
      <c r="DR822" s="34"/>
      <c r="DS822" s="34"/>
      <c r="DT822" s="34"/>
      <c r="DU822" s="34"/>
      <c r="DV822" s="34"/>
    </row>
    <row r="823" ht="15.75" customHeight="1">
      <c r="A823" s="34"/>
      <c r="B823" s="34"/>
      <c r="C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  <c r="DR823" s="34"/>
      <c r="DS823" s="34"/>
      <c r="DT823" s="34"/>
      <c r="DU823" s="34"/>
      <c r="DV823" s="34"/>
    </row>
    <row r="824" ht="15.75" customHeight="1">
      <c r="A824" s="34"/>
      <c r="B824" s="34"/>
      <c r="C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  <c r="DR824" s="34"/>
      <c r="DS824" s="34"/>
      <c r="DT824" s="34"/>
      <c r="DU824" s="34"/>
      <c r="DV824" s="34"/>
    </row>
    <row r="825" ht="15.75" customHeight="1">
      <c r="A825" s="34"/>
      <c r="B825" s="34"/>
      <c r="C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  <c r="DR825" s="34"/>
      <c r="DS825" s="34"/>
      <c r="DT825" s="34"/>
      <c r="DU825" s="34"/>
      <c r="DV825" s="34"/>
    </row>
    <row r="826" ht="15.75" customHeight="1">
      <c r="A826" s="34"/>
      <c r="B826" s="34"/>
      <c r="C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  <c r="DM826" s="34"/>
      <c r="DN826" s="34"/>
      <c r="DO826" s="34"/>
      <c r="DP826" s="34"/>
      <c r="DQ826" s="34"/>
      <c r="DR826" s="34"/>
      <c r="DS826" s="34"/>
      <c r="DT826" s="34"/>
      <c r="DU826" s="34"/>
      <c r="DV826" s="34"/>
    </row>
    <row r="827" ht="15.75" customHeight="1">
      <c r="A827" s="34"/>
      <c r="B827" s="34"/>
      <c r="C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  <c r="DR827" s="34"/>
      <c r="DS827" s="34"/>
      <c r="DT827" s="34"/>
      <c r="DU827" s="34"/>
      <c r="DV827" s="34"/>
    </row>
    <row r="828" ht="15.75" customHeight="1">
      <c r="A828" s="34"/>
      <c r="B828" s="34"/>
      <c r="C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  <c r="DR828" s="34"/>
      <c r="DS828" s="34"/>
      <c r="DT828" s="34"/>
      <c r="DU828" s="34"/>
      <c r="DV828" s="34"/>
    </row>
    <row r="829" ht="15.75" customHeight="1">
      <c r="A829" s="34"/>
      <c r="B829" s="34"/>
      <c r="C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/>
      <c r="DO829" s="34"/>
      <c r="DP829" s="34"/>
      <c r="DQ829" s="34"/>
      <c r="DR829" s="34"/>
      <c r="DS829" s="34"/>
      <c r="DT829" s="34"/>
      <c r="DU829" s="34"/>
      <c r="DV829" s="34"/>
    </row>
    <row r="830" ht="15.75" customHeight="1">
      <c r="A830" s="34"/>
      <c r="B830" s="34"/>
      <c r="C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  <c r="DM830" s="34"/>
      <c r="DN830" s="34"/>
      <c r="DO830" s="34"/>
      <c r="DP830" s="34"/>
      <c r="DQ830" s="34"/>
      <c r="DR830" s="34"/>
      <c r="DS830" s="34"/>
      <c r="DT830" s="34"/>
      <c r="DU830" s="34"/>
      <c r="DV830" s="34"/>
    </row>
    <row r="831" ht="15.75" customHeight="1">
      <c r="A831" s="34"/>
      <c r="B831" s="34"/>
      <c r="C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  <c r="DR831" s="34"/>
      <c r="DS831" s="34"/>
      <c r="DT831" s="34"/>
      <c r="DU831" s="34"/>
      <c r="DV831" s="34"/>
    </row>
    <row r="832" ht="15.75" customHeight="1">
      <c r="A832" s="34"/>
      <c r="B832" s="34"/>
      <c r="C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  <c r="DR832" s="34"/>
      <c r="DS832" s="34"/>
      <c r="DT832" s="34"/>
      <c r="DU832" s="34"/>
      <c r="DV832" s="34"/>
    </row>
    <row r="833" ht="15.75" customHeight="1">
      <c r="A833" s="34"/>
      <c r="B833" s="34"/>
      <c r="C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  <c r="DR833" s="34"/>
      <c r="DS833" s="34"/>
      <c r="DT833" s="34"/>
      <c r="DU833" s="34"/>
      <c r="DV833" s="34"/>
    </row>
    <row r="834" ht="15.75" customHeight="1">
      <c r="A834" s="34"/>
      <c r="B834" s="34"/>
      <c r="C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  <c r="DR834" s="34"/>
      <c r="DS834" s="34"/>
      <c r="DT834" s="34"/>
      <c r="DU834" s="34"/>
      <c r="DV834" s="34"/>
    </row>
    <row r="835" ht="15.75" customHeight="1">
      <c r="A835" s="34"/>
      <c r="B835" s="34"/>
      <c r="C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  <c r="DR835" s="34"/>
      <c r="DS835" s="34"/>
      <c r="DT835" s="34"/>
      <c r="DU835" s="34"/>
      <c r="DV835" s="34"/>
    </row>
    <row r="836" ht="15.75" customHeight="1">
      <c r="A836" s="34"/>
      <c r="B836" s="34"/>
      <c r="C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  <c r="DR836" s="34"/>
      <c r="DS836" s="34"/>
      <c r="DT836" s="34"/>
      <c r="DU836" s="34"/>
      <c r="DV836" s="34"/>
    </row>
    <row r="837" ht="15.75" customHeight="1">
      <c r="A837" s="34"/>
      <c r="B837" s="34"/>
      <c r="C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  <c r="DR837" s="34"/>
      <c r="DS837" s="34"/>
      <c r="DT837" s="34"/>
      <c r="DU837" s="34"/>
      <c r="DV837" s="34"/>
    </row>
    <row r="838" ht="15.75" customHeight="1">
      <c r="A838" s="34"/>
      <c r="B838" s="34"/>
      <c r="C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  <c r="DR838" s="34"/>
      <c r="DS838" s="34"/>
      <c r="DT838" s="34"/>
      <c r="DU838" s="34"/>
      <c r="DV838" s="34"/>
    </row>
    <row r="839" ht="15.75" customHeight="1">
      <c r="A839" s="34"/>
      <c r="B839" s="34"/>
      <c r="C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  <c r="DR839" s="34"/>
      <c r="DS839" s="34"/>
      <c r="DT839" s="34"/>
      <c r="DU839" s="34"/>
      <c r="DV839" s="34"/>
    </row>
    <row r="840" ht="15.75" customHeight="1">
      <c r="A840" s="34"/>
      <c r="B840" s="34"/>
      <c r="C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  <c r="DR840" s="34"/>
      <c r="DS840" s="34"/>
      <c r="DT840" s="34"/>
      <c r="DU840" s="34"/>
      <c r="DV840" s="34"/>
    </row>
    <row r="841" ht="15.75" customHeight="1">
      <c r="A841" s="34"/>
      <c r="B841" s="34"/>
      <c r="C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  <c r="DR841" s="34"/>
      <c r="DS841" s="34"/>
      <c r="DT841" s="34"/>
      <c r="DU841" s="34"/>
      <c r="DV841" s="34"/>
    </row>
    <row r="842" ht="15.75" customHeight="1">
      <c r="A842" s="34"/>
      <c r="B842" s="34"/>
      <c r="C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  <c r="DR842" s="34"/>
      <c r="DS842" s="34"/>
      <c r="DT842" s="34"/>
      <c r="DU842" s="34"/>
      <c r="DV842" s="34"/>
    </row>
    <row r="843" ht="15.75" customHeight="1">
      <c r="A843" s="34"/>
      <c r="B843" s="34"/>
      <c r="C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  <c r="DR843" s="34"/>
      <c r="DS843" s="34"/>
      <c r="DT843" s="34"/>
      <c r="DU843" s="34"/>
      <c r="DV843" s="34"/>
    </row>
    <row r="844" ht="15.75" customHeight="1">
      <c r="A844" s="34"/>
      <c r="B844" s="34"/>
      <c r="C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  <c r="DR844" s="34"/>
      <c r="DS844" s="34"/>
      <c r="DT844" s="34"/>
      <c r="DU844" s="34"/>
      <c r="DV844" s="34"/>
    </row>
    <row r="845" ht="15.75" customHeight="1">
      <c r="A845" s="34"/>
      <c r="B845" s="34"/>
      <c r="C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  <c r="DR845" s="34"/>
      <c r="DS845" s="34"/>
      <c r="DT845" s="34"/>
      <c r="DU845" s="34"/>
      <c r="DV845" s="34"/>
    </row>
    <row r="846" ht="15.75" customHeight="1">
      <c r="A846" s="34"/>
      <c r="B846" s="34"/>
      <c r="C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/>
      <c r="DO846" s="34"/>
      <c r="DP846" s="34"/>
      <c r="DQ846" s="34"/>
      <c r="DR846" s="34"/>
      <c r="DS846" s="34"/>
      <c r="DT846" s="34"/>
      <c r="DU846" s="34"/>
      <c r="DV846" s="34"/>
    </row>
    <row r="847" ht="15.75" customHeight="1">
      <c r="A847" s="34"/>
      <c r="B847" s="34"/>
      <c r="C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  <c r="DM847" s="34"/>
      <c r="DN847" s="34"/>
      <c r="DO847" s="34"/>
      <c r="DP847" s="34"/>
      <c r="DQ847" s="34"/>
      <c r="DR847" s="34"/>
      <c r="DS847" s="34"/>
      <c r="DT847" s="34"/>
      <c r="DU847" s="34"/>
      <c r="DV847" s="34"/>
    </row>
    <row r="848" ht="15.75" customHeight="1">
      <c r="A848" s="34"/>
      <c r="B848" s="34"/>
      <c r="C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  <c r="DR848" s="34"/>
      <c r="DS848" s="34"/>
      <c r="DT848" s="34"/>
      <c r="DU848" s="34"/>
      <c r="DV848" s="34"/>
    </row>
    <row r="849" ht="15.75" customHeight="1">
      <c r="A849" s="34"/>
      <c r="B849" s="34"/>
      <c r="C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  <c r="DR849" s="34"/>
      <c r="DS849" s="34"/>
      <c r="DT849" s="34"/>
      <c r="DU849" s="34"/>
      <c r="DV849" s="34"/>
    </row>
    <row r="850" ht="15.75" customHeight="1">
      <c r="A850" s="34"/>
      <c r="B850" s="34"/>
      <c r="C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  <c r="DR850" s="34"/>
      <c r="DS850" s="34"/>
      <c r="DT850" s="34"/>
      <c r="DU850" s="34"/>
      <c r="DV850" s="34"/>
    </row>
    <row r="851" ht="15.75" customHeight="1">
      <c r="A851" s="34"/>
      <c r="B851" s="34"/>
      <c r="C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  <c r="DM851" s="34"/>
      <c r="DN851" s="34"/>
      <c r="DO851" s="34"/>
      <c r="DP851" s="34"/>
      <c r="DQ851" s="34"/>
      <c r="DR851" s="34"/>
      <c r="DS851" s="34"/>
      <c r="DT851" s="34"/>
      <c r="DU851" s="34"/>
      <c r="DV851" s="34"/>
    </row>
    <row r="852" ht="15.75" customHeight="1">
      <c r="A852" s="34"/>
      <c r="B852" s="34"/>
      <c r="C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  <c r="DR852" s="34"/>
      <c r="DS852" s="34"/>
      <c r="DT852" s="34"/>
      <c r="DU852" s="34"/>
      <c r="DV852" s="34"/>
    </row>
    <row r="853" ht="15.75" customHeight="1">
      <c r="A853" s="34"/>
      <c r="B853" s="34"/>
      <c r="C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  <c r="DR853" s="34"/>
      <c r="DS853" s="34"/>
      <c r="DT853" s="34"/>
      <c r="DU853" s="34"/>
      <c r="DV853" s="34"/>
    </row>
    <row r="854" ht="15.75" customHeight="1">
      <c r="A854" s="34"/>
      <c r="B854" s="34"/>
      <c r="C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/>
      <c r="DQ854" s="34"/>
      <c r="DR854" s="34"/>
      <c r="DS854" s="34"/>
      <c r="DT854" s="34"/>
      <c r="DU854" s="34"/>
      <c r="DV854" s="34"/>
    </row>
    <row r="855" ht="15.75" customHeight="1">
      <c r="A855" s="34"/>
      <c r="B855" s="34"/>
      <c r="C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  <c r="DR855" s="34"/>
      <c r="DS855" s="34"/>
      <c r="DT855" s="34"/>
      <c r="DU855" s="34"/>
      <c r="DV855" s="34"/>
    </row>
    <row r="856" ht="15.75" customHeight="1">
      <c r="A856" s="34"/>
      <c r="B856" s="34"/>
      <c r="C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  <c r="DR856" s="34"/>
      <c r="DS856" s="34"/>
      <c r="DT856" s="34"/>
      <c r="DU856" s="34"/>
      <c r="DV856" s="34"/>
    </row>
    <row r="857" ht="15.75" customHeight="1">
      <c r="A857" s="34"/>
      <c r="B857" s="34"/>
      <c r="C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  <c r="DR857" s="34"/>
      <c r="DS857" s="34"/>
      <c r="DT857" s="34"/>
      <c r="DU857" s="34"/>
      <c r="DV857" s="34"/>
    </row>
    <row r="858" ht="15.75" customHeight="1">
      <c r="A858" s="34"/>
      <c r="B858" s="34"/>
      <c r="C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  <c r="DR858" s="34"/>
      <c r="DS858" s="34"/>
      <c r="DT858" s="34"/>
      <c r="DU858" s="34"/>
      <c r="DV858" s="34"/>
    </row>
    <row r="859" ht="15.75" customHeight="1">
      <c r="A859" s="34"/>
      <c r="B859" s="34"/>
      <c r="C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  <c r="DR859" s="34"/>
      <c r="DS859" s="34"/>
      <c r="DT859" s="34"/>
      <c r="DU859" s="34"/>
      <c r="DV859" s="34"/>
    </row>
    <row r="860" ht="15.75" customHeight="1">
      <c r="A860" s="34"/>
      <c r="B860" s="34"/>
      <c r="C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  <c r="DR860" s="34"/>
      <c r="DS860" s="34"/>
      <c r="DT860" s="34"/>
      <c r="DU860" s="34"/>
      <c r="DV860" s="34"/>
    </row>
    <row r="861" ht="15.75" customHeight="1">
      <c r="A861" s="34"/>
      <c r="B861" s="34"/>
      <c r="C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  <c r="DM861" s="34"/>
      <c r="DN861" s="34"/>
      <c r="DO861" s="34"/>
      <c r="DP861" s="34"/>
      <c r="DQ861" s="34"/>
      <c r="DR861" s="34"/>
      <c r="DS861" s="34"/>
      <c r="DT861" s="34"/>
      <c r="DU861" s="34"/>
      <c r="DV861" s="34"/>
    </row>
    <row r="862" ht="15.75" customHeight="1">
      <c r="A862" s="34"/>
      <c r="B862" s="34"/>
      <c r="C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  <c r="DR862" s="34"/>
      <c r="DS862" s="34"/>
      <c r="DT862" s="34"/>
      <c r="DU862" s="34"/>
      <c r="DV862" s="34"/>
    </row>
    <row r="863" ht="15.75" customHeight="1">
      <c r="A863" s="34"/>
      <c r="B863" s="34"/>
      <c r="C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  <c r="DR863" s="34"/>
      <c r="DS863" s="34"/>
      <c r="DT863" s="34"/>
      <c r="DU863" s="34"/>
      <c r="DV863" s="34"/>
    </row>
    <row r="864" ht="15.75" customHeight="1">
      <c r="A864" s="34"/>
      <c r="B864" s="34"/>
      <c r="C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  <c r="DR864" s="34"/>
      <c r="DS864" s="34"/>
      <c r="DT864" s="34"/>
      <c r="DU864" s="34"/>
      <c r="DV864" s="34"/>
    </row>
    <row r="865" ht="15.75" customHeight="1">
      <c r="A865" s="34"/>
      <c r="B865" s="34"/>
      <c r="C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  <c r="DR865" s="34"/>
      <c r="DS865" s="34"/>
      <c r="DT865" s="34"/>
      <c r="DU865" s="34"/>
      <c r="DV865" s="34"/>
    </row>
    <row r="866" ht="15.75" customHeight="1">
      <c r="A866" s="34"/>
      <c r="B866" s="34"/>
      <c r="C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  <c r="DR866" s="34"/>
      <c r="DS866" s="34"/>
      <c r="DT866" s="34"/>
      <c r="DU866" s="34"/>
      <c r="DV866" s="34"/>
    </row>
    <row r="867" ht="15.75" customHeight="1">
      <c r="A867" s="34"/>
      <c r="B867" s="34"/>
      <c r="C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  <c r="DR867" s="34"/>
      <c r="DS867" s="34"/>
      <c r="DT867" s="34"/>
      <c r="DU867" s="34"/>
      <c r="DV867" s="34"/>
    </row>
    <row r="868" ht="15.75" customHeight="1">
      <c r="A868" s="34"/>
      <c r="B868" s="34"/>
      <c r="C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  <c r="DR868" s="34"/>
      <c r="DS868" s="34"/>
      <c r="DT868" s="34"/>
      <c r="DU868" s="34"/>
      <c r="DV868" s="34"/>
    </row>
    <row r="869" ht="15.75" customHeight="1">
      <c r="A869" s="34"/>
      <c r="B869" s="34"/>
      <c r="C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  <c r="DM869" s="34"/>
      <c r="DN869" s="34"/>
      <c r="DO869" s="34"/>
      <c r="DP869" s="34"/>
      <c r="DQ869" s="34"/>
      <c r="DR869" s="34"/>
      <c r="DS869" s="34"/>
      <c r="DT869" s="34"/>
      <c r="DU869" s="34"/>
      <c r="DV869" s="34"/>
    </row>
    <row r="870" ht="15.75" customHeight="1">
      <c r="A870" s="34"/>
      <c r="B870" s="34"/>
      <c r="C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  <c r="DR870" s="34"/>
      <c r="DS870" s="34"/>
      <c r="DT870" s="34"/>
      <c r="DU870" s="34"/>
      <c r="DV870" s="34"/>
    </row>
    <row r="871" ht="15.75" customHeight="1">
      <c r="A871" s="34"/>
      <c r="B871" s="34"/>
      <c r="C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  <c r="DR871" s="34"/>
      <c r="DS871" s="34"/>
      <c r="DT871" s="34"/>
      <c r="DU871" s="34"/>
      <c r="DV871" s="34"/>
    </row>
    <row r="872" ht="15.75" customHeight="1">
      <c r="A872" s="34"/>
      <c r="B872" s="34"/>
      <c r="C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  <c r="DR872" s="34"/>
      <c r="DS872" s="34"/>
      <c r="DT872" s="34"/>
      <c r="DU872" s="34"/>
      <c r="DV872" s="34"/>
    </row>
    <row r="873" ht="15.75" customHeight="1">
      <c r="A873" s="34"/>
      <c r="B873" s="34"/>
      <c r="C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  <c r="DR873" s="34"/>
      <c r="DS873" s="34"/>
      <c r="DT873" s="34"/>
      <c r="DU873" s="34"/>
      <c r="DV873" s="34"/>
    </row>
    <row r="874" ht="15.75" customHeight="1">
      <c r="A874" s="34"/>
      <c r="B874" s="34"/>
      <c r="C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  <c r="DR874" s="34"/>
      <c r="DS874" s="34"/>
      <c r="DT874" s="34"/>
      <c r="DU874" s="34"/>
      <c r="DV874" s="34"/>
    </row>
    <row r="875" ht="15.75" customHeight="1">
      <c r="A875" s="34"/>
      <c r="B875" s="34"/>
      <c r="C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  <c r="DR875" s="34"/>
      <c r="DS875" s="34"/>
      <c r="DT875" s="34"/>
      <c r="DU875" s="34"/>
      <c r="DV875" s="34"/>
    </row>
    <row r="876" ht="15.75" customHeight="1">
      <c r="A876" s="34"/>
      <c r="B876" s="34"/>
      <c r="C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  <c r="DR876" s="34"/>
      <c r="DS876" s="34"/>
      <c r="DT876" s="34"/>
      <c r="DU876" s="34"/>
      <c r="DV876" s="34"/>
    </row>
    <row r="877" ht="15.75" customHeight="1">
      <c r="A877" s="34"/>
      <c r="B877" s="34"/>
      <c r="C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  <c r="DR877" s="34"/>
      <c r="DS877" s="34"/>
      <c r="DT877" s="34"/>
      <c r="DU877" s="34"/>
      <c r="DV877" s="34"/>
    </row>
    <row r="878" ht="15.75" customHeight="1">
      <c r="A878" s="34"/>
      <c r="B878" s="34"/>
      <c r="C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  <c r="DR878" s="34"/>
      <c r="DS878" s="34"/>
      <c r="DT878" s="34"/>
      <c r="DU878" s="34"/>
      <c r="DV878" s="34"/>
    </row>
    <row r="879" ht="15.75" customHeight="1">
      <c r="A879" s="34"/>
      <c r="B879" s="34"/>
      <c r="C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/>
      <c r="DQ879" s="34"/>
      <c r="DR879" s="34"/>
      <c r="DS879" s="34"/>
      <c r="DT879" s="34"/>
      <c r="DU879" s="34"/>
      <c r="DV879" s="34"/>
    </row>
    <row r="880" ht="15.75" customHeight="1">
      <c r="A880" s="34"/>
      <c r="B880" s="34"/>
      <c r="C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  <c r="DR880" s="34"/>
      <c r="DS880" s="34"/>
      <c r="DT880" s="34"/>
      <c r="DU880" s="34"/>
      <c r="DV880" s="34"/>
    </row>
    <row r="881" ht="15.75" customHeight="1">
      <c r="A881" s="34"/>
      <c r="B881" s="34"/>
      <c r="C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  <c r="DM881" s="34"/>
      <c r="DN881" s="34"/>
      <c r="DO881" s="34"/>
      <c r="DP881" s="34"/>
      <c r="DQ881" s="34"/>
      <c r="DR881" s="34"/>
      <c r="DS881" s="34"/>
      <c r="DT881" s="34"/>
      <c r="DU881" s="34"/>
      <c r="DV881" s="34"/>
    </row>
    <row r="882" ht="15.75" customHeight="1">
      <c r="A882" s="34"/>
      <c r="B882" s="34"/>
      <c r="C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  <c r="DR882" s="34"/>
      <c r="DS882" s="34"/>
      <c r="DT882" s="34"/>
      <c r="DU882" s="34"/>
      <c r="DV882" s="34"/>
    </row>
    <row r="883" ht="15.75" customHeight="1">
      <c r="A883" s="34"/>
      <c r="B883" s="34"/>
      <c r="C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  <c r="DR883" s="34"/>
      <c r="DS883" s="34"/>
      <c r="DT883" s="34"/>
      <c r="DU883" s="34"/>
      <c r="DV883" s="34"/>
    </row>
    <row r="884" ht="15.75" customHeight="1">
      <c r="A884" s="34"/>
      <c r="B884" s="34"/>
      <c r="C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/>
      <c r="DQ884" s="34"/>
      <c r="DR884" s="34"/>
      <c r="DS884" s="34"/>
      <c r="DT884" s="34"/>
      <c r="DU884" s="34"/>
      <c r="DV884" s="34"/>
    </row>
    <row r="885" ht="15.75" customHeight="1">
      <c r="A885" s="34"/>
      <c r="B885" s="34"/>
      <c r="C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/>
      <c r="DO885" s="34"/>
      <c r="DP885" s="34"/>
      <c r="DQ885" s="34"/>
      <c r="DR885" s="34"/>
      <c r="DS885" s="34"/>
      <c r="DT885" s="34"/>
      <c r="DU885" s="34"/>
      <c r="DV885" s="34"/>
    </row>
    <row r="886" ht="15.75" customHeight="1">
      <c r="A886" s="34"/>
      <c r="B886" s="34"/>
      <c r="C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  <c r="DR886" s="34"/>
      <c r="DS886" s="34"/>
      <c r="DT886" s="34"/>
      <c r="DU886" s="34"/>
      <c r="DV886" s="34"/>
    </row>
    <row r="887" ht="15.75" customHeight="1">
      <c r="A887" s="34"/>
      <c r="B887" s="34"/>
      <c r="C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  <c r="DR887" s="34"/>
      <c r="DS887" s="34"/>
      <c r="DT887" s="34"/>
      <c r="DU887" s="34"/>
      <c r="DV887" s="34"/>
    </row>
    <row r="888" ht="15.75" customHeight="1">
      <c r="A888" s="34"/>
      <c r="B888" s="34"/>
      <c r="C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  <c r="DM888" s="34"/>
      <c r="DN888" s="34"/>
      <c r="DO888" s="34"/>
      <c r="DP888" s="34"/>
      <c r="DQ888" s="34"/>
      <c r="DR888" s="34"/>
      <c r="DS888" s="34"/>
      <c r="DT888" s="34"/>
      <c r="DU888" s="34"/>
      <c r="DV888" s="34"/>
    </row>
    <row r="889" ht="15.75" customHeight="1">
      <c r="A889" s="34"/>
      <c r="B889" s="34"/>
      <c r="C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  <c r="DM889" s="34"/>
      <c r="DN889" s="34"/>
      <c r="DO889" s="34"/>
      <c r="DP889" s="34"/>
      <c r="DQ889" s="34"/>
      <c r="DR889" s="34"/>
      <c r="DS889" s="34"/>
      <c r="DT889" s="34"/>
      <c r="DU889" s="34"/>
      <c r="DV889" s="34"/>
    </row>
    <row r="890" ht="15.75" customHeight="1">
      <c r="A890" s="34"/>
      <c r="B890" s="34"/>
      <c r="C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  <c r="DM890" s="34"/>
      <c r="DN890" s="34"/>
      <c r="DO890" s="34"/>
      <c r="DP890" s="34"/>
      <c r="DQ890" s="34"/>
      <c r="DR890" s="34"/>
      <c r="DS890" s="34"/>
      <c r="DT890" s="34"/>
      <c r="DU890" s="34"/>
      <c r="DV890" s="34"/>
    </row>
    <row r="891" ht="15.75" customHeight="1">
      <c r="A891" s="34"/>
      <c r="B891" s="34"/>
      <c r="C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  <c r="DM891" s="34"/>
      <c r="DN891" s="34"/>
      <c r="DO891" s="34"/>
      <c r="DP891" s="34"/>
      <c r="DQ891" s="34"/>
      <c r="DR891" s="34"/>
      <c r="DS891" s="34"/>
      <c r="DT891" s="34"/>
      <c r="DU891" s="34"/>
      <c r="DV891" s="34"/>
    </row>
    <row r="892" ht="15.75" customHeight="1">
      <c r="A892" s="34"/>
      <c r="B892" s="34"/>
      <c r="C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  <c r="DR892" s="34"/>
      <c r="DS892" s="34"/>
      <c r="DT892" s="34"/>
      <c r="DU892" s="34"/>
      <c r="DV892" s="34"/>
    </row>
    <row r="893" ht="15.75" customHeight="1">
      <c r="A893" s="34"/>
      <c r="B893" s="34"/>
      <c r="C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  <c r="DR893" s="34"/>
      <c r="DS893" s="34"/>
      <c r="DT893" s="34"/>
      <c r="DU893" s="34"/>
      <c r="DV893" s="34"/>
    </row>
    <row r="894" ht="15.75" customHeight="1">
      <c r="A894" s="34"/>
      <c r="B894" s="34"/>
      <c r="C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  <c r="DR894" s="34"/>
      <c r="DS894" s="34"/>
      <c r="DT894" s="34"/>
      <c r="DU894" s="34"/>
      <c r="DV894" s="34"/>
    </row>
    <row r="895" ht="15.75" customHeight="1">
      <c r="A895" s="34"/>
      <c r="B895" s="34"/>
      <c r="C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  <c r="DM895" s="34"/>
      <c r="DN895" s="34"/>
      <c r="DO895" s="34"/>
      <c r="DP895" s="34"/>
      <c r="DQ895" s="34"/>
      <c r="DR895" s="34"/>
      <c r="DS895" s="34"/>
      <c r="DT895" s="34"/>
      <c r="DU895" s="34"/>
      <c r="DV895" s="34"/>
    </row>
    <row r="896" ht="15.75" customHeight="1">
      <c r="A896" s="34"/>
      <c r="B896" s="34"/>
      <c r="C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  <c r="DR896" s="34"/>
      <c r="DS896" s="34"/>
      <c r="DT896" s="34"/>
      <c r="DU896" s="34"/>
      <c r="DV896" s="34"/>
    </row>
    <row r="897" ht="15.75" customHeight="1">
      <c r="A897" s="34"/>
      <c r="B897" s="34"/>
      <c r="C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  <c r="DR897" s="34"/>
      <c r="DS897" s="34"/>
      <c r="DT897" s="34"/>
      <c r="DU897" s="34"/>
      <c r="DV897" s="34"/>
    </row>
    <row r="898" ht="15.75" customHeight="1">
      <c r="A898" s="34"/>
      <c r="B898" s="34"/>
      <c r="C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  <c r="DR898" s="34"/>
      <c r="DS898" s="34"/>
      <c r="DT898" s="34"/>
      <c r="DU898" s="34"/>
      <c r="DV898" s="34"/>
    </row>
    <row r="899" ht="15.75" customHeight="1">
      <c r="A899" s="34"/>
      <c r="B899" s="34"/>
      <c r="C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  <c r="DR899" s="34"/>
      <c r="DS899" s="34"/>
      <c r="DT899" s="34"/>
      <c r="DU899" s="34"/>
      <c r="DV899" s="34"/>
    </row>
    <row r="900" ht="15.75" customHeight="1">
      <c r="A900" s="34"/>
      <c r="B900" s="34"/>
      <c r="C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  <c r="DR900" s="34"/>
      <c r="DS900" s="34"/>
      <c r="DT900" s="34"/>
      <c r="DU900" s="34"/>
      <c r="DV900" s="34"/>
    </row>
    <row r="901" ht="15.75" customHeight="1">
      <c r="A901" s="34"/>
      <c r="B901" s="34"/>
      <c r="C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  <c r="DR901" s="34"/>
      <c r="DS901" s="34"/>
      <c r="DT901" s="34"/>
      <c r="DU901" s="34"/>
      <c r="DV901" s="34"/>
    </row>
    <row r="902" ht="15.75" customHeight="1">
      <c r="A902" s="34"/>
      <c r="B902" s="34"/>
      <c r="C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/>
      <c r="DS902" s="34"/>
      <c r="DT902" s="34"/>
      <c r="DU902" s="34"/>
      <c r="DV902" s="34"/>
    </row>
    <row r="903" ht="15.75" customHeight="1">
      <c r="A903" s="34"/>
      <c r="B903" s="34"/>
      <c r="C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</row>
    <row r="904" ht="15.75" customHeight="1">
      <c r="A904" s="34"/>
      <c r="B904" s="34"/>
      <c r="C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  <c r="DR904" s="34"/>
      <c r="DS904" s="34"/>
      <c r="DT904" s="34"/>
      <c r="DU904" s="34"/>
      <c r="DV904" s="34"/>
    </row>
    <row r="905" ht="15.75" customHeight="1">
      <c r="A905" s="34"/>
      <c r="B905" s="34"/>
      <c r="C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  <c r="DR905" s="34"/>
      <c r="DS905" s="34"/>
      <c r="DT905" s="34"/>
      <c r="DU905" s="34"/>
      <c r="DV905" s="34"/>
    </row>
    <row r="906" ht="15.75" customHeight="1">
      <c r="A906" s="34"/>
      <c r="B906" s="34"/>
      <c r="C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  <c r="DR906" s="34"/>
      <c r="DS906" s="34"/>
      <c r="DT906" s="34"/>
      <c r="DU906" s="34"/>
      <c r="DV906" s="34"/>
    </row>
    <row r="907" ht="15.75" customHeight="1">
      <c r="A907" s="34"/>
      <c r="B907" s="34"/>
      <c r="C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  <c r="DR907" s="34"/>
      <c r="DS907" s="34"/>
      <c r="DT907" s="34"/>
      <c r="DU907" s="34"/>
      <c r="DV907" s="34"/>
    </row>
    <row r="908" ht="15.75" customHeight="1">
      <c r="A908" s="34"/>
      <c r="B908" s="34"/>
      <c r="C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  <c r="DR908" s="34"/>
      <c r="DS908" s="34"/>
      <c r="DT908" s="34"/>
      <c r="DU908" s="34"/>
      <c r="DV908" s="34"/>
    </row>
    <row r="909" ht="15.75" customHeight="1">
      <c r="A909" s="34"/>
      <c r="B909" s="34"/>
      <c r="C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/>
      <c r="DQ909" s="34"/>
      <c r="DR909" s="34"/>
      <c r="DS909" s="34"/>
      <c r="DT909" s="34"/>
      <c r="DU909" s="34"/>
      <c r="DV909" s="34"/>
    </row>
    <row r="910" ht="15.75" customHeight="1">
      <c r="A910" s="34"/>
      <c r="B910" s="34"/>
      <c r="C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  <c r="DR910" s="34"/>
      <c r="DS910" s="34"/>
      <c r="DT910" s="34"/>
      <c r="DU910" s="34"/>
      <c r="DV910" s="34"/>
    </row>
    <row r="911" ht="15.75" customHeight="1">
      <c r="A911" s="34"/>
      <c r="B911" s="34"/>
      <c r="C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  <c r="DR911" s="34"/>
      <c r="DS911" s="34"/>
      <c r="DT911" s="34"/>
      <c r="DU911" s="34"/>
      <c r="DV911" s="34"/>
    </row>
    <row r="912" ht="15.75" customHeight="1">
      <c r="A912" s="34"/>
      <c r="B912" s="34"/>
      <c r="C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  <c r="DR912" s="34"/>
      <c r="DS912" s="34"/>
      <c r="DT912" s="34"/>
      <c r="DU912" s="34"/>
      <c r="DV912" s="34"/>
    </row>
    <row r="913" ht="15.75" customHeight="1">
      <c r="A913" s="34"/>
      <c r="B913" s="34"/>
      <c r="C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  <c r="DR913" s="34"/>
      <c r="DS913" s="34"/>
      <c r="DT913" s="34"/>
      <c r="DU913" s="34"/>
      <c r="DV913" s="34"/>
    </row>
    <row r="914" ht="15.75" customHeight="1">
      <c r="A914" s="34"/>
      <c r="B914" s="34"/>
      <c r="C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  <c r="DR914" s="34"/>
      <c r="DS914" s="34"/>
      <c r="DT914" s="34"/>
      <c r="DU914" s="34"/>
      <c r="DV914" s="34"/>
    </row>
    <row r="915" ht="15.75" customHeight="1">
      <c r="A915" s="34"/>
      <c r="B915" s="34"/>
      <c r="C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/>
      <c r="DQ915" s="34"/>
      <c r="DR915" s="34"/>
      <c r="DS915" s="34"/>
      <c r="DT915" s="34"/>
      <c r="DU915" s="34"/>
      <c r="DV915" s="34"/>
    </row>
    <row r="916" ht="15.75" customHeight="1">
      <c r="A916" s="34"/>
      <c r="B916" s="34"/>
      <c r="C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  <c r="DR916" s="34"/>
      <c r="DS916" s="34"/>
      <c r="DT916" s="34"/>
      <c r="DU916" s="34"/>
      <c r="DV916" s="34"/>
    </row>
    <row r="917" ht="15.75" customHeight="1">
      <c r="A917" s="34"/>
      <c r="B917" s="34"/>
      <c r="C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  <c r="DR917" s="34"/>
      <c r="DS917" s="34"/>
      <c r="DT917" s="34"/>
      <c r="DU917" s="34"/>
      <c r="DV917" s="34"/>
    </row>
    <row r="918" ht="15.75" customHeight="1">
      <c r="A918" s="34"/>
      <c r="B918" s="34"/>
      <c r="C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  <c r="DR918" s="34"/>
      <c r="DS918" s="34"/>
      <c r="DT918" s="34"/>
      <c r="DU918" s="34"/>
      <c r="DV918" s="34"/>
    </row>
    <row r="919" ht="15.75" customHeight="1">
      <c r="A919" s="34"/>
      <c r="B919" s="34"/>
      <c r="C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  <c r="DR919" s="34"/>
      <c r="DS919" s="34"/>
      <c r="DT919" s="34"/>
      <c r="DU919" s="34"/>
      <c r="DV919" s="34"/>
    </row>
    <row r="920" ht="15.75" customHeight="1">
      <c r="A920" s="34"/>
      <c r="B920" s="34"/>
      <c r="C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  <c r="DR920" s="34"/>
      <c r="DS920" s="34"/>
      <c r="DT920" s="34"/>
      <c r="DU920" s="34"/>
      <c r="DV920" s="34"/>
    </row>
    <row r="921" ht="15.75" customHeight="1">
      <c r="A921" s="34"/>
      <c r="B921" s="34"/>
      <c r="C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  <c r="DR921" s="34"/>
      <c r="DS921" s="34"/>
      <c r="DT921" s="34"/>
      <c r="DU921" s="34"/>
      <c r="DV921" s="34"/>
    </row>
    <row r="922" ht="15.75" customHeight="1">
      <c r="A922" s="34"/>
      <c r="B922" s="34"/>
      <c r="C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  <c r="DR922" s="34"/>
      <c r="DS922" s="34"/>
      <c r="DT922" s="34"/>
      <c r="DU922" s="34"/>
      <c r="DV922" s="34"/>
    </row>
    <row r="923" ht="15.75" customHeight="1">
      <c r="A923" s="34"/>
      <c r="B923" s="34"/>
      <c r="C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  <c r="DM923" s="34"/>
      <c r="DN923" s="34"/>
      <c r="DO923" s="34"/>
      <c r="DP923" s="34"/>
      <c r="DQ923" s="34"/>
      <c r="DR923" s="34"/>
      <c r="DS923" s="34"/>
      <c r="DT923" s="34"/>
      <c r="DU923" s="34"/>
      <c r="DV923" s="34"/>
    </row>
    <row r="924" ht="15.75" customHeight="1">
      <c r="A924" s="34"/>
      <c r="B924" s="34"/>
      <c r="C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  <c r="DR924" s="34"/>
      <c r="DS924" s="34"/>
      <c r="DT924" s="34"/>
      <c r="DU924" s="34"/>
      <c r="DV924" s="34"/>
    </row>
    <row r="925" ht="15.75" customHeight="1">
      <c r="A925" s="34"/>
      <c r="B925" s="34"/>
      <c r="C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  <c r="DM925" s="34"/>
      <c r="DN925" s="34"/>
      <c r="DO925" s="34"/>
      <c r="DP925" s="34"/>
      <c r="DQ925" s="34"/>
      <c r="DR925" s="34"/>
      <c r="DS925" s="34"/>
      <c r="DT925" s="34"/>
      <c r="DU925" s="34"/>
      <c r="DV925" s="34"/>
    </row>
    <row r="926" ht="15.75" customHeight="1">
      <c r="A926" s="34"/>
      <c r="B926" s="34"/>
      <c r="C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  <c r="DR926" s="34"/>
      <c r="DS926" s="34"/>
      <c r="DT926" s="34"/>
      <c r="DU926" s="34"/>
      <c r="DV926" s="34"/>
    </row>
    <row r="927" ht="15.75" customHeight="1">
      <c r="A927" s="34"/>
      <c r="B927" s="34"/>
      <c r="C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  <c r="DR927" s="34"/>
      <c r="DS927" s="34"/>
      <c r="DT927" s="34"/>
      <c r="DU927" s="34"/>
      <c r="DV927" s="34"/>
    </row>
    <row r="928" ht="15.75" customHeight="1">
      <c r="A928" s="34"/>
      <c r="B928" s="34"/>
      <c r="C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  <c r="DR928" s="34"/>
      <c r="DS928" s="34"/>
      <c r="DT928" s="34"/>
      <c r="DU928" s="34"/>
      <c r="DV928" s="34"/>
    </row>
    <row r="929" ht="15.75" customHeight="1">
      <c r="A929" s="34"/>
      <c r="B929" s="34"/>
      <c r="C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  <c r="DR929" s="34"/>
      <c r="DS929" s="34"/>
      <c r="DT929" s="34"/>
      <c r="DU929" s="34"/>
      <c r="DV929" s="34"/>
    </row>
    <row r="930" ht="15.75" customHeight="1">
      <c r="A930" s="34"/>
      <c r="B930" s="34"/>
      <c r="C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  <c r="DR930" s="34"/>
      <c r="DS930" s="34"/>
      <c r="DT930" s="34"/>
      <c r="DU930" s="34"/>
      <c r="DV930" s="34"/>
    </row>
    <row r="931" ht="15.75" customHeight="1">
      <c r="A931" s="34"/>
      <c r="B931" s="34"/>
      <c r="C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  <c r="DR931" s="34"/>
      <c r="DS931" s="34"/>
      <c r="DT931" s="34"/>
      <c r="DU931" s="34"/>
      <c r="DV931" s="34"/>
    </row>
    <row r="932" ht="15.75" customHeight="1">
      <c r="A932" s="34"/>
      <c r="B932" s="34"/>
      <c r="C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  <c r="DR932" s="34"/>
      <c r="DS932" s="34"/>
      <c r="DT932" s="34"/>
      <c r="DU932" s="34"/>
      <c r="DV932" s="34"/>
    </row>
    <row r="933" ht="15.75" customHeight="1">
      <c r="A933" s="34"/>
      <c r="B933" s="34"/>
      <c r="C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  <c r="DR933" s="34"/>
      <c r="DS933" s="34"/>
      <c r="DT933" s="34"/>
      <c r="DU933" s="34"/>
      <c r="DV933" s="34"/>
    </row>
    <row r="934" ht="15.75" customHeight="1">
      <c r="A934" s="34"/>
      <c r="B934" s="34"/>
      <c r="C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  <c r="DR934" s="34"/>
      <c r="DS934" s="34"/>
      <c r="DT934" s="34"/>
      <c r="DU934" s="34"/>
      <c r="DV934" s="34"/>
    </row>
    <row r="935" ht="15.75" customHeight="1">
      <c r="A935" s="34"/>
      <c r="B935" s="34"/>
      <c r="C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  <c r="DR935" s="34"/>
      <c r="DS935" s="34"/>
      <c r="DT935" s="34"/>
      <c r="DU935" s="34"/>
      <c r="DV935" s="34"/>
    </row>
    <row r="936" ht="15.75" customHeight="1">
      <c r="A936" s="34"/>
      <c r="B936" s="34"/>
      <c r="C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  <c r="DR936" s="34"/>
      <c r="DS936" s="34"/>
      <c r="DT936" s="34"/>
      <c r="DU936" s="34"/>
      <c r="DV936" s="34"/>
    </row>
    <row r="937" ht="15.75" customHeight="1">
      <c r="A937" s="34"/>
      <c r="B937" s="34"/>
      <c r="C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  <c r="DR937" s="34"/>
      <c r="DS937" s="34"/>
      <c r="DT937" s="34"/>
      <c r="DU937" s="34"/>
      <c r="DV937" s="34"/>
    </row>
    <row r="938" ht="15.75" customHeight="1">
      <c r="A938" s="34"/>
      <c r="B938" s="34"/>
      <c r="C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  <c r="DR938" s="34"/>
      <c r="DS938" s="34"/>
      <c r="DT938" s="34"/>
      <c r="DU938" s="34"/>
      <c r="DV938" s="34"/>
    </row>
    <row r="939" ht="15.75" customHeight="1">
      <c r="A939" s="34"/>
      <c r="B939" s="34"/>
      <c r="C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  <c r="DR939" s="34"/>
      <c r="DS939" s="34"/>
      <c r="DT939" s="34"/>
      <c r="DU939" s="34"/>
      <c r="DV939" s="34"/>
    </row>
    <row r="940" ht="15.75" customHeight="1">
      <c r="A940" s="34"/>
      <c r="B940" s="34"/>
      <c r="C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  <c r="DR940" s="34"/>
      <c r="DS940" s="34"/>
      <c r="DT940" s="34"/>
      <c r="DU940" s="34"/>
      <c r="DV940" s="34"/>
    </row>
    <row r="941" ht="15.75" customHeight="1">
      <c r="A941" s="34"/>
      <c r="B941" s="34"/>
      <c r="C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  <c r="DR941" s="34"/>
      <c r="DS941" s="34"/>
      <c r="DT941" s="34"/>
      <c r="DU941" s="34"/>
      <c r="DV941" s="34"/>
    </row>
    <row r="942" ht="15.75" customHeight="1">
      <c r="A942" s="34"/>
      <c r="B942" s="34"/>
      <c r="C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  <c r="DR942" s="34"/>
      <c r="DS942" s="34"/>
      <c r="DT942" s="34"/>
      <c r="DU942" s="34"/>
      <c r="DV942" s="34"/>
    </row>
    <row r="943" ht="15.75" customHeight="1">
      <c r="A943" s="34"/>
      <c r="B943" s="34"/>
      <c r="C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  <c r="DR943" s="34"/>
      <c r="DS943" s="34"/>
      <c r="DT943" s="34"/>
      <c r="DU943" s="34"/>
      <c r="DV943" s="34"/>
    </row>
    <row r="944" ht="15.75" customHeight="1">
      <c r="A944" s="34"/>
      <c r="B944" s="34"/>
      <c r="C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  <c r="DR944" s="34"/>
      <c r="DS944" s="34"/>
      <c r="DT944" s="34"/>
      <c r="DU944" s="34"/>
      <c r="DV944" s="34"/>
    </row>
    <row r="945" ht="15.75" customHeight="1">
      <c r="A945" s="34"/>
      <c r="B945" s="34"/>
      <c r="C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  <c r="DR945" s="34"/>
      <c r="DS945" s="34"/>
      <c r="DT945" s="34"/>
      <c r="DU945" s="34"/>
      <c r="DV945" s="34"/>
    </row>
    <row r="946" ht="15.75" customHeight="1">
      <c r="A946" s="34"/>
      <c r="B946" s="34"/>
      <c r="C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  <c r="DM946" s="34"/>
      <c r="DN946" s="34"/>
      <c r="DO946" s="34"/>
      <c r="DP946" s="34"/>
      <c r="DQ946" s="34"/>
      <c r="DR946" s="34"/>
      <c r="DS946" s="34"/>
      <c r="DT946" s="34"/>
      <c r="DU946" s="34"/>
      <c r="DV946" s="34"/>
    </row>
    <row r="947" ht="15.75" customHeight="1">
      <c r="A947" s="34"/>
      <c r="B947" s="34"/>
      <c r="C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  <c r="DR947" s="34"/>
      <c r="DS947" s="34"/>
      <c r="DT947" s="34"/>
      <c r="DU947" s="34"/>
      <c r="DV947" s="34"/>
    </row>
    <row r="948" ht="15.75" customHeight="1">
      <c r="A948" s="34"/>
      <c r="B948" s="34"/>
      <c r="C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  <c r="DR948" s="34"/>
      <c r="DS948" s="34"/>
      <c r="DT948" s="34"/>
      <c r="DU948" s="34"/>
      <c r="DV948" s="34"/>
    </row>
    <row r="949" ht="15.75" customHeight="1">
      <c r="A949" s="34"/>
      <c r="B949" s="34"/>
      <c r="C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  <c r="DR949" s="34"/>
      <c r="DS949" s="34"/>
      <c r="DT949" s="34"/>
      <c r="DU949" s="34"/>
      <c r="DV949" s="34"/>
    </row>
    <row r="950" ht="15.75" customHeight="1">
      <c r="A950" s="34"/>
      <c r="B950" s="34"/>
      <c r="C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  <c r="DR950" s="34"/>
      <c r="DS950" s="34"/>
      <c r="DT950" s="34"/>
      <c r="DU950" s="34"/>
      <c r="DV950" s="34"/>
    </row>
    <row r="951" ht="15.75" customHeight="1">
      <c r="A951" s="34"/>
      <c r="B951" s="34"/>
      <c r="C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  <c r="DR951" s="34"/>
      <c r="DS951" s="34"/>
      <c r="DT951" s="34"/>
      <c r="DU951" s="34"/>
      <c r="DV951" s="34"/>
    </row>
    <row r="952" ht="15.75" customHeight="1">
      <c r="A952" s="34"/>
      <c r="B952" s="34"/>
      <c r="C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  <c r="DR952" s="34"/>
      <c r="DS952" s="34"/>
      <c r="DT952" s="34"/>
      <c r="DU952" s="34"/>
      <c r="DV952" s="34"/>
    </row>
    <row r="953" ht="15.75" customHeight="1">
      <c r="A953" s="34"/>
      <c r="B953" s="34"/>
      <c r="C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  <c r="DR953" s="34"/>
      <c r="DS953" s="34"/>
      <c r="DT953" s="34"/>
      <c r="DU953" s="34"/>
      <c r="DV953" s="34"/>
    </row>
    <row r="954" ht="15.75" customHeight="1">
      <c r="A954" s="34"/>
      <c r="B954" s="34"/>
      <c r="C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  <c r="DR954" s="34"/>
      <c r="DS954" s="34"/>
      <c r="DT954" s="34"/>
      <c r="DU954" s="34"/>
      <c r="DV954" s="34"/>
    </row>
    <row r="955" ht="15.75" customHeight="1">
      <c r="A955" s="34"/>
      <c r="B955" s="34"/>
      <c r="C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  <c r="DR955" s="34"/>
      <c r="DS955" s="34"/>
      <c r="DT955" s="34"/>
      <c r="DU955" s="34"/>
      <c r="DV955" s="34"/>
    </row>
    <row r="956" ht="15.75" customHeight="1">
      <c r="A956" s="34"/>
      <c r="B956" s="34"/>
      <c r="C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  <c r="DR956" s="34"/>
      <c r="DS956" s="34"/>
      <c r="DT956" s="34"/>
      <c r="DU956" s="34"/>
      <c r="DV956" s="34"/>
    </row>
    <row r="957" ht="15.75" customHeight="1">
      <c r="A957" s="34"/>
      <c r="B957" s="34"/>
      <c r="C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  <c r="DR957" s="34"/>
      <c r="DS957" s="34"/>
      <c r="DT957" s="34"/>
      <c r="DU957" s="34"/>
      <c r="DV957" s="34"/>
    </row>
    <row r="958" ht="15.75" customHeight="1">
      <c r="A958" s="34"/>
      <c r="B958" s="34"/>
      <c r="C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  <c r="DR958" s="34"/>
      <c r="DS958" s="34"/>
      <c r="DT958" s="34"/>
      <c r="DU958" s="34"/>
      <c r="DV958" s="34"/>
    </row>
    <row r="959" ht="15.75" customHeight="1">
      <c r="A959" s="34"/>
      <c r="B959" s="34"/>
      <c r="C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  <c r="DR959" s="34"/>
      <c r="DS959" s="34"/>
      <c r="DT959" s="34"/>
      <c r="DU959" s="34"/>
      <c r="DV959" s="34"/>
    </row>
    <row r="960" ht="15.75" customHeight="1">
      <c r="A960" s="34"/>
      <c r="B960" s="34"/>
      <c r="C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  <c r="DR960" s="34"/>
      <c r="DS960" s="34"/>
      <c r="DT960" s="34"/>
      <c r="DU960" s="34"/>
      <c r="DV960" s="34"/>
    </row>
    <row r="961" ht="15.75" customHeight="1">
      <c r="A961" s="34"/>
      <c r="B961" s="34"/>
      <c r="C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  <c r="DR961" s="34"/>
      <c r="DS961" s="34"/>
      <c r="DT961" s="34"/>
      <c r="DU961" s="34"/>
      <c r="DV961" s="34"/>
    </row>
    <row r="962" ht="15.75" customHeight="1">
      <c r="A962" s="34"/>
      <c r="B962" s="34"/>
      <c r="C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  <c r="DR962" s="34"/>
      <c r="DS962" s="34"/>
      <c r="DT962" s="34"/>
      <c r="DU962" s="34"/>
      <c r="DV962" s="34"/>
    </row>
    <row r="963" ht="15.75" customHeight="1">
      <c r="A963" s="34"/>
      <c r="B963" s="34"/>
      <c r="C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  <c r="DR963" s="34"/>
      <c r="DS963" s="34"/>
      <c r="DT963" s="34"/>
      <c r="DU963" s="34"/>
      <c r="DV963" s="34"/>
    </row>
    <row r="964" ht="15.75" customHeight="1">
      <c r="A964" s="34"/>
      <c r="B964" s="34"/>
      <c r="C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  <c r="DR964" s="34"/>
      <c r="DS964" s="34"/>
      <c r="DT964" s="34"/>
      <c r="DU964" s="34"/>
      <c r="DV964" s="34"/>
    </row>
    <row r="965" ht="15.75" customHeight="1">
      <c r="A965" s="34"/>
      <c r="B965" s="34"/>
      <c r="C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  <c r="DR965" s="34"/>
      <c r="DS965" s="34"/>
      <c r="DT965" s="34"/>
      <c r="DU965" s="34"/>
      <c r="DV965" s="34"/>
    </row>
    <row r="966" ht="15.75" customHeight="1">
      <c r="A966" s="34"/>
      <c r="B966" s="34"/>
      <c r="C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  <c r="DR966" s="34"/>
      <c r="DS966" s="34"/>
      <c r="DT966" s="34"/>
      <c r="DU966" s="34"/>
      <c r="DV966" s="34"/>
    </row>
    <row r="967" ht="15.75" customHeight="1">
      <c r="A967" s="34"/>
      <c r="B967" s="34"/>
      <c r="C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  <c r="DR967" s="34"/>
      <c r="DS967" s="34"/>
      <c r="DT967" s="34"/>
      <c r="DU967" s="34"/>
      <c r="DV967" s="34"/>
    </row>
    <row r="968" ht="15.75" customHeight="1">
      <c r="A968" s="34"/>
      <c r="B968" s="34"/>
      <c r="C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  <c r="DR968" s="34"/>
      <c r="DS968" s="34"/>
      <c r="DT968" s="34"/>
      <c r="DU968" s="34"/>
      <c r="DV968" s="34"/>
    </row>
    <row r="969" ht="15.75" customHeight="1">
      <c r="A969" s="34"/>
      <c r="B969" s="34"/>
      <c r="C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  <c r="DR969" s="34"/>
      <c r="DS969" s="34"/>
      <c r="DT969" s="34"/>
      <c r="DU969" s="34"/>
      <c r="DV969" s="34"/>
    </row>
    <row r="970" ht="15.75" customHeight="1">
      <c r="A970" s="34"/>
      <c r="B970" s="34"/>
      <c r="C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  <c r="DR970" s="34"/>
      <c r="DS970" s="34"/>
      <c r="DT970" s="34"/>
      <c r="DU970" s="34"/>
      <c r="DV970" s="34"/>
    </row>
    <row r="971" ht="15.75" customHeight="1">
      <c r="A971" s="34"/>
      <c r="B971" s="34"/>
      <c r="C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  <c r="DR971" s="34"/>
      <c r="DS971" s="34"/>
      <c r="DT971" s="34"/>
      <c r="DU971" s="34"/>
      <c r="DV971" s="34"/>
    </row>
    <row r="972" ht="15.75" customHeight="1">
      <c r="A972" s="34"/>
      <c r="B972" s="34"/>
      <c r="C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  <c r="DR972" s="34"/>
      <c r="DS972" s="34"/>
      <c r="DT972" s="34"/>
      <c r="DU972" s="34"/>
      <c r="DV972" s="34"/>
    </row>
    <row r="973" ht="15.75" customHeight="1">
      <c r="A973" s="34"/>
      <c r="B973" s="34"/>
      <c r="C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  <c r="DR973" s="34"/>
      <c r="DS973" s="34"/>
      <c r="DT973" s="34"/>
      <c r="DU973" s="34"/>
      <c r="DV973" s="34"/>
    </row>
    <row r="974" ht="15.75" customHeight="1">
      <c r="A974" s="34"/>
      <c r="B974" s="34"/>
      <c r="C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  <c r="DR974" s="34"/>
      <c r="DS974" s="34"/>
      <c r="DT974" s="34"/>
      <c r="DU974" s="34"/>
      <c r="DV974" s="34"/>
    </row>
    <row r="975" ht="15.75" customHeight="1">
      <c r="A975" s="34"/>
      <c r="B975" s="34"/>
      <c r="C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  <c r="DR975" s="34"/>
      <c r="DS975" s="34"/>
      <c r="DT975" s="34"/>
      <c r="DU975" s="34"/>
      <c r="DV975" s="34"/>
    </row>
    <row r="976" ht="15.75" customHeight="1">
      <c r="A976" s="34"/>
      <c r="B976" s="34"/>
      <c r="C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  <c r="DR976" s="34"/>
      <c r="DS976" s="34"/>
      <c r="DT976" s="34"/>
      <c r="DU976" s="34"/>
      <c r="DV976" s="34"/>
    </row>
    <row r="977" ht="15.75" customHeight="1">
      <c r="A977" s="34"/>
      <c r="B977" s="34"/>
      <c r="C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  <c r="DR977" s="34"/>
      <c r="DS977" s="34"/>
      <c r="DT977" s="34"/>
      <c r="DU977" s="34"/>
      <c r="DV977" s="34"/>
    </row>
    <row r="978" ht="15.75" customHeight="1">
      <c r="A978" s="34"/>
      <c r="B978" s="34"/>
      <c r="C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  <c r="DR978" s="34"/>
      <c r="DS978" s="34"/>
      <c r="DT978" s="34"/>
      <c r="DU978" s="34"/>
      <c r="DV978" s="34"/>
    </row>
    <row r="979" ht="15.75" customHeight="1">
      <c r="A979" s="34"/>
      <c r="B979" s="34"/>
      <c r="C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  <c r="DR979" s="34"/>
      <c r="DS979" s="34"/>
      <c r="DT979" s="34"/>
      <c r="DU979" s="34"/>
      <c r="DV979" s="34"/>
    </row>
    <row r="980" ht="15.75" customHeight="1">
      <c r="A980" s="34"/>
      <c r="B980" s="34"/>
      <c r="C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  <c r="DR980" s="34"/>
      <c r="DS980" s="34"/>
      <c r="DT980" s="34"/>
      <c r="DU980" s="34"/>
      <c r="DV980" s="34"/>
    </row>
    <row r="981" ht="15.75" customHeight="1">
      <c r="A981" s="34"/>
      <c r="B981" s="34"/>
      <c r="C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  <c r="DR981" s="34"/>
      <c r="DS981" s="34"/>
      <c r="DT981" s="34"/>
      <c r="DU981" s="34"/>
      <c r="DV981" s="34"/>
    </row>
    <row r="982" ht="15.75" customHeight="1">
      <c r="A982" s="34"/>
      <c r="B982" s="34"/>
      <c r="C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  <c r="DR982" s="34"/>
      <c r="DS982" s="34"/>
      <c r="DT982" s="34"/>
      <c r="DU982" s="34"/>
      <c r="DV982" s="34"/>
    </row>
    <row r="983" ht="15.75" customHeight="1">
      <c r="A983" s="34"/>
      <c r="B983" s="34"/>
      <c r="C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  <c r="DR983" s="34"/>
      <c r="DS983" s="34"/>
      <c r="DT983" s="34"/>
      <c r="DU983" s="34"/>
      <c r="DV983" s="34"/>
    </row>
    <row r="984" ht="15.75" customHeight="1">
      <c r="A984" s="34"/>
      <c r="B984" s="34"/>
      <c r="C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  <c r="DR984" s="34"/>
      <c r="DS984" s="34"/>
      <c r="DT984" s="34"/>
      <c r="DU984" s="34"/>
      <c r="DV984" s="34"/>
    </row>
    <row r="985" ht="15.75" customHeight="1">
      <c r="A985" s="34"/>
      <c r="B985" s="34"/>
      <c r="C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  <c r="DR985" s="34"/>
      <c r="DS985" s="34"/>
      <c r="DT985" s="34"/>
      <c r="DU985" s="34"/>
      <c r="DV985" s="34"/>
    </row>
    <row r="986" ht="15.75" customHeight="1">
      <c r="A986" s="34"/>
      <c r="B986" s="34"/>
      <c r="C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  <c r="DM986" s="34"/>
      <c r="DN986" s="34"/>
      <c r="DO986" s="34"/>
      <c r="DP986" s="34"/>
      <c r="DQ986" s="34"/>
      <c r="DR986" s="34"/>
      <c r="DS986" s="34"/>
      <c r="DT986" s="34"/>
      <c r="DU986" s="34"/>
      <c r="DV986" s="34"/>
    </row>
    <row r="987" ht="15.75" customHeight="1">
      <c r="A987" s="34"/>
      <c r="B987" s="34"/>
      <c r="C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  <c r="DR987" s="34"/>
      <c r="DS987" s="34"/>
      <c r="DT987" s="34"/>
      <c r="DU987" s="34"/>
      <c r="DV987" s="34"/>
    </row>
    <row r="988" ht="15.75" customHeight="1">
      <c r="A988" s="34"/>
      <c r="B988" s="34"/>
      <c r="C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  <c r="DR988" s="34"/>
      <c r="DS988" s="34"/>
      <c r="DT988" s="34"/>
      <c r="DU988" s="34"/>
      <c r="DV988" s="34"/>
    </row>
    <row r="989" ht="15.75" customHeight="1">
      <c r="A989" s="34"/>
      <c r="B989" s="34"/>
      <c r="C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  <c r="DR989" s="34"/>
      <c r="DS989" s="34"/>
      <c r="DT989" s="34"/>
      <c r="DU989" s="34"/>
      <c r="DV989" s="34"/>
    </row>
    <row r="990" ht="15.75" customHeight="1">
      <c r="A990" s="34"/>
      <c r="B990" s="34"/>
      <c r="C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  <c r="DM990" s="34"/>
      <c r="DN990" s="34"/>
      <c r="DO990" s="34"/>
      <c r="DP990" s="34"/>
      <c r="DQ990" s="34"/>
      <c r="DR990" s="34"/>
      <c r="DS990" s="34"/>
      <c r="DT990" s="34"/>
      <c r="DU990" s="34"/>
      <c r="DV990" s="34"/>
    </row>
    <row r="991" ht="15.75" customHeight="1">
      <c r="A991" s="34"/>
      <c r="B991" s="34"/>
      <c r="C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  <c r="DM991" s="34"/>
      <c r="DN991" s="34"/>
      <c r="DO991" s="34"/>
      <c r="DP991" s="34"/>
      <c r="DQ991" s="34"/>
      <c r="DR991" s="34"/>
      <c r="DS991" s="34"/>
      <c r="DT991" s="34"/>
      <c r="DU991" s="34"/>
      <c r="DV991" s="34"/>
    </row>
    <row r="992" ht="15.75" customHeight="1">
      <c r="A992" s="34"/>
      <c r="B992" s="34"/>
      <c r="C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  <c r="DR992" s="34"/>
      <c r="DS992" s="34"/>
      <c r="DT992" s="34"/>
      <c r="DU992" s="34"/>
      <c r="DV992" s="34"/>
    </row>
    <row r="993" ht="15.75" customHeight="1">
      <c r="A993" s="34"/>
      <c r="B993" s="34"/>
      <c r="C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  <c r="DR993" s="34"/>
      <c r="DS993" s="34"/>
      <c r="DT993" s="34"/>
      <c r="DU993" s="34"/>
      <c r="DV993" s="34"/>
    </row>
    <row r="994" ht="15.75" customHeight="1">
      <c r="A994" s="34"/>
      <c r="B994" s="34"/>
      <c r="C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  <c r="DR994" s="34"/>
      <c r="DS994" s="34"/>
      <c r="DT994" s="34"/>
      <c r="DU994" s="34"/>
      <c r="DV994" s="34"/>
    </row>
    <row r="995" ht="15.75" customHeight="1">
      <c r="A995" s="34"/>
      <c r="B995" s="34"/>
      <c r="C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  <c r="DR995" s="34"/>
      <c r="DS995" s="34"/>
      <c r="DT995" s="34"/>
      <c r="DU995" s="34"/>
      <c r="DV995" s="34"/>
    </row>
    <row r="996" ht="15.75" customHeight="1">
      <c r="A996" s="34"/>
      <c r="B996" s="34"/>
      <c r="C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  <c r="DR996" s="34"/>
      <c r="DS996" s="34"/>
      <c r="DT996" s="34"/>
      <c r="DU996" s="34"/>
      <c r="DV996" s="34"/>
    </row>
    <row r="997" ht="15.75" customHeight="1">
      <c r="A997" s="34"/>
      <c r="B997" s="34"/>
      <c r="C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  <c r="DR997" s="34"/>
      <c r="DS997" s="34"/>
      <c r="DT997" s="34"/>
      <c r="DU997" s="34"/>
      <c r="DV997" s="34"/>
    </row>
    <row r="998" ht="15.75" customHeight="1">
      <c r="A998" s="34"/>
      <c r="B998" s="34"/>
      <c r="C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  <c r="DM998" s="34"/>
      <c r="DN998" s="34"/>
      <c r="DO998" s="34"/>
      <c r="DP998" s="34"/>
      <c r="DQ998" s="34"/>
      <c r="DR998" s="34"/>
      <c r="DS998" s="34"/>
      <c r="DT998" s="34"/>
      <c r="DU998" s="34"/>
      <c r="DV998" s="34"/>
    </row>
    <row r="999" ht="15.75" customHeight="1">
      <c r="A999" s="34"/>
      <c r="B999" s="34"/>
      <c r="C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</row>
    <row r="1000" ht="15.75" customHeight="1">
      <c r="A1000" s="34"/>
      <c r="B1000" s="34"/>
      <c r="C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/>
      <c r="DU1000" s="34"/>
      <c r="DV1000" s="34"/>
    </row>
  </sheetData>
  <mergeCells count="66">
    <mergeCell ref="DM4:DN4"/>
    <mergeCell ref="DO4:DP4"/>
    <mergeCell ref="DQ4:DR4"/>
    <mergeCell ref="DS4:DT4"/>
    <mergeCell ref="DU4:DV4"/>
    <mergeCell ref="CY4:CZ4"/>
    <mergeCell ref="DA4:DB4"/>
    <mergeCell ref="DC4:DD4"/>
    <mergeCell ref="DE4:DF4"/>
    <mergeCell ref="DG4:DH4"/>
    <mergeCell ref="DI4:DJ4"/>
    <mergeCell ref="DK4:DL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B6:B18"/>
    <mergeCell ref="B20:B32"/>
    <mergeCell ref="B34:B46"/>
    <mergeCell ref="B48:B60"/>
    <mergeCell ref="B62:B74"/>
    <mergeCell ref="D4:E4"/>
    <mergeCell ref="F4:H4"/>
    <mergeCell ref="I4:J4"/>
    <mergeCell ref="K4:L4"/>
    <mergeCell ref="M4:N4"/>
    <mergeCell ref="O4:P4"/>
    <mergeCell ref="Q4:R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Col="1"/>
  <cols>
    <col customWidth="1" min="1" max="1" width="12.63"/>
    <col customWidth="1" min="2" max="2" width="38.13"/>
    <col customWidth="1" min="3" max="4" width="12.63"/>
    <col customWidth="1" hidden="1" min="5" max="12" width="12.63" outlineLevel="1"/>
    <col customWidth="1" hidden="1" min="15" max="24" width="12.63" outlineLevel="1"/>
    <col customWidth="1" hidden="1" min="27" max="34" width="12.63" outlineLevel="1"/>
    <col customWidth="1" hidden="1" min="37" max="46" width="12.63" outlineLevel="1"/>
    <col customWidth="1" hidden="1" min="49" max="58" width="12.63" outlineLevel="1"/>
    <col customWidth="1" hidden="1" min="61" max="68" width="12.63" outlineLevel="1"/>
    <col customWidth="1" hidden="1" min="77" max="80" width="12.63" outlineLevel="1"/>
    <col customWidth="1" hidden="1" min="83" max="92" width="12.63" outlineLevel="1"/>
    <col customWidth="1" hidden="1" min="95" max="104" width="12.63" outlineLevel="1"/>
    <col customWidth="1" hidden="1" min="107" max="116" width="12.63" outlineLevel="1"/>
  </cols>
  <sheetData>
    <row r="1" ht="15.75" customHeight="1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7"/>
      <c r="AB1" s="127"/>
      <c r="AC1" s="127"/>
      <c r="AD1" s="127"/>
      <c r="AE1" s="127"/>
      <c r="AF1" s="127"/>
      <c r="AG1" s="127"/>
      <c r="AH1" s="127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7"/>
      <c r="BZ1" s="127"/>
      <c r="CA1" s="127"/>
      <c r="CB1" s="127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</row>
    <row r="2" ht="16.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8" t="s">
        <v>113</v>
      </c>
      <c r="N2" s="4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9">
        <v>1.0</v>
      </c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</row>
    <row r="3" ht="16.5" customHeight="1">
      <c r="A3" s="126"/>
      <c r="B3" s="130" t="s">
        <v>114</v>
      </c>
      <c r="C3" s="128" t="s">
        <v>115</v>
      </c>
      <c r="D3" s="46"/>
      <c r="E3" s="131">
        <v>45299.0</v>
      </c>
      <c r="F3" s="131">
        <v>45303.0</v>
      </c>
      <c r="G3" s="131">
        <v>45306.0</v>
      </c>
      <c r="H3" s="131">
        <v>45310.0</v>
      </c>
      <c r="I3" s="131">
        <v>45313.0</v>
      </c>
      <c r="J3" s="131">
        <v>45317.0</v>
      </c>
      <c r="K3" s="131">
        <v>45320.0</v>
      </c>
      <c r="L3" s="131">
        <v>45322.0</v>
      </c>
      <c r="M3" s="128" t="s">
        <v>113</v>
      </c>
      <c r="N3" s="4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8" t="s">
        <v>116</v>
      </c>
      <c r="Z3" s="4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</row>
    <row r="4" ht="16.5" customHeight="1">
      <c r="A4" s="126"/>
      <c r="B4" s="104"/>
      <c r="C4" s="132" t="s">
        <v>92</v>
      </c>
      <c r="D4" s="133" t="s">
        <v>117</v>
      </c>
      <c r="E4" s="132" t="s">
        <v>91</v>
      </c>
      <c r="F4" s="133" t="s">
        <v>92</v>
      </c>
      <c r="G4" s="132" t="s">
        <v>91</v>
      </c>
      <c r="H4" s="133" t="s">
        <v>92</v>
      </c>
      <c r="I4" s="132" t="s">
        <v>91</v>
      </c>
      <c r="J4" s="133" t="s">
        <v>92</v>
      </c>
      <c r="K4" s="132" t="s">
        <v>91</v>
      </c>
      <c r="L4" s="133" t="s">
        <v>92</v>
      </c>
      <c r="M4" s="132" t="s">
        <v>92</v>
      </c>
      <c r="N4" s="133" t="s">
        <v>117</v>
      </c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34" t="s">
        <v>92</v>
      </c>
      <c r="Z4" s="135" t="s">
        <v>117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</row>
    <row r="5" ht="16.5" customHeight="1">
      <c r="A5" s="126"/>
      <c r="B5" s="136" t="s">
        <v>118</v>
      </c>
      <c r="C5" s="129">
        <f>C7/D6</f>
        <v>1234.567901</v>
      </c>
      <c r="D5" s="137"/>
      <c r="E5" s="138"/>
      <c r="F5" s="139"/>
      <c r="G5" s="138"/>
      <c r="H5" s="139"/>
      <c r="I5" s="138"/>
      <c r="J5" s="139"/>
      <c r="K5" s="138"/>
      <c r="L5" s="139"/>
      <c r="M5" s="129">
        <f>C5/Y2</f>
        <v>1234.567901</v>
      </c>
      <c r="N5" s="137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40"/>
      <c r="Z5" s="141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  <c r="DH5" s="126"/>
      <c r="DI5" s="126"/>
      <c r="DJ5" s="126"/>
      <c r="DK5" s="126"/>
      <c r="DL5" s="126"/>
      <c r="DM5" s="126"/>
      <c r="DN5" s="126"/>
      <c r="DO5" s="126"/>
      <c r="DP5" s="126"/>
      <c r="DQ5" s="126"/>
      <c r="DR5" s="126"/>
    </row>
    <row r="6" ht="16.5" customHeight="1">
      <c r="A6" s="126"/>
      <c r="B6" s="136" t="s">
        <v>96</v>
      </c>
      <c r="C6" s="142">
        <f>C7/C5</f>
        <v>0.15</v>
      </c>
      <c r="D6" s="143">
        <v>0.15</v>
      </c>
      <c r="E6" s="142" t="str">
        <f t="shared" ref="E6:M6" si="1">E7/E5</f>
        <v>#DIV/0!</v>
      </c>
      <c r="F6" s="143" t="str">
        <f t="shared" si="1"/>
        <v>#DIV/0!</v>
      </c>
      <c r="G6" s="142" t="str">
        <f t="shared" si="1"/>
        <v>#DIV/0!</v>
      </c>
      <c r="H6" s="143" t="str">
        <f t="shared" si="1"/>
        <v>#DIV/0!</v>
      </c>
      <c r="I6" s="142" t="str">
        <f t="shared" si="1"/>
        <v>#DIV/0!</v>
      </c>
      <c r="J6" s="143" t="str">
        <f t="shared" si="1"/>
        <v>#DIV/0!</v>
      </c>
      <c r="K6" s="142" t="str">
        <f t="shared" si="1"/>
        <v>#DIV/0!</v>
      </c>
      <c r="L6" s="143" t="str">
        <f t="shared" si="1"/>
        <v>#DIV/0!</v>
      </c>
      <c r="M6" s="142">
        <f t="shared" si="1"/>
        <v>0.15</v>
      </c>
      <c r="N6" s="143">
        <v>0.15</v>
      </c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40"/>
      <c r="Z6" s="140"/>
      <c r="AA6" s="126"/>
      <c r="AB6" s="126"/>
      <c r="AC6" s="126"/>
      <c r="AD6" s="126"/>
      <c r="AE6" s="126"/>
      <c r="AF6" s="126"/>
      <c r="AG6" s="126"/>
      <c r="AH6" s="126"/>
      <c r="AI6" s="126"/>
      <c r="AJ6" s="144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</row>
    <row r="7" ht="16.5" customHeight="1">
      <c r="A7" s="126"/>
      <c r="B7" s="136" t="s">
        <v>119</v>
      </c>
      <c r="C7" s="129">
        <f>C9/D8</f>
        <v>185.1851852</v>
      </c>
      <c r="D7" s="145"/>
      <c r="E7" s="146"/>
      <c r="F7" s="145"/>
      <c r="G7" s="146"/>
      <c r="H7" s="145"/>
      <c r="I7" s="146"/>
      <c r="J7" s="145"/>
      <c r="K7" s="146"/>
      <c r="L7" s="145"/>
      <c r="M7" s="129">
        <f>C7/Y2</f>
        <v>185.1851852</v>
      </c>
      <c r="N7" s="145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40"/>
      <c r="Z7" s="147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  <c r="CV7" s="126"/>
      <c r="CW7" s="126"/>
      <c r="CX7" s="126"/>
      <c r="CY7" s="126"/>
      <c r="CZ7" s="126"/>
      <c r="DA7" s="126"/>
      <c r="DB7" s="126"/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26"/>
      <c r="DN7" s="126"/>
      <c r="DO7" s="126"/>
      <c r="DP7" s="126"/>
      <c r="DQ7" s="126"/>
      <c r="DR7" s="148"/>
    </row>
    <row r="8" ht="16.5" customHeight="1">
      <c r="A8" s="126"/>
      <c r="B8" s="136" t="s">
        <v>99</v>
      </c>
      <c r="C8" s="142">
        <f>C9/C7</f>
        <v>0.2</v>
      </c>
      <c r="D8" s="143">
        <v>0.2</v>
      </c>
      <c r="E8" s="142" t="str">
        <f t="shared" ref="E8:M8" si="2">E9/E7</f>
        <v>#DIV/0!</v>
      </c>
      <c r="F8" s="143" t="str">
        <f t="shared" si="2"/>
        <v>#DIV/0!</v>
      </c>
      <c r="G8" s="142" t="str">
        <f t="shared" si="2"/>
        <v>#DIV/0!</v>
      </c>
      <c r="H8" s="143" t="str">
        <f t="shared" si="2"/>
        <v>#DIV/0!</v>
      </c>
      <c r="I8" s="142" t="str">
        <f t="shared" si="2"/>
        <v>#DIV/0!</v>
      </c>
      <c r="J8" s="143" t="str">
        <f t="shared" si="2"/>
        <v>#DIV/0!</v>
      </c>
      <c r="K8" s="142" t="str">
        <f t="shared" si="2"/>
        <v>#DIV/0!</v>
      </c>
      <c r="L8" s="143" t="str">
        <f t="shared" si="2"/>
        <v>#DIV/0!</v>
      </c>
      <c r="M8" s="142">
        <f t="shared" si="2"/>
        <v>0.2</v>
      </c>
      <c r="N8" s="143">
        <v>0.15</v>
      </c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40"/>
      <c r="Z8" s="140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  <c r="CF8" s="126"/>
      <c r="CG8" s="126"/>
      <c r="CH8" s="126"/>
      <c r="CI8" s="126"/>
      <c r="CJ8" s="126"/>
      <c r="CK8" s="126"/>
      <c r="CL8" s="126"/>
      <c r="CM8" s="126"/>
      <c r="CN8" s="126"/>
      <c r="CO8" s="126"/>
      <c r="CP8" s="126"/>
      <c r="CQ8" s="126"/>
      <c r="CR8" s="126"/>
      <c r="CS8" s="126"/>
      <c r="CT8" s="126"/>
      <c r="CU8" s="126"/>
      <c r="CV8" s="126"/>
      <c r="CW8" s="126"/>
      <c r="CX8" s="126"/>
      <c r="CY8" s="126"/>
      <c r="CZ8" s="126"/>
      <c r="DA8" s="126"/>
      <c r="DB8" s="126"/>
      <c r="DC8" s="126"/>
      <c r="DD8" s="126"/>
      <c r="DE8" s="126"/>
      <c r="DF8" s="126"/>
      <c r="DG8" s="126"/>
      <c r="DH8" s="126"/>
      <c r="DI8" s="126"/>
      <c r="DJ8" s="126"/>
      <c r="DK8" s="126"/>
      <c r="DL8" s="126"/>
      <c r="DM8" s="126"/>
      <c r="DN8" s="126"/>
      <c r="DO8" s="126"/>
      <c r="DP8" s="126"/>
      <c r="DQ8" s="126"/>
      <c r="DR8" s="126"/>
    </row>
    <row r="9" ht="16.5" customHeight="1">
      <c r="A9" s="144"/>
      <c r="B9" s="149" t="s">
        <v>120</v>
      </c>
      <c r="C9" s="129">
        <f>C11/D10</f>
        <v>37.03703704</v>
      </c>
      <c r="D9" s="150"/>
      <c r="E9" s="146"/>
      <c r="F9" s="150"/>
      <c r="G9" s="146"/>
      <c r="H9" s="150"/>
      <c r="I9" s="146"/>
      <c r="J9" s="150"/>
      <c r="K9" s="146"/>
      <c r="L9" s="150"/>
      <c r="M9" s="129">
        <f>C9/Y2</f>
        <v>37.03703704</v>
      </c>
      <c r="N9" s="150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40"/>
      <c r="Z9" s="151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  <c r="CF9" s="126"/>
      <c r="CG9" s="126"/>
      <c r="CH9" s="126"/>
      <c r="CI9" s="126"/>
      <c r="CJ9" s="126"/>
      <c r="CK9" s="126"/>
      <c r="CL9" s="126"/>
      <c r="CM9" s="126"/>
      <c r="CN9" s="126"/>
      <c r="CO9" s="126"/>
      <c r="CP9" s="126"/>
      <c r="CQ9" s="126"/>
      <c r="CR9" s="126"/>
      <c r="CS9" s="126"/>
      <c r="CT9" s="126"/>
      <c r="CU9" s="126"/>
      <c r="CV9" s="126"/>
      <c r="CW9" s="126"/>
      <c r="CX9" s="126"/>
      <c r="CY9" s="126"/>
      <c r="CZ9" s="126"/>
      <c r="DA9" s="126"/>
      <c r="DB9" s="126"/>
      <c r="DC9" s="126"/>
      <c r="DD9" s="126"/>
      <c r="DE9" s="126"/>
      <c r="DF9" s="126"/>
      <c r="DG9" s="126"/>
      <c r="DH9" s="126"/>
      <c r="DI9" s="126"/>
      <c r="DJ9" s="126"/>
      <c r="DK9" s="126"/>
      <c r="DL9" s="126"/>
      <c r="DM9" s="126"/>
      <c r="DN9" s="126"/>
      <c r="DO9" s="126"/>
      <c r="DP9" s="126"/>
      <c r="DQ9" s="126"/>
      <c r="DR9" s="126"/>
    </row>
    <row r="10" ht="16.5" customHeight="1">
      <c r="A10" s="152"/>
      <c r="B10" s="136" t="s">
        <v>101</v>
      </c>
      <c r="C10" s="142">
        <f>C11/C9</f>
        <v>0.9</v>
      </c>
      <c r="D10" s="153">
        <v>0.9</v>
      </c>
      <c r="E10" s="142" t="str">
        <f t="shared" ref="E10:M10" si="3">E11/E9</f>
        <v>#DIV/0!</v>
      </c>
      <c r="F10" s="143" t="str">
        <f t="shared" si="3"/>
        <v>#DIV/0!</v>
      </c>
      <c r="G10" s="142" t="str">
        <f t="shared" si="3"/>
        <v>#DIV/0!</v>
      </c>
      <c r="H10" s="143" t="str">
        <f t="shared" si="3"/>
        <v>#DIV/0!</v>
      </c>
      <c r="I10" s="142" t="str">
        <f t="shared" si="3"/>
        <v>#DIV/0!</v>
      </c>
      <c r="J10" s="143" t="str">
        <f t="shared" si="3"/>
        <v>#DIV/0!</v>
      </c>
      <c r="K10" s="142" t="str">
        <f t="shared" si="3"/>
        <v>#DIV/0!</v>
      </c>
      <c r="L10" s="143" t="str">
        <f t="shared" si="3"/>
        <v>#DIV/0!</v>
      </c>
      <c r="M10" s="142">
        <f t="shared" si="3"/>
        <v>0.9</v>
      </c>
      <c r="N10" s="143">
        <v>0.8</v>
      </c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40"/>
      <c r="Z10" s="140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26"/>
      <c r="DL10" s="126"/>
      <c r="DM10" s="126"/>
      <c r="DN10" s="126"/>
      <c r="DO10" s="126"/>
      <c r="DP10" s="126"/>
      <c r="DQ10" s="126"/>
      <c r="DR10" s="126"/>
    </row>
    <row r="11" ht="16.5" customHeight="1">
      <c r="A11" s="154"/>
      <c r="B11" s="155" t="s">
        <v>121</v>
      </c>
      <c r="C11" s="129">
        <f>C13/D12</f>
        <v>33.33333333</v>
      </c>
      <c r="D11" s="145"/>
      <c r="E11" s="146"/>
      <c r="F11" s="145"/>
      <c r="G11" s="146"/>
      <c r="H11" s="145"/>
      <c r="I11" s="146"/>
      <c r="J11" s="145"/>
      <c r="K11" s="146"/>
      <c r="L11" s="145"/>
      <c r="M11" s="129">
        <f>C11/Y2</f>
        <v>33.33333333</v>
      </c>
      <c r="N11" s="145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29">
        <f>C11</f>
        <v>33.33333333</v>
      </c>
      <c r="Z11" s="145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  <c r="DK11" s="126"/>
      <c r="DL11" s="126"/>
      <c r="DM11" s="126"/>
      <c r="DN11" s="126"/>
      <c r="DO11" s="126"/>
      <c r="DP11" s="126"/>
      <c r="DQ11" s="126"/>
      <c r="DR11" s="126"/>
    </row>
    <row r="12" ht="16.5" customHeight="1">
      <c r="A12" s="154"/>
      <c r="B12" s="155" t="s">
        <v>122</v>
      </c>
      <c r="C12" s="142">
        <f>C13/C11</f>
        <v>0.6</v>
      </c>
      <c r="D12" s="143">
        <v>0.6</v>
      </c>
      <c r="E12" s="142" t="str">
        <f t="shared" ref="E12:L12" si="4">E13/E11</f>
        <v>#DIV/0!</v>
      </c>
      <c r="F12" s="143" t="str">
        <f t="shared" si="4"/>
        <v>#DIV/0!</v>
      </c>
      <c r="G12" s="142" t="str">
        <f t="shared" si="4"/>
        <v>#DIV/0!</v>
      </c>
      <c r="H12" s="143" t="str">
        <f t="shared" si="4"/>
        <v>#DIV/0!</v>
      </c>
      <c r="I12" s="142" t="str">
        <f t="shared" si="4"/>
        <v>#DIV/0!</v>
      </c>
      <c r="J12" s="143" t="str">
        <f t="shared" si="4"/>
        <v>#DIV/0!</v>
      </c>
      <c r="K12" s="142" t="str">
        <f t="shared" si="4"/>
        <v>#DIV/0!</v>
      </c>
      <c r="L12" s="143" t="str">
        <f t="shared" si="4"/>
        <v>#DIV/0!</v>
      </c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2">
        <f>Y13/Y11</f>
        <v>0.6</v>
      </c>
      <c r="Z12" s="143">
        <v>1.0</v>
      </c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  <c r="DD12" s="126"/>
      <c r="DE12" s="126"/>
      <c r="DF12" s="126"/>
      <c r="DG12" s="126"/>
      <c r="DH12" s="126"/>
      <c r="DI12" s="126"/>
      <c r="DJ12" s="126"/>
      <c r="DK12" s="126"/>
      <c r="DL12" s="126"/>
      <c r="DM12" s="126"/>
      <c r="DN12" s="126"/>
      <c r="DO12" s="126"/>
      <c r="DP12" s="126"/>
      <c r="DQ12" s="126"/>
      <c r="DR12" s="126"/>
    </row>
    <row r="13" ht="16.5" customHeight="1">
      <c r="A13" s="154"/>
      <c r="B13" s="155" t="s">
        <v>123</v>
      </c>
      <c r="C13" s="129">
        <f>C15/D14</f>
        <v>20</v>
      </c>
      <c r="D13" s="157"/>
      <c r="E13" s="158"/>
      <c r="F13" s="157"/>
      <c r="G13" s="158"/>
      <c r="H13" s="157"/>
      <c r="I13" s="158"/>
      <c r="J13" s="157"/>
      <c r="K13" s="158"/>
      <c r="L13" s="157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29">
        <f>C13</f>
        <v>20</v>
      </c>
      <c r="Z13" s="157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  <c r="DD13" s="126"/>
      <c r="DE13" s="126"/>
      <c r="DF13" s="126"/>
      <c r="DG13" s="126"/>
      <c r="DH13" s="126"/>
      <c r="DI13" s="126"/>
      <c r="DJ13" s="126"/>
      <c r="DK13" s="126"/>
      <c r="DL13" s="126"/>
      <c r="DM13" s="126"/>
      <c r="DN13" s="126"/>
      <c r="DO13" s="126"/>
      <c r="DP13" s="126"/>
      <c r="DQ13" s="126"/>
      <c r="DR13" s="154"/>
    </row>
    <row r="14" ht="16.5" customHeight="1">
      <c r="A14" s="152"/>
      <c r="B14" s="155" t="s">
        <v>124</v>
      </c>
      <c r="C14" s="142">
        <f>C15/C13</f>
        <v>0.35</v>
      </c>
      <c r="D14" s="143">
        <v>0.35</v>
      </c>
      <c r="E14" s="142" t="str">
        <f t="shared" ref="E14:L14" si="5">E15/E13</f>
        <v>#DIV/0!</v>
      </c>
      <c r="F14" s="143" t="str">
        <f t="shared" si="5"/>
        <v>#DIV/0!</v>
      </c>
      <c r="G14" s="142" t="str">
        <f t="shared" si="5"/>
        <v>#DIV/0!</v>
      </c>
      <c r="H14" s="143" t="str">
        <f t="shared" si="5"/>
        <v>#DIV/0!</v>
      </c>
      <c r="I14" s="142" t="str">
        <f t="shared" si="5"/>
        <v>#DIV/0!</v>
      </c>
      <c r="J14" s="143" t="str">
        <f t="shared" si="5"/>
        <v>#DIV/0!</v>
      </c>
      <c r="K14" s="142" t="str">
        <f t="shared" si="5"/>
        <v>#DIV/0!</v>
      </c>
      <c r="L14" s="143" t="str">
        <f t="shared" si="5"/>
        <v>#DIV/0!</v>
      </c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2">
        <f>Y15/Y13</f>
        <v>0.35</v>
      </c>
      <c r="Z14" s="143">
        <v>0.25</v>
      </c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  <c r="DD14" s="126"/>
      <c r="DE14" s="126"/>
      <c r="DF14" s="126"/>
      <c r="DG14" s="126"/>
      <c r="DH14" s="126"/>
      <c r="DI14" s="126"/>
      <c r="DJ14" s="126"/>
      <c r="DK14" s="126"/>
      <c r="DL14" s="126"/>
      <c r="DM14" s="126"/>
      <c r="DN14" s="126"/>
      <c r="DO14" s="126"/>
      <c r="DP14" s="126"/>
      <c r="DQ14" s="126"/>
      <c r="DR14" s="154"/>
    </row>
    <row r="15" ht="16.5" customHeight="1">
      <c r="A15" s="154"/>
      <c r="B15" s="159" t="s">
        <v>125</v>
      </c>
      <c r="C15" s="129">
        <v>7.0</v>
      </c>
      <c r="D15" s="157"/>
      <c r="E15" s="146"/>
      <c r="F15" s="157"/>
      <c r="G15" s="146"/>
      <c r="H15" s="157"/>
      <c r="I15" s="146"/>
      <c r="J15" s="157"/>
      <c r="K15" s="146"/>
      <c r="L15" s="157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29">
        <f>C15</f>
        <v>7</v>
      </c>
      <c r="Z15" s="157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  <c r="DQ15" s="126"/>
      <c r="DR15" s="154"/>
    </row>
    <row r="16" ht="16.5" customHeight="1">
      <c r="A16" s="154"/>
      <c r="B16" s="159" t="s">
        <v>126</v>
      </c>
      <c r="C16" s="160">
        <f>B17*C15</f>
        <v>14000</v>
      </c>
      <c r="D16" s="157"/>
      <c r="E16" s="146"/>
      <c r="F16" s="157"/>
      <c r="G16" s="146"/>
      <c r="H16" s="157"/>
      <c r="I16" s="146"/>
      <c r="J16" s="157"/>
      <c r="K16" s="146"/>
      <c r="L16" s="157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60">
        <f>AH17*Y15</f>
        <v>0</v>
      </c>
      <c r="Z16" s="157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6"/>
      <c r="CH16" s="126"/>
      <c r="CI16" s="126"/>
      <c r="CJ16" s="126"/>
      <c r="CK16" s="126"/>
      <c r="CL16" s="126"/>
      <c r="CM16" s="126"/>
      <c r="CN16" s="126"/>
      <c r="CO16" s="126"/>
      <c r="CP16" s="126"/>
      <c r="CQ16" s="126"/>
      <c r="CR16" s="126"/>
      <c r="CS16" s="126"/>
      <c r="CT16" s="126"/>
      <c r="CU16" s="126"/>
      <c r="CV16" s="126"/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/>
      <c r="DQ16" s="126"/>
      <c r="DR16" s="154"/>
    </row>
    <row r="17" ht="15.75" customHeight="1">
      <c r="A17" s="126" t="s">
        <v>127</v>
      </c>
      <c r="B17" s="161">
        <v>2000.0</v>
      </c>
      <c r="C17" s="162"/>
      <c r="D17" s="163"/>
      <c r="E17" s="163"/>
      <c r="F17" s="163"/>
      <c r="G17" s="163"/>
      <c r="H17" s="163"/>
      <c r="I17" s="163"/>
      <c r="J17" s="163"/>
      <c r="K17" s="163"/>
      <c r="L17" s="163"/>
      <c r="M17" s="162"/>
      <c r="N17" s="164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62"/>
      <c r="Z17" s="163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</row>
    <row r="18" ht="15.75" customHeight="1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47"/>
      <c r="AB18" s="147"/>
      <c r="AC18" s="147"/>
      <c r="AD18" s="147"/>
      <c r="AE18" s="147"/>
      <c r="AF18" s="147"/>
      <c r="AG18" s="147"/>
      <c r="AH18" s="147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47"/>
      <c r="BZ18" s="147"/>
      <c r="CA18" s="147"/>
      <c r="CB18" s="147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</row>
    <row r="19" ht="15.75" customHeight="1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7"/>
      <c r="AB19" s="127"/>
      <c r="AC19" s="127"/>
      <c r="AD19" s="127"/>
      <c r="AE19" s="127"/>
      <c r="AF19" s="127"/>
      <c r="AG19" s="127"/>
      <c r="AH19" s="127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7"/>
      <c r="BZ19" s="127"/>
      <c r="CA19" s="127"/>
      <c r="CB19" s="127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  <c r="DD19" s="126"/>
      <c r="DE19" s="126"/>
      <c r="DF19" s="126"/>
      <c r="DG19" s="126"/>
      <c r="DH19" s="126"/>
      <c r="DI19" s="126"/>
      <c r="DJ19" s="126"/>
      <c r="DK19" s="126"/>
      <c r="DL19" s="126"/>
      <c r="DM19" s="126"/>
      <c r="DN19" s="126"/>
      <c r="DO19" s="126"/>
      <c r="DP19" s="126"/>
      <c r="DQ19" s="126"/>
      <c r="DR19" s="126"/>
    </row>
    <row r="20" ht="15.75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47"/>
      <c r="AB20" s="147"/>
      <c r="AC20" s="147"/>
      <c r="AD20" s="147"/>
      <c r="AE20" s="147"/>
      <c r="AF20" s="147"/>
      <c r="AG20" s="147"/>
      <c r="AH20" s="147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47"/>
      <c r="BZ20" s="147"/>
      <c r="CA20" s="147"/>
      <c r="CB20" s="147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  <c r="DD20" s="126"/>
      <c r="DE20" s="126"/>
      <c r="DF20" s="126"/>
      <c r="DG20" s="126"/>
      <c r="DH20" s="126"/>
      <c r="DI20" s="126"/>
      <c r="DJ20" s="126"/>
      <c r="DK20" s="126"/>
      <c r="DL20" s="126"/>
      <c r="DM20" s="126"/>
      <c r="DN20" s="126"/>
      <c r="DO20" s="126"/>
      <c r="DP20" s="126"/>
      <c r="DQ20" s="126"/>
      <c r="DR20" s="126"/>
    </row>
    <row r="21" ht="22.5" customHeight="1">
      <c r="A21" s="165"/>
      <c r="B21" s="166" t="s">
        <v>128</v>
      </c>
      <c r="C21" s="167"/>
      <c r="D21" s="167"/>
      <c r="E21" s="168"/>
      <c r="F21" s="168"/>
      <c r="G21" s="168"/>
      <c r="H21" s="168"/>
      <c r="I21" s="168"/>
      <c r="J21" s="168"/>
      <c r="K21" s="168"/>
      <c r="L21" s="168"/>
      <c r="M21" s="167"/>
      <c r="N21" s="167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7"/>
      <c r="Z21" s="167"/>
      <c r="AA21" s="168"/>
      <c r="AB21" s="168"/>
      <c r="AC21" s="168"/>
      <c r="AD21" s="168"/>
      <c r="AE21" s="168"/>
      <c r="AF21" s="168"/>
      <c r="AG21" s="168"/>
      <c r="AH21" s="168"/>
      <c r="AI21" s="167"/>
      <c r="AJ21" s="167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7"/>
      <c r="AV21" s="167"/>
      <c r="AW21" s="168"/>
      <c r="AX21" s="168"/>
      <c r="AY21" s="168"/>
      <c r="AZ21" s="169"/>
      <c r="BA21" s="169"/>
      <c r="BB21" s="169"/>
      <c r="BC21" s="169"/>
      <c r="BD21" s="169"/>
      <c r="BE21" s="169"/>
      <c r="BF21" s="169"/>
      <c r="BG21" s="167"/>
      <c r="BH21" s="167"/>
      <c r="BI21" s="169"/>
      <c r="BJ21" s="169"/>
      <c r="BK21" s="169"/>
      <c r="BL21" s="169"/>
      <c r="BM21" s="169"/>
      <c r="BN21" s="169"/>
      <c r="BO21" s="169"/>
      <c r="BP21" s="169"/>
      <c r="BQ21" s="167"/>
      <c r="BR21" s="167"/>
      <c r="BS21" s="167"/>
      <c r="BT21" s="167"/>
      <c r="BU21" s="167"/>
      <c r="BV21" s="167"/>
      <c r="BW21" s="167"/>
      <c r="BX21" s="167"/>
      <c r="BY21" s="168"/>
      <c r="BZ21" s="168"/>
      <c r="CA21" s="168"/>
      <c r="CB21" s="168"/>
      <c r="CC21" s="167"/>
      <c r="CD21" s="167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7"/>
      <c r="CP21" s="167"/>
      <c r="CQ21" s="168"/>
      <c r="CR21" s="168"/>
      <c r="CS21" s="168"/>
      <c r="CT21" s="169"/>
      <c r="CU21" s="169"/>
      <c r="CV21" s="169"/>
      <c r="CW21" s="169"/>
      <c r="CX21" s="169"/>
      <c r="CY21" s="169"/>
      <c r="CZ21" s="169"/>
      <c r="DA21" s="167"/>
      <c r="DB21" s="167"/>
      <c r="DC21" s="169"/>
      <c r="DD21" s="169"/>
      <c r="DE21" s="169"/>
      <c r="DF21" s="169"/>
      <c r="DG21" s="169"/>
      <c r="DH21" s="169"/>
      <c r="DI21" s="169"/>
      <c r="DJ21" s="169"/>
      <c r="DK21" s="169"/>
      <c r="DL21" s="169"/>
      <c r="DM21" s="167"/>
      <c r="DN21" s="167"/>
      <c r="DO21" s="170"/>
      <c r="DP21" s="170"/>
      <c r="DQ21" s="170"/>
      <c r="DR21" s="170"/>
    </row>
    <row r="22" ht="22.5" customHeight="1">
      <c r="A22" s="166"/>
      <c r="B22" s="130" t="s">
        <v>129</v>
      </c>
      <c r="C22" s="128" t="s">
        <v>130</v>
      </c>
      <c r="D22" s="46"/>
      <c r="E22" s="171">
        <v>45299.0</v>
      </c>
      <c r="F22" s="171">
        <v>45303.0</v>
      </c>
      <c r="G22" s="171">
        <v>45306.0</v>
      </c>
      <c r="H22" s="171">
        <v>45310.0</v>
      </c>
      <c r="I22" s="171">
        <v>45313.0</v>
      </c>
      <c r="J22" s="171">
        <v>45317.0</v>
      </c>
      <c r="K22" s="171">
        <v>45320.0</v>
      </c>
      <c r="L22" s="171">
        <v>45322.0</v>
      </c>
      <c r="M22" s="128" t="s">
        <v>131</v>
      </c>
      <c r="N22" s="46"/>
      <c r="O22" s="172">
        <v>45323.0</v>
      </c>
      <c r="P22" s="172">
        <v>45324.0</v>
      </c>
      <c r="Q22" s="172">
        <v>45327.0</v>
      </c>
      <c r="R22" s="172">
        <v>45331.0</v>
      </c>
      <c r="S22" s="172">
        <v>45334.0</v>
      </c>
      <c r="T22" s="172">
        <v>45338.0</v>
      </c>
      <c r="U22" s="172">
        <v>45341.0</v>
      </c>
      <c r="V22" s="172">
        <v>45345.0</v>
      </c>
      <c r="W22" s="172">
        <v>45348.0</v>
      </c>
      <c r="X22" s="172">
        <v>45351.0</v>
      </c>
      <c r="Y22" s="128" t="s">
        <v>132</v>
      </c>
      <c r="Z22" s="46"/>
      <c r="AA22" s="172">
        <v>45352.0</v>
      </c>
      <c r="AB22" s="172">
        <v>45359.0</v>
      </c>
      <c r="AC22" s="172">
        <v>45362.0</v>
      </c>
      <c r="AD22" s="172">
        <v>45366.0</v>
      </c>
      <c r="AE22" s="172">
        <v>45369.0</v>
      </c>
      <c r="AF22" s="172">
        <v>45373.0</v>
      </c>
      <c r="AG22" s="172">
        <v>45376.0</v>
      </c>
      <c r="AH22" s="172">
        <v>45382.0</v>
      </c>
      <c r="AI22" s="128" t="s">
        <v>133</v>
      </c>
      <c r="AJ22" s="46"/>
      <c r="AK22" s="172">
        <v>45383.0</v>
      </c>
      <c r="AL22" s="173">
        <v>45389.0</v>
      </c>
      <c r="AM22" s="173">
        <v>45390.0</v>
      </c>
      <c r="AN22" s="173">
        <v>45396.0</v>
      </c>
      <c r="AO22" s="172">
        <v>45397.0</v>
      </c>
      <c r="AP22" s="173">
        <v>45403.0</v>
      </c>
      <c r="AQ22" s="173">
        <v>45404.0</v>
      </c>
      <c r="AR22" s="173">
        <v>45410.0</v>
      </c>
      <c r="AS22" s="173">
        <v>45411.0</v>
      </c>
      <c r="AT22" s="173">
        <v>45412.0</v>
      </c>
      <c r="AU22" s="128" t="s">
        <v>134</v>
      </c>
      <c r="AV22" s="46"/>
      <c r="AW22" s="172">
        <v>45413.0</v>
      </c>
      <c r="AX22" s="172"/>
      <c r="AY22" s="172">
        <v>45417.0</v>
      </c>
      <c r="AZ22" s="174"/>
      <c r="BA22" s="174">
        <v>45424.0</v>
      </c>
      <c r="BB22" s="174"/>
      <c r="BC22" s="174">
        <v>45431.0</v>
      </c>
      <c r="BD22" s="174"/>
      <c r="BE22" s="174">
        <v>45438.0</v>
      </c>
      <c r="BF22" s="174"/>
      <c r="BG22" s="128" t="s">
        <v>135</v>
      </c>
      <c r="BH22" s="46"/>
      <c r="BI22" s="174">
        <v>45446.0</v>
      </c>
      <c r="BJ22" s="174"/>
      <c r="BK22" s="174">
        <v>45453.0</v>
      </c>
      <c r="BL22" s="174"/>
      <c r="BM22" s="174">
        <v>45460.0</v>
      </c>
      <c r="BN22" s="174"/>
      <c r="BO22" s="174">
        <v>45467.0</v>
      </c>
      <c r="BP22" s="174"/>
      <c r="BQ22" s="128" t="s">
        <v>136</v>
      </c>
      <c r="BR22" s="46"/>
      <c r="BS22" s="128" t="s">
        <v>137</v>
      </c>
      <c r="BT22" s="46"/>
      <c r="BU22" s="128" t="s">
        <v>138</v>
      </c>
      <c r="BV22" s="46"/>
      <c r="BW22" s="128" t="s">
        <v>139</v>
      </c>
      <c r="BX22" s="46"/>
      <c r="BY22" s="172">
        <v>45187.0</v>
      </c>
      <c r="BZ22" s="172">
        <v>45191.0</v>
      </c>
      <c r="CA22" s="172">
        <v>45194.0</v>
      </c>
      <c r="CB22" s="172">
        <v>45198.0</v>
      </c>
      <c r="CC22" s="128" t="s">
        <v>140</v>
      </c>
      <c r="CD22" s="46"/>
      <c r="CE22" s="172">
        <v>45201.0</v>
      </c>
      <c r="CF22" s="173">
        <v>45205.0</v>
      </c>
      <c r="CG22" s="173">
        <v>45208.0</v>
      </c>
      <c r="CH22" s="173">
        <v>45212.0</v>
      </c>
      <c r="CI22" s="172">
        <v>45215.0</v>
      </c>
      <c r="CJ22" s="173">
        <v>45219.0</v>
      </c>
      <c r="CK22" s="173">
        <v>45222.0</v>
      </c>
      <c r="CL22" s="173">
        <v>45226.0</v>
      </c>
      <c r="CM22" s="173">
        <v>45229.0</v>
      </c>
      <c r="CN22" s="173">
        <v>45230.0</v>
      </c>
      <c r="CO22" s="128" t="s">
        <v>141</v>
      </c>
      <c r="CP22" s="46"/>
      <c r="CQ22" s="172">
        <v>45231.0</v>
      </c>
      <c r="CR22" s="172">
        <v>45233.0</v>
      </c>
      <c r="CS22" s="172">
        <v>45236.0</v>
      </c>
      <c r="CT22" s="174">
        <v>45240.0</v>
      </c>
      <c r="CU22" s="174">
        <v>45243.0</v>
      </c>
      <c r="CV22" s="174">
        <v>45247.0</v>
      </c>
      <c r="CW22" s="174">
        <v>45250.0</v>
      </c>
      <c r="CX22" s="174">
        <v>45254.0</v>
      </c>
      <c r="CY22" s="174">
        <v>45257.0</v>
      </c>
      <c r="CZ22" s="174">
        <v>45260.0</v>
      </c>
      <c r="DA22" s="128" t="s">
        <v>142</v>
      </c>
      <c r="DB22" s="46"/>
      <c r="DC22" s="174">
        <v>45261.0</v>
      </c>
      <c r="DD22" s="174">
        <v>45261.0</v>
      </c>
      <c r="DE22" s="174">
        <v>45264.0</v>
      </c>
      <c r="DF22" s="174">
        <v>45268.0</v>
      </c>
      <c r="DG22" s="174">
        <v>45271.0</v>
      </c>
      <c r="DH22" s="174">
        <v>45275.0</v>
      </c>
      <c r="DI22" s="174">
        <v>45278.0</v>
      </c>
      <c r="DJ22" s="174">
        <v>45282.0</v>
      </c>
      <c r="DK22" s="174">
        <v>45285.0</v>
      </c>
      <c r="DL22" s="174">
        <v>45289.0</v>
      </c>
      <c r="DM22" s="128" t="s">
        <v>143</v>
      </c>
      <c r="DN22" s="46"/>
      <c r="DO22" s="128" t="s">
        <v>94</v>
      </c>
      <c r="DP22" s="46"/>
      <c r="DQ22" s="170"/>
      <c r="DR22" s="170"/>
    </row>
    <row r="23" ht="22.5" customHeight="1">
      <c r="A23" s="166"/>
      <c r="B23" s="104"/>
      <c r="C23" s="175" t="s">
        <v>91</v>
      </c>
      <c r="D23" s="175" t="s">
        <v>92</v>
      </c>
      <c r="E23" s="175" t="s">
        <v>91</v>
      </c>
      <c r="F23" s="175" t="s">
        <v>92</v>
      </c>
      <c r="G23" s="175" t="s">
        <v>91</v>
      </c>
      <c r="H23" s="175" t="s">
        <v>92</v>
      </c>
      <c r="I23" s="175" t="s">
        <v>91</v>
      </c>
      <c r="J23" s="175" t="s">
        <v>92</v>
      </c>
      <c r="K23" s="175" t="s">
        <v>91</v>
      </c>
      <c r="L23" s="175" t="s">
        <v>92</v>
      </c>
      <c r="M23" s="175" t="s">
        <v>91</v>
      </c>
      <c r="N23" s="175" t="s">
        <v>92</v>
      </c>
      <c r="O23" s="175" t="s">
        <v>91</v>
      </c>
      <c r="P23" s="175" t="s">
        <v>92</v>
      </c>
      <c r="Q23" s="175" t="s">
        <v>91</v>
      </c>
      <c r="R23" s="175" t="s">
        <v>92</v>
      </c>
      <c r="S23" s="175" t="s">
        <v>91</v>
      </c>
      <c r="T23" s="175" t="s">
        <v>92</v>
      </c>
      <c r="U23" s="175" t="s">
        <v>91</v>
      </c>
      <c r="V23" s="175" t="s">
        <v>92</v>
      </c>
      <c r="W23" s="175" t="s">
        <v>91</v>
      </c>
      <c r="X23" s="175" t="s">
        <v>92</v>
      </c>
      <c r="Y23" s="175" t="s">
        <v>91</v>
      </c>
      <c r="Z23" s="175" t="s">
        <v>92</v>
      </c>
      <c r="AA23" s="176" t="s">
        <v>91</v>
      </c>
      <c r="AB23" s="177" t="s">
        <v>92</v>
      </c>
      <c r="AC23" s="176" t="s">
        <v>91</v>
      </c>
      <c r="AD23" s="177" t="s">
        <v>92</v>
      </c>
      <c r="AE23" s="176" t="s">
        <v>91</v>
      </c>
      <c r="AF23" s="177" t="s">
        <v>92</v>
      </c>
      <c r="AG23" s="176" t="s">
        <v>91</v>
      </c>
      <c r="AH23" s="177" t="s">
        <v>92</v>
      </c>
      <c r="AI23" s="175" t="s">
        <v>91</v>
      </c>
      <c r="AJ23" s="175" t="s">
        <v>92</v>
      </c>
      <c r="AK23" s="178" t="s">
        <v>91</v>
      </c>
      <c r="AL23" s="179" t="s">
        <v>92</v>
      </c>
      <c r="AM23" s="178" t="s">
        <v>91</v>
      </c>
      <c r="AN23" s="179" t="s">
        <v>92</v>
      </c>
      <c r="AO23" s="178" t="s">
        <v>91</v>
      </c>
      <c r="AP23" s="179" t="s">
        <v>92</v>
      </c>
      <c r="AQ23" s="178" t="s">
        <v>91</v>
      </c>
      <c r="AR23" s="179" t="s">
        <v>92</v>
      </c>
      <c r="AS23" s="178" t="s">
        <v>91</v>
      </c>
      <c r="AT23" s="179" t="s">
        <v>92</v>
      </c>
      <c r="AU23" s="178" t="s">
        <v>91</v>
      </c>
      <c r="AV23" s="179" t="s">
        <v>92</v>
      </c>
      <c r="AW23" s="180" t="s">
        <v>91</v>
      </c>
      <c r="AX23" s="181" t="s">
        <v>92</v>
      </c>
      <c r="AY23" s="178" t="s">
        <v>91</v>
      </c>
      <c r="AZ23" s="179" t="s">
        <v>92</v>
      </c>
      <c r="BA23" s="178" t="s">
        <v>91</v>
      </c>
      <c r="BB23" s="179" t="s">
        <v>92</v>
      </c>
      <c r="BC23" s="178" t="s">
        <v>91</v>
      </c>
      <c r="BD23" s="179" t="s">
        <v>92</v>
      </c>
      <c r="BE23" s="178" t="s">
        <v>91</v>
      </c>
      <c r="BF23" s="179" t="s">
        <v>92</v>
      </c>
      <c r="BG23" s="178" t="s">
        <v>91</v>
      </c>
      <c r="BH23" s="179" t="s">
        <v>92</v>
      </c>
      <c r="BI23" s="178" t="s">
        <v>91</v>
      </c>
      <c r="BJ23" s="179" t="s">
        <v>92</v>
      </c>
      <c r="BK23" s="178" t="s">
        <v>91</v>
      </c>
      <c r="BL23" s="179" t="s">
        <v>92</v>
      </c>
      <c r="BM23" s="178" t="s">
        <v>91</v>
      </c>
      <c r="BN23" s="179" t="s">
        <v>92</v>
      </c>
      <c r="BO23" s="178" t="s">
        <v>91</v>
      </c>
      <c r="BP23" s="179" t="s">
        <v>92</v>
      </c>
      <c r="BQ23" s="175" t="s">
        <v>91</v>
      </c>
      <c r="BR23" s="175" t="s">
        <v>92</v>
      </c>
      <c r="BS23" s="175" t="s">
        <v>91</v>
      </c>
      <c r="BT23" s="175" t="s">
        <v>92</v>
      </c>
      <c r="BU23" s="175" t="s">
        <v>91</v>
      </c>
      <c r="BV23" s="175" t="s">
        <v>92</v>
      </c>
      <c r="BW23" s="175" t="s">
        <v>91</v>
      </c>
      <c r="BX23" s="175" t="s">
        <v>92</v>
      </c>
      <c r="BY23" s="176" t="s">
        <v>91</v>
      </c>
      <c r="BZ23" s="177" t="s">
        <v>92</v>
      </c>
      <c r="CA23" s="176" t="s">
        <v>91</v>
      </c>
      <c r="CB23" s="177" t="s">
        <v>92</v>
      </c>
      <c r="CC23" s="175" t="s">
        <v>91</v>
      </c>
      <c r="CD23" s="175" t="s">
        <v>92</v>
      </c>
      <c r="CE23" s="178" t="s">
        <v>91</v>
      </c>
      <c r="CF23" s="179" t="s">
        <v>92</v>
      </c>
      <c r="CG23" s="178" t="s">
        <v>91</v>
      </c>
      <c r="CH23" s="179" t="s">
        <v>92</v>
      </c>
      <c r="CI23" s="178" t="s">
        <v>91</v>
      </c>
      <c r="CJ23" s="179" t="s">
        <v>92</v>
      </c>
      <c r="CK23" s="178" t="s">
        <v>91</v>
      </c>
      <c r="CL23" s="179" t="s">
        <v>92</v>
      </c>
      <c r="CM23" s="178" t="s">
        <v>91</v>
      </c>
      <c r="CN23" s="179" t="s">
        <v>92</v>
      </c>
      <c r="CO23" s="178" t="s">
        <v>91</v>
      </c>
      <c r="CP23" s="179" t="s">
        <v>92</v>
      </c>
      <c r="CQ23" s="180" t="s">
        <v>91</v>
      </c>
      <c r="CR23" s="181" t="s">
        <v>92</v>
      </c>
      <c r="CS23" s="178" t="s">
        <v>91</v>
      </c>
      <c r="CT23" s="179" t="s">
        <v>92</v>
      </c>
      <c r="CU23" s="178" t="s">
        <v>91</v>
      </c>
      <c r="CV23" s="179" t="s">
        <v>92</v>
      </c>
      <c r="CW23" s="178" t="s">
        <v>91</v>
      </c>
      <c r="CX23" s="179" t="s">
        <v>92</v>
      </c>
      <c r="CY23" s="178" t="s">
        <v>91</v>
      </c>
      <c r="CZ23" s="179" t="s">
        <v>92</v>
      </c>
      <c r="DA23" s="178" t="s">
        <v>91</v>
      </c>
      <c r="DB23" s="179" t="s">
        <v>92</v>
      </c>
      <c r="DC23" s="178" t="s">
        <v>91</v>
      </c>
      <c r="DD23" s="179" t="s">
        <v>92</v>
      </c>
      <c r="DE23" s="178" t="s">
        <v>91</v>
      </c>
      <c r="DF23" s="179" t="s">
        <v>92</v>
      </c>
      <c r="DG23" s="178" t="s">
        <v>91</v>
      </c>
      <c r="DH23" s="179" t="s">
        <v>92</v>
      </c>
      <c r="DI23" s="178" t="s">
        <v>91</v>
      </c>
      <c r="DJ23" s="179" t="s">
        <v>92</v>
      </c>
      <c r="DK23" s="178" t="s">
        <v>91</v>
      </c>
      <c r="DL23" s="179" t="s">
        <v>92</v>
      </c>
      <c r="DM23" s="175" t="s">
        <v>91</v>
      </c>
      <c r="DN23" s="175" t="s">
        <v>92</v>
      </c>
      <c r="DO23" s="182" t="s">
        <v>91</v>
      </c>
      <c r="DP23" s="183" t="s">
        <v>92</v>
      </c>
      <c r="DQ23" s="170"/>
      <c r="DR23" s="170"/>
    </row>
    <row r="24" ht="22.5" customHeight="1">
      <c r="A24" s="170"/>
      <c r="B24" s="136" t="s">
        <v>118</v>
      </c>
      <c r="C24" s="175"/>
      <c r="D24" s="184"/>
      <c r="E24" s="185"/>
      <c r="F24" s="185"/>
      <c r="G24" s="185"/>
      <c r="H24" s="185"/>
      <c r="I24" s="185"/>
      <c r="J24" s="185"/>
      <c r="K24" s="185"/>
      <c r="L24" s="185"/>
      <c r="M24" s="175"/>
      <c r="N24" s="184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6"/>
      <c r="AA24" s="176"/>
      <c r="AB24" s="177"/>
      <c r="AC24" s="176"/>
      <c r="AD24" s="177"/>
      <c r="AE24" s="176"/>
      <c r="AF24" s="177"/>
      <c r="AG24" s="176"/>
      <c r="AH24" s="177"/>
      <c r="AI24" s="185"/>
      <c r="AJ24" s="186"/>
      <c r="AK24" s="176"/>
      <c r="AL24" s="187"/>
      <c r="AM24" s="176"/>
      <c r="AN24" s="187"/>
      <c r="AO24" s="176"/>
      <c r="AP24" s="187"/>
      <c r="AQ24" s="176"/>
      <c r="AR24" s="187"/>
      <c r="AS24" s="176"/>
      <c r="AT24" s="187"/>
      <c r="AU24" s="176">
        <f>AW24+AY24+BA24+BC24++BE24</f>
        <v>0</v>
      </c>
      <c r="AV24" s="186"/>
      <c r="AW24" s="176"/>
      <c r="AX24" s="187">
        <f>$AV$24/5</f>
        <v>0</v>
      </c>
      <c r="AY24" s="176"/>
      <c r="AZ24" s="187">
        <f>$AV$24/5</f>
        <v>0</v>
      </c>
      <c r="BA24" s="176"/>
      <c r="BB24" s="187">
        <f>$AV$24/5</f>
        <v>0</v>
      </c>
      <c r="BC24" s="176"/>
      <c r="BD24" s="187">
        <f>$AV$24/5</f>
        <v>0</v>
      </c>
      <c r="BE24" s="176"/>
      <c r="BF24" s="187">
        <f>$AV$24/5</f>
        <v>0</v>
      </c>
      <c r="BG24" s="176"/>
      <c r="BH24" s="188"/>
      <c r="BI24" s="176"/>
      <c r="BJ24" s="188">
        <f>$BH24/4</f>
        <v>0</v>
      </c>
      <c r="BK24" s="176"/>
      <c r="BL24" s="187">
        <f>$BH$24/4</f>
        <v>0</v>
      </c>
      <c r="BM24" s="176"/>
      <c r="BN24" s="187">
        <f>$BH$24/4</f>
        <v>0</v>
      </c>
      <c r="BO24" s="176"/>
      <c r="BP24" s="187">
        <f>$BH$24/4</f>
        <v>0</v>
      </c>
      <c r="BQ24" s="185">
        <f>SUM(W24,Y24,AA24,AG24,AS24,BE24)</f>
        <v>0</v>
      </c>
      <c r="BR24" s="184">
        <v>175.0</v>
      </c>
      <c r="BS24" s="185"/>
      <c r="BT24" s="189">
        <v>529.100529100529</v>
      </c>
      <c r="BU24" s="185"/>
      <c r="BV24" s="189">
        <v>881.834215167549</v>
      </c>
      <c r="BW24" s="185"/>
      <c r="BX24" s="189">
        <v>1234.56790123457</v>
      </c>
      <c r="BY24" s="176"/>
      <c r="BZ24" s="177"/>
      <c r="CA24" s="176"/>
      <c r="CB24" s="177"/>
      <c r="CC24" s="185"/>
      <c r="CD24" s="189">
        <v>1234.56790123457</v>
      </c>
      <c r="CE24" s="176"/>
      <c r="CF24" s="187"/>
      <c r="CG24" s="176"/>
      <c r="CH24" s="187"/>
      <c r="CI24" s="176"/>
      <c r="CJ24" s="187"/>
      <c r="CK24" s="176"/>
      <c r="CL24" s="187"/>
      <c r="CM24" s="176"/>
      <c r="CN24" s="187"/>
      <c r="CO24" s="176"/>
      <c r="CP24" s="189">
        <v>1234.56790123457</v>
      </c>
      <c r="CQ24" s="176"/>
      <c r="CR24" s="187"/>
      <c r="CS24" s="176"/>
      <c r="CT24" s="187"/>
      <c r="CU24" s="176"/>
      <c r="CV24" s="187"/>
      <c r="CW24" s="176"/>
      <c r="CX24" s="187"/>
      <c r="CY24" s="176"/>
      <c r="CZ24" s="187"/>
      <c r="DA24" s="176"/>
      <c r="DB24" s="189">
        <v>1234.56790123457</v>
      </c>
      <c r="DC24" s="176"/>
      <c r="DD24" s="187"/>
      <c r="DE24" s="176"/>
      <c r="DF24" s="187"/>
      <c r="DG24" s="176"/>
      <c r="DH24" s="187"/>
      <c r="DI24" s="176"/>
      <c r="DJ24" s="187"/>
      <c r="DK24" s="176"/>
      <c r="DL24" s="187"/>
      <c r="DM24" s="185">
        <f t="shared" ref="DM24:DN24" si="6">SUM(BS24,BU24,BW24,CC24,CO24,DA24)</f>
        <v>0</v>
      </c>
      <c r="DN24" s="184">
        <f t="shared" si="6"/>
        <v>6349.206349</v>
      </c>
      <c r="DO24" s="190">
        <f t="shared" ref="DO24:DP24" si="7">SUM(BQ24,DM24)</f>
        <v>0</v>
      </c>
      <c r="DP24" s="191">
        <f t="shared" si="7"/>
        <v>6524.206349</v>
      </c>
      <c r="DQ24" s="170"/>
      <c r="DR24" s="170"/>
    </row>
    <row r="25" ht="22.5" customHeight="1">
      <c r="A25" s="170"/>
      <c r="B25" s="136" t="s">
        <v>96</v>
      </c>
      <c r="C25" s="142" t="str">
        <f t="shared" ref="C25:DJ25" si="8">C26/C24</f>
        <v>#DIV/0!</v>
      </c>
      <c r="D25" s="143" t="str">
        <f t="shared" si="8"/>
        <v>#DIV/0!</v>
      </c>
      <c r="E25" s="142" t="str">
        <f t="shared" si="8"/>
        <v>#DIV/0!</v>
      </c>
      <c r="F25" s="143" t="str">
        <f t="shared" si="8"/>
        <v>#DIV/0!</v>
      </c>
      <c r="G25" s="142" t="str">
        <f t="shared" si="8"/>
        <v>#DIV/0!</v>
      </c>
      <c r="H25" s="143" t="str">
        <f t="shared" si="8"/>
        <v>#DIV/0!</v>
      </c>
      <c r="I25" s="142" t="str">
        <f t="shared" si="8"/>
        <v>#DIV/0!</v>
      </c>
      <c r="J25" s="143" t="str">
        <f t="shared" si="8"/>
        <v>#DIV/0!</v>
      </c>
      <c r="K25" s="142" t="str">
        <f t="shared" si="8"/>
        <v>#DIV/0!</v>
      </c>
      <c r="L25" s="143" t="str">
        <f t="shared" si="8"/>
        <v>#DIV/0!</v>
      </c>
      <c r="M25" s="142" t="str">
        <f t="shared" si="8"/>
        <v>#DIV/0!</v>
      </c>
      <c r="N25" s="143" t="str">
        <f t="shared" si="8"/>
        <v>#DIV/0!</v>
      </c>
      <c r="O25" s="142" t="str">
        <f t="shared" si="8"/>
        <v>#DIV/0!</v>
      </c>
      <c r="P25" s="143" t="str">
        <f t="shared" si="8"/>
        <v>#DIV/0!</v>
      </c>
      <c r="Q25" s="142" t="str">
        <f t="shared" si="8"/>
        <v>#DIV/0!</v>
      </c>
      <c r="R25" s="143" t="str">
        <f t="shared" si="8"/>
        <v>#DIV/0!</v>
      </c>
      <c r="S25" s="142" t="str">
        <f t="shared" si="8"/>
        <v>#DIV/0!</v>
      </c>
      <c r="T25" s="143" t="str">
        <f t="shared" si="8"/>
        <v>#DIV/0!</v>
      </c>
      <c r="U25" s="142" t="str">
        <f t="shared" si="8"/>
        <v>#DIV/0!</v>
      </c>
      <c r="V25" s="143" t="str">
        <f t="shared" si="8"/>
        <v>#DIV/0!</v>
      </c>
      <c r="W25" s="142" t="str">
        <f t="shared" si="8"/>
        <v>#DIV/0!</v>
      </c>
      <c r="X25" s="143" t="str">
        <f t="shared" si="8"/>
        <v>#DIV/0!</v>
      </c>
      <c r="Y25" s="142" t="str">
        <f t="shared" si="8"/>
        <v>#DIV/0!</v>
      </c>
      <c r="Z25" s="143" t="str">
        <f t="shared" si="8"/>
        <v>#DIV/0!</v>
      </c>
      <c r="AA25" s="142" t="str">
        <f t="shared" si="8"/>
        <v>#DIV/0!</v>
      </c>
      <c r="AB25" s="143" t="str">
        <f t="shared" si="8"/>
        <v>#DIV/0!</v>
      </c>
      <c r="AC25" s="142" t="str">
        <f t="shared" si="8"/>
        <v>#DIV/0!</v>
      </c>
      <c r="AD25" s="143" t="str">
        <f t="shared" si="8"/>
        <v>#DIV/0!</v>
      </c>
      <c r="AE25" s="142" t="str">
        <f t="shared" si="8"/>
        <v>#DIV/0!</v>
      </c>
      <c r="AF25" s="143" t="str">
        <f t="shared" si="8"/>
        <v>#DIV/0!</v>
      </c>
      <c r="AG25" s="142" t="str">
        <f t="shared" si="8"/>
        <v>#DIV/0!</v>
      </c>
      <c r="AH25" s="143" t="str">
        <f t="shared" si="8"/>
        <v>#DIV/0!</v>
      </c>
      <c r="AI25" s="142" t="str">
        <f t="shared" si="8"/>
        <v>#DIV/0!</v>
      </c>
      <c r="AJ25" s="143" t="str">
        <f t="shared" si="8"/>
        <v>#DIV/0!</v>
      </c>
      <c r="AK25" s="142" t="str">
        <f t="shared" si="8"/>
        <v>#DIV/0!</v>
      </c>
      <c r="AL25" s="143" t="str">
        <f t="shared" si="8"/>
        <v>#DIV/0!</v>
      </c>
      <c r="AM25" s="142" t="str">
        <f t="shared" si="8"/>
        <v>#DIV/0!</v>
      </c>
      <c r="AN25" s="143" t="str">
        <f t="shared" si="8"/>
        <v>#DIV/0!</v>
      </c>
      <c r="AO25" s="142" t="str">
        <f t="shared" si="8"/>
        <v>#DIV/0!</v>
      </c>
      <c r="AP25" s="143" t="str">
        <f t="shared" si="8"/>
        <v>#DIV/0!</v>
      </c>
      <c r="AQ25" s="142" t="str">
        <f t="shared" si="8"/>
        <v>#DIV/0!</v>
      </c>
      <c r="AR25" s="143" t="str">
        <f t="shared" si="8"/>
        <v>#DIV/0!</v>
      </c>
      <c r="AS25" s="142" t="str">
        <f t="shared" si="8"/>
        <v>#DIV/0!</v>
      </c>
      <c r="AT25" s="143" t="str">
        <f t="shared" si="8"/>
        <v>#DIV/0!</v>
      </c>
      <c r="AU25" s="142" t="str">
        <f t="shared" si="8"/>
        <v>#DIV/0!</v>
      </c>
      <c r="AV25" s="143" t="str">
        <f t="shared" si="8"/>
        <v>#DIV/0!</v>
      </c>
      <c r="AW25" s="142" t="str">
        <f t="shared" si="8"/>
        <v>#DIV/0!</v>
      </c>
      <c r="AX25" s="143" t="str">
        <f t="shared" si="8"/>
        <v>#DIV/0!</v>
      </c>
      <c r="AY25" s="142" t="str">
        <f t="shared" si="8"/>
        <v>#DIV/0!</v>
      </c>
      <c r="AZ25" s="143" t="str">
        <f t="shared" si="8"/>
        <v>#DIV/0!</v>
      </c>
      <c r="BA25" s="142" t="str">
        <f t="shared" si="8"/>
        <v>#DIV/0!</v>
      </c>
      <c r="BB25" s="143" t="str">
        <f t="shared" si="8"/>
        <v>#DIV/0!</v>
      </c>
      <c r="BC25" s="142" t="str">
        <f t="shared" si="8"/>
        <v>#DIV/0!</v>
      </c>
      <c r="BD25" s="143" t="str">
        <f t="shared" si="8"/>
        <v>#DIV/0!</v>
      </c>
      <c r="BE25" s="142" t="str">
        <f t="shared" si="8"/>
        <v>#DIV/0!</v>
      </c>
      <c r="BF25" s="143" t="str">
        <f t="shared" si="8"/>
        <v>#DIV/0!</v>
      </c>
      <c r="BG25" s="142" t="str">
        <f t="shared" si="8"/>
        <v>#DIV/0!</v>
      </c>
      <c r="BH25" s="143" t="str">
        <f t="shared" si="8"/>
        <v>#DIV/0!</v>
      </c>
      <c r="BI25" s="142" t="str">
        <f t="shared" si="8"/>
        <v>#DIV/0!</v>
      </c>
      <c r="BJ25" s="143" t="str">
        <f t="shared" si="8"/>
        <v>#DIV/0!</v>
      </c>
      <c r="BK25" s="142" t="str">
        <f t="shared" si="8"/>
        <v>#DIV/0!</v>
      </c>
      <c r="BL25" s="143" t="str">
        <f t="shared" si="8"/>
        <v>#DIV/0!</v>
      </c>
      <c r="BM25" s="142" t="str">
        <f t="shared" si="8"/>
        <v>#DIV/0!</v>
      </c>
      <c r="BN25" s="143" t="str">
        <f t="shared" si="8"/>
        <v>#DIV/0!</v>
      </c>
      <c r="BO25" s="142" t="str">
        <f t="shared" si="8"/>
        <v>#DIV/0!</v>
      </c>
      <c r="BP25" s="143" t="str">
        <f t="shared" si="8"/>
        <v>#DIV/0!</v>
      </c>
      <c r="BQ25" s="142" t="str">
        <f t="shared" si="8"/>
        <v>#DIV/0!</v>
      </c>
      <c r="BR25" s="143">
        <f t="shared" si="8"/>
        <v>0</v>
      </c>
      <c r="BS25" s="142" t="str">
        <f t="shared" si="8"/>
        <v>#DIV/0!</v>
      </c>
      <c r="BT25" s="143">
        <f t="shared" si="8"/>
        <v>0.15</v>
      </c>
      <c r="BU25" s="142" t="str">
        <f t="shared" si="8"/>
        <v>#DIV/0!</v>
      </c>
      <c r="BV25" s="143">
        <f t="shared" si="8"/>
        <v>0.15</v>
      </c>
      <c r="BW25" s="142" t="str">
        <f t="shared" si="8"/>
        <v>#DIV/0!</v>
      </c>
      <c r="BX25" s="143">
        <f t="shared" si="8"/>
        <v>0.15</v>
      </c>
      <c r="BY25" s="142" t="str">
        <f t="shared" si="8"/>
        <v>#DIV/0!</v>
      </c>
      <c r="BZ25" s="143" t="str">
        <f t="shared" si="8"/>
        <v>#DIV/0!</v>
      </c>
      <c r="CA25" s="142" t="str">
        <f t="shared" si="8"/>
        <v>#DIV/0!</v>
      </c>
      <c r="CB25" s="143" t="str">
        <f t="shared" si="8"/>
        <v>#DIV/0!</v>
      </c>
      <c r="CC25" s="142" t="str">
        <f t="shared" si="8"/>
        <v>#DIV/0!</v>
      </c>
      <c r="CD25" s="143">
        <f t="shared" si="8"/>
        <v>0.15</v>
      </c>
      <c r="CE25" s="142" t="str">
        <f t="shared" si="8"/>
        <v>#DIV/0!</v>
      </c>
      <c r="CF25" s="143" t="str">
        <f t="shared" si="8"/>
        <v>#DIV/0!</v>
      </c>
      <c r="CG25" s="142" t="str">
        <f t="shared" si="8"/>
        <v>#DIV/0!</v>
      </c>
      <c r="CH25" s="143" t="str">
        <f t="shared" si="8"/>
        <v>#DIV/0!</v>
      </c>
      <c r="CI25" s="142" t="str">
        <f t="shared" si="8"/>
        <v>#DIV/0!</v>
      </c>
      <c r="CJ25" s="143" t="str">
        <f t="shared" si="8"/>
        <v>#DIV/0!</v>
      </c>
      <c r="CK25" s="142" t="str">
        <f t="shared" si="8"/>
        <v>#DIV/0!</v>
      </c>
      <c r="CL25" s="143" t="str">
        <f t="shared" si="8"/>
        <v>#DIV/0!</v>
      </c>
      <c r="CM25" s="142" t="str">
        <f t="shared" si="8"/>
        <v>#DIV/0!</v>
      </c>
      <c r="CN25" s="143" t="str">
        <f t="shared" si="8"/>
        <v>#DIV/0!</v>
      </c>
      <c r="CO25" s="142" t="str">
        <f t="shared" si="8"/>
        <v>#DIV/0!</v>
      </c>
      <c r="CP25" s="143">
        <f t="shared" si="8"/>
        <v>0.15</v>
      </c>
      <c r="CQ25" s="142" t="str">
        <f t="shared" si="8"/>
        <v>#DIV/0!</v>
      </c>
      <c r="CR25" s="143" t="str">
        <f t="shared" si="8"/>
        <v>#DIV/0!</v>
      </c>
      <c r="CS25" s="142" t="str">
        <f t="shared" si="8"/>
        <v>#DIV/0!</v>
      </c>
      <c r="CT25" s="143" t="str">
        <f t="shared" si="8"/>
        <v>#DIV/0!</v>
      </c>
      <c r="CU25" s="142" t="str">
        <f t="shared" si="8"/>
        <v>#DIV/0!</v>
      </c>
      <c r="CV25" s="143" t="str">
        <f t="shared" si="8"/>
        <v>#DIV/0!</v>
      </c>
      <c r="CW25" s="142" t="str">
        <f t="shared" si="8"/>
        <v>#DIV/0!</v>
      </c>
      <c r="CX25" s="143" t="str">
        <f t="shared" si="8"/>
        <v>#DIV/0!</v>
      </c>
      <c r="CY25" s="142" t="str">
        <f t="shared" si="8"/>
        <v>#DIV/0!</v>
      </c>
      <c r="CZ25" s="143" t="str">
        <f t="shared" si="8"/>
        <v>#DIV/0!</v>
      </c>
      <c r="DA25" s="142" t="str">
        <f t="shared" si="8"/>
        <v>#DIV/0!</v>
      </c>
      <c r="DB25" s="143">
        <f t="shared" si="8"/>
        <v>0.15</v>
      </c>
      <c r="DC25" s="142" t="str">
        <f t="shared" si="8"/>
        <v>#DIV/0!</v>
      </c>
      <c r="DD25" s="143" t="str">
        <f t="shared" si="8"/>
        <v>#DIV/0!</v>
      </c>
      <c r="DE25" s="142" t="str">
        <f t="shared" si="8"/>
        <v>#DIV/0!</v>
      </c>
      <c r="DF25" s="143" t="str">
        <f t="shared" si="8"/>
        <v>#DIV/0!</v>
      </c>
      <c r="DG25" s="142" t="str">
        <f t="shared" si="8"/>
        <v>#DIV/0!</v>
      </c>
      <c r="DH25" s="143" t="str">
        <f t="shared" si="8"/>
        <v>#DIV/0!</v>
      </c>
      <c r="DI25" s="142" t="str">
        <f t="shared" si="8"/>
        <v>#DIV/0!</v>
      </c>
      <c r="DJ25" s="143" t="str">
        <f t="shared" si="8"/>
        <v>#DIV/0!</v>
      </c>
      <c r="DK25" s="185"/>
      <c r="DL25" s="187"/>
      <c r="DM25" s="142" t="str">
        <f t="shared" ref="DM25:DP25" si="9">DM26/DM24</f>
        <v>#DIV/0!</v>
      </c>
      <c r="DN25" s="143">
        <f t="shared" si="9"/>
        <v>0.15</v>
      </c>
      <c r="DO25" s="192" t="str">
        <f t="shared" si="9"/>
        <v>#DIV/0!</v>
      </c>
      <c r="DP25" s="193">
        <f t="shared" si="9"/>
        <v>0.1459765221</v>
      </c>
      <c r="DQ25" s="170"/>
      <c r="DR25" s="170"/>
    </row>
    <row r="26" ht="22.5" customHeight="1">
      <c r="A26" s="170"/>
      <c r="B26" s="136" t="s">
        <v>119</v>
      </c>
      <c r="C26" s="175"/>
      <c r="D26" s="184"/>
      <c r="E26" s="194"/>
      <c r="F26" s="195"/>
      <c r="G26" s="194"/>
      <c r="H26" s="195"/>
      <c r="I26" s="194"/>
      <c r="J26" s="195"/>
      <c r="K26" s="194"/>
      <c r="L26" s="195"/>
      <c r="M26" s="175"/>
      <c r="N26" s="184"/>
      <c r="O26" s="194"/>
      <c r="P26" s="191"/>
      <c r="Q26" s="194"/>
      <c r="R26" s="195"/>
      <c r="S26" s="194"/>
      <c r="T26" s="195"/>
      <c r="U26" s="194"/>
      <c r="V26" s="195"/>
      <c r="W26" s="194"/>
      <c r="X26" s="195"/>
      <c r="Y26" s="194"/>
      <c r="Z26" s="195"/>
      <c r="AA26" s="194"/>
      <c r="AB26" s="195"/>
      <c r="AC26" s="194"/>
      <c r="AD26" s="191"/>
      <c r="AE26" s="195"/>
      <c r="AF26" s="195"/>
      <c r="AG26" s="194"/>
      <c r="AH26" s="195"/>
      <c r="AI26" s="194"/>
      <c r="AJ26" s="195"/>
      <c r="AK26" s="194"/>
      <c r="AL26" s="195"/>
      <c r="AM26" s="194"/>
      <c r="AN26" s="195"/>
      <c r="AO26" s="194"/>
      <c r="AP26" s="195"/>
      <c r="AQ26" s="194"/>
      <c r="AR26" s="191"/>
      <c r="AS26" s="194"/>
      <c r="AT26" s="195"/>
      <c r="AU26" s="176">
        <f>AW26+AY26+BA26+BC26++BE26</f>
        <v>0</v>
      </c>
      <c r="AV26" s="188"/>
      <c r="AW26" s="194"/>
      <c r="AX26" s="187">
        <f>$AV26/5</f>
        <v>0</v>
      </c>
      <c r="AY26" s="194"/>
      <c r="AZ26" s="187">
        <f>$AV26/5</f>
        <v>0</v>
      </c>
      <c r="BA26" s="194"/>
      <c r="BB26" s="187">
        <f>$AV26/5</f>
        <v>0</v>
      </c>
      <c r="BC26" s="194"/>
      <c r="BD26" s="187">
        <f>$AV26/5</f>
        <v>0</v>
      </c>
      <c r="BE26" s="194"/>
      <c r="BF26" s="187">
        <f>$AV26/5</f>
        <v>0</v>
      </c>
      <c r="BG26" s="194"/>
      <c r="BH26" s="188"/>
      <c r="BI26" s="194"/>
      <c r="BJ26" s="188">
        <f>$BH26/4</f>
        <v>0</v>
      </c>
      <c r="BK26" s="194"/>
      <c r="BL26" s="195"/>
      <c r="BM26" s="194"/>
      <c r="BN26" s="195"/>
      <c r="BO26" s="194"/>
      <c r="BP26" s="195"/>
      <c r="BQ26" s="185">
        <f>SUM(W26,Y26,AA26,AG26,AS26,BE26)</f>
        <v>0</v>
      </c>
      <c r="BR26" s="184">
        <f>SUM(D26,N26,Z26,AJ26,AV26,BH26)</f>
        <v>0</v>
      </c>
      <c r="BS26" s="194"/>
      <c r="BT26" s="189">
        <v>79.3650793650794</v>
      </c>
      <c r="BU26" s="194"/>
      <c r="BV26" s="189">
        <v>132.275132275132</v>
      </c>
      <c r="BW26" s="194"/>
      <c r="BX26" s="189">
        <v>185.185185185185</v>
      </c>
      <c r="BY26" s="194"/>
      <c r="BZ26" s="195"/>
      <c r="CA26" s="194"/>
      <c r="CB26" s="195"/>
      <c r="CC26" s="194"/>
      <c r="CD26" s="189">
        <v>185.185185185185</v>
      </c>
      <c r="CE26" s="194"/>
      <c r="CF26" s="195"/>
      <c r="CG26" s="194"/>
      <c r="CH26" s="191"/>
      <c r="CI26" s="190"/>
      <c r="CJ26" s="195"/>
      <c r="CK26" s="194"/>
      <c r="CL26" s="195"/>
      <c r="CM26" s="194"/>
      <c r="CN26" s="195"/>
      <c r="CO26" s="194"/>
      <c r="CP26" s="189">
        <v>185.185185185185</v>
      </c>
      <c r="CQ26" s="194"/>
      <c r="CR26" s="195"/>
      <c r="CS26" s="194"/>
      <c r="CT26" s="195"/>
      <c r="CU26" s="194"/>
      <c r="CV26" s="191"/>
      <c r="CW26" s="194"/>
      <c r="CX26" s="195"/>
      <c r="CY26" s="194"/>
      <c r="CZ26" s="195"/>
      <c r="DA26" s="194"/>
      <c r="DB26" s="189">
        <v>185.185185185185</v>
      </c>
      <c r="DC26" s="194"/>
      <c r="DD26" s="195"/>
      <c r="DE26" s="194"/>
      <c r="DF26" s="195"/>
      <c r="DG26" s="194"/>
      <c r="DH26" s="195"/>
      <c r="DI26" s="194"/>
      <c r="DJ26" s="191"/>
      <c r="DK26" s="142"/>
      <c r="DL26" s="187"/>
      <c r="DM26" s="185">
        <f t="shared" ref="DM26:DN26" si="10">SUM(BS26,BU26,BW26,CC26,CO26,DA26)</f>
        <v>0</v>
      </c>
      <c r="DN26" s="184">
        <f t="shared" si="10"/>
        <v>952.3809524</v>
      </c>
      <c r="DO26" s="190">
        <f t="shared" ref="DO26:DP26" si="11">SUM(BQ26,DM26)</f>
        <v>0</v>
      </c>
      <c r="DP26" s="191">
        <f t="shared" si="11"/>
        <v>952.3809524</v>
      </c>
      <c r="DQ26" s="170"/>
      <c r="DR26" s="170"/>
    </row>
    <row r="27" ht="22.5" customHeight="1">
      <c r="A27" s="170"/>
      <c r="B27" s="136" t="s">
        <v>99</v>
      </c>
      <c r="C27" s="142" t="str">
        <f t="shared" ref="C27:DJ27" si="12">C28/C26</f>
        <v>#DIV/0!</v>
      </c>
      <c r="D27" s="143" t="str">
        <f t="shared" si="12"/>
        <v>#DIV/0!</v>
      </c>
      <c r="E27" s="142" t="str">
        <f t="shared" si="12"/>
        <v>#DIV/0!</v>
      </c>
      <c r="F27" s="143" t="str">
        <f t="shared" si="12"/>
        <v>#DIV/0!</v>
      </c>
      <c r="G27" s="142" t="str">
        <f t="shared" si="12"/>
        <v>#DIV/0!</v>
      </c>
      <c r="H27" s="143" t="str">
        <f t="shared" si="12"/>
        <v>#DIV/0!</v>
      </c>
      <c r="I27" s="142" t="str">
        <f t="shared" si="12"/>
        <v>#DIV/0!</v>
      </c>
      <c r="J27" s="143" t="str">
        <f t="shared" si="12"/>
        <v>#DIV/0!</v>
      </c>
      <c r="K27" s="142" t="str">
        <f t="shared" si="12"/>
        <v>#DIV/0!</v>
      </c>
      <c r="L27" s="143" t="str">
        <f t="shared" si="12"/>
        <v>#DIV/0!</v>
      </c>
      <c r="M27" s="142" t="str">
        <f t="shared" si="12"/>
        <v>#DIV/0!</v>
      </c>
      <c r="N27" s="143" t="str">
        <f t="shared" si="12"/>
        <v>#DIV/0!</v>
      </c>
      <c r="O27" s="142" t="str">
        <f t="shared" si="12"/>
        <v>#DIV/0!</v>
      </c>
      <c r="P27" s="143" t="str">
        <f t="shared" si="12"/>
        <v>#DIV/0!</v>
      </c>
      <c r="Q27" s="142" t="str">
        <f t="shared" si="12"/>
        <v>#DIV/0!</v>
      </c>
      <c r="R27" s="143" t="str">
        <f t="shared" si="12"/>
        <v>#DIV/0!</v>
      </c>
      <c r="S27" s="142" t="str">
        <f t="shared" si="12"/>
        <v>#DIV/0!</v>
      </c>
      <c r="T27" s="143" t="str">
        <f t="shared" si="12"/>
        <v>#DIV/0!</v>
      </c>
      <c r="U27" s="142" t="str">
        <f t="shared" si="12"/>
        <v>#DIV/0!</v>
      </c>
      <c r="V27" s="143" t="str">
        <f t="shared" si="12"/>
        <v>#DIV/0!</v>
      </c>
      <c r="W27" s="142" t="str">
        <f t="shared" si="12"/>
        <v>#DIV/0!</v>
      </c>
      <c r="X27" s="143" t="str">
        <f t="shared" si="12"/>
        <v>#DIV/0!</v>
      </c>
      <c r="Y27" s="142" t="str">
        <f t="shared" si="12"/>
        <v>#DIV/0!</v>
      </c>
      <c r="Z27" s="143" t="str">
        <f t="shared" si="12"/>
        <v>#DIV/0!</v>
      </c>
      <c r="AA27" s="142" t="str">
        <f t="shared" si="12"/>
        <v>#DIV/0!</v>
      </c>
      <c r="AB27" s="143" t="str">
        <f t="shared" si="12"/>
        <v>#DIV/0!</v>
      </c>
      <c r="AC27" s="142" t="str">
        <f t="shared" si="12"/>
        <v>#DIV/0!</v>
      </c>
      <c r="AD27" s="143" t="str">
        <f t="shared" si="12"/>
        <v>#DIV/0!</v>
      </c>
      <c r="AE27" s="142" t="str">
        <f t="shared" si="12"/>
        <v>#DIV/0!</v>
      </c>
      <c r="AF27" s="143" t="str">
        <f t="shared" si="12"/>
        <v>#DIV/0!</v>
      </c>
      <c r="AG27" s="142" t="str">
        <f t="shared" si="12"/>
        <v>#DIV/0!</v>
      </c>
      <c r="AH27" s="143" t="str">
        <f t="shared" si="12"/>
        <v>#DIV/0!</v>
      </c>
      <c r="AI27" s="142" t="str">
        <f t="shared" si="12"/>
        <v>#DIV/0!</v>
      </c>
      <c r="AJ27" s="143" t="str">
        <f t="shared" si="12"/>
        <v>#DIV/0!</v>
      </c>
      <c r="AK27" s="142" t="str">
        <f t="shared" si="12"/>
        <v>#DIV/0!</v>
      </c>
      <c r="AL27" s="143" t="str">
        <f t="shared" si="12"/>
        <v>#DIV/0!</v>
      </c>
      <c r="AM27" s="142" t="str">
        <f t="shared" si="12"/>
        <v>#DIV/0!</v>
      </c>
      <c r="AN27" s="143" t="str">
        <f t="shared" si="12"/>
        <v>#DIV/0!</v>
      </c>
      <c r="AO27" s="142" t="str">
        <f t="shared" si="12"/>
        <v>#DIV/0!</v>
      </c>
      <c r="AP27" s="143" t="str">
        <f t="shared" si="12"/>
        <v>#DIV/0!</v>
      </c>
      <c r="AQ27" s="142" t="str">
        <f t="shared" si="12"/>
        <v>#DIV/0!</v>
      </c>
      <c r="AR27" s="143" t="str">
        <f t="shared" si="12"/>
        <v>#DIV/0!</v>
      </c>
      <c r="AS27" s="142" t="str">
        <f t="shared" si="12"/>
        <v>#DIV/0!</v>
      </c>
      <c r="AT27" s="143" t="str">
        <f t="shared" si="12"/>
        <v>#DIV/0!</v>
      </c>
      <c r="AU27" s="142" t="str">
        <f t="shared" si="12"/>
        <v>#DIV/0!</v>
      </c>
      <c r="AV27" s="143" t="str">
        <f t="shared" si="12"/>
        <v>#DIV/0!</v>
      </c>
      <c r="AW27" s="142" t="str">
        <f t="shared" si="12"/>
        <v>#DIV/0!</v>
      </c>
      <c r="AX27" s="143" t="str">
        <f t="shared" si="12"/>
        <v>#DIV/0!</v>
      </c>
      <c r="AY27" s="142" t="str">
        <f t="shared" si="12"/>
        <v>#DIV/0!</v>
      </c>
      <c r="AZ27" s="143" t="str">
        <f t="shared" si="12"/>
        <v>#DIV/0!</v>
      </c>
      <c r="BA27" s="142" t="str">
        <f t="shared" si="12"/>
        <v>#DIV/0!</v>
      </c>
      <c r="BB27" s="143" t="str">
        <f t="shared" si="12"/>
        <v>#DIV/0!</v>
      </c>
      <c r="BC27" s="142" t="str">
        <f t="shared" si="12"/>
        <v>#DIV/0!</v>
      </c>
      <c r="BD27" s="143" t="str">
        <f t="shared" si="12"/>
        <v>#DIV/0!</v>
      </c>
      <c r="BE27" s="142" t="str">
        <f t="shared" si="12"/>
        <v>#DIV/0!</v>
      </c>
      <c r="BF27" s="143" t="str">
        <f t="shared" si="12"/>
        <v>#DIV/0!</v>
      </c>
      <c r="BG27" s="142" t="str">
        <f t="shared" si="12"/>
        <v>#DIV/0!</v>
      </c>
      <c r="BH27" s="143" t="str">
        <f t="shared" si="12"/>
        <v>#DIV/0!</v>
      </c>
      <c r="BI27" s="142" t="str">
        <f t="shared" si="12"/>
        <v>#DIV/0!</v>
      </c>
      <c r="BJ27" s="143" t="str">
        <f t="shared" si="12"/>
        <v>#DIV/0!</v>
      </c>
      <c r="BK27" s="142" t="str">
        <f t="shared" si="12"/>
        <v>#DIV/0!</v>
      </c>
      <c r="BL27" s="143" t="str">
        <f t="shared" si="12"/>
        <v>#DIV/0!</v>
      </c>
      <c r="BM27" s="142" t="str">
        <f t="shared" si="12"/>
        <v>#DIV/0!</v>
      </c>
      <c r="BN27" s="143" t="str">
        <f t="shared" si="12"/>
        <v>#DIV/0!</v>
      </c>
      <c r="BO27" s="142" t="str">
        <f t="shared" si="12"/>
        <v>#DIV/0!</v>
      </c>
      <c r="BP27" s="143" t="str">
        <f t="shared" si="12"/>
        <v>#DIV/0!</v>
      </c>
      <c r="BQ27" s="142" t="str">
        <f t="shared" si="12"/>
        <v>#DIV/0!</v>
      </c>
      <c r="BR27" s="143" t="str">
        <f t="shared" si="12"/>
        <v>#DIV/0!</v>
      </c>
      <c r="BS27" s="142" t="str">
        <f t="shared" si="12"/>
        <v>#DIV/0!</v>
      </c>
      <c r="BT27" s="143">
        <f t="shared" si="12"/>
        <v>0.2</v>
      </c>
      <c r="BU27" s="142" t="str">
        <f t="shared" si="12"/>
        <v>#DIV/0!</v>
      </c>
      <c r="BV27" s="143">
        <f t="shared" si="12"/>
        <v>0.2</v>
      </c>
      <c r="BW27" s="142" t="str">
        <f t="shared" si="12"/>
        <v>#DIV/0!</v>
      </c>
      <c r="BX27" s="143">
        <f t="shared" si="12"/>
        <v>0.2</v>
      </c>
      <c r="BY27" s="142" t="str">
        <f t="shared" si="12"/>
        <v>#DIV/0!</v>
      </c>
      <c r="BZ27" s="143" t="str">
        <f t="shared" si="12"/>
        <v>#DIV/0!</v>
      </c>
      <c r="CA27" s="142" t="str">
        <f t="shared" si="12"/>
        <v>#DIV/0!</v>
      </c>
      <c r="CB27" s="143" t="str">
        <f t="shared" si="12"/>
        <v>#DIV/0!</v>
      </c>
      <c r="CC27" s="142" t="str">
        <f t="shared" si="12"/>
        <v>#DIV/0!</v>
      </c>
      <c r="CD27" s="143">
        <f t="shared" si="12"/>
        <v>0.2</v>
      </c>
      <c r="CE27" s="142" t="str">
        <f t="shared" si="12"/>
        <v>#DIV/0!</v>
      </c>
      <c r="CF27" s="143" t="str">
        <f t="shared" si="12"/>
        <v>#DIV/0!</v>
      </c>
      <c r="CG27" s="142" t="str">
        <f t="shared" si="12"/>
        <v>#DIV/0!</v>
      </c>
      <c r="CH27" s="143" t="str">
        <f t="shared" si="12"/>
        <v>#DIV/0!</v>
      </c>
      <c r="CI27" s="142" t="str">
        <f t="shared" si="12"/>
        <v>#DIV/0!</v>
      </c>
      <c r="CJ27" s="143" t="str">
        <f t="shared" si="12"/>
        <v>#DIV/0!</v>
      </c>
      <c r="CK27" s="142" t="str">
        <f t="shared" si="12"/>
        <v>#DIV/0!</v>
      </c>
      <c r="CL27" s="143" t="str">
        <f t="shared" si="12"/>
        <v>#DIV/0!</v>
      </c>
      <c r="CM27" s="142" t="str">
        <f t="shared" si="12"/>
        <v>#DIV/0!</v>
      </c>
      <c r="CN27" s="143" t="str">
        <f t="shared" si="12"/>
        <v>#DIV/0!</v>
      </c>
      <c r="CO27" s="142" t="str">
        <f t="shared" si="12"/>
        <v>#DIV/0!</v>
      </c>
      <c r="CP27" s="143">
        <f t="shared" si="12"/>
        <v>0.2</v>
      </c>
      <c r="CQ27" s="142" t="str">
        <f t="shared" si="12"/>
        <v>#DIV/0!</v>
      </c>
      <c r="CR27" s="143" t="str">
        <f t="shared" si="12"/>
        <v>#DIV/0!</v>
      </c>
      <c r="CS27" s="142" t="str">
        <f t="shared" si="12"/>
        <v>#DIV/0!</v>
      </c>
      <c r="CT27" s="143" t="str">
        <f t="shared" si="12"/>
        <v>#DIV/0!</v>
      </c>
      <c r="CU27" s="142" t="str">
        <f t="shared" si="12"/>
        <v>#DIV/0!</v>
      </c>
      <c r="CV27" s="143" t="str">
        <f t="shared" si="12"/>
        <v>#DIV/0!</v>
      </c>
      <c r="CW27" s="142" t="str">
        <f t="shared" si="12"/>
        <v>#DIV/0!</v>
      </c>
      <c r="CX27" s="143" t="str">
        <f t="shared" si="12"/>
        <v>#DIV/0!</v>
      </c>
      <c r="CY27" s="142" t="str">
        <f t="shared" si="12"/>
        <v>#DIV/0!</v>
      </c>
      <c r="CZ27" s="143" t="str">
        <f t="shared" si="12"/>
        <v>#DIV/0!</v>
      </c>
      <c r="DA27" s="142" t="str">
        <f t="shared" si="12"/>
        <v>#DIV/0!</v>
      </c>
      <c r="DB27" s="143">
        <f t="shared" si="12"/>
        <v>0.2</v>
      </c>
      <c r="DC27" s="142" t="str">
        <f t="shared" si="12"/>
        <v>#DIV/0!</v>
      </c>
      <c r="DD27" s="143" t="str">
        <f t="shared" si="12"/>
        <v>#DIV/0!</v>
      </c>
      <c r="DE27" s="142" t="str">
        <f t="shared" si="12"/>
        <v>#DIV/0!</v>
      </c>
      <c r="DF27" s="143" t="str">
        <f t="shared" si="12"/>
        <v>#DIV/0!</v>
      </c>
      <c r="DG27" s="142" t="str">
        <f t="shared" si="12"/>
        <v>#DIV/0!</v>
      </c>
      <c r="DH27" s="143" t="str">
        <f t="shared" si="12"/>
        <v>#DIV/0!</v>
      </c>
      <c r="DI27" s="142" t="str">
        <f t="shared" si="12"/>
        <v>#DIV/0!</v>
      </c>
      <c r="DJ27" s="143" t="str">
        <f t="shared" si="12"/>
        <v>#DIV/0!</v>
      </c>
      <c r="DK27" s="176"/>
      <c r="DL27" s="187"/>
      <c r="DM27" s="142" t="str">
        <f t="shared" ref="DM27:DP27" si="13">DM28/DM26</f>
        <v>#DIV/0!</v>
      </c>
      <c r="DN27" s="143">
        <f t="shared" si="13"/>
        <v>0.2</v>
      </c>
      <c r="DO27" s="192" t="str">
        <f t="shared" si="13"/>
        <v>#DIV/0!</v>
      </c>
      <c r="DP27" s="193">
        <f t="shared" si="13"/>
        <v>0.2</v>
      </c>
      <c r="DQ27" s="170"/>
      <c r="DR27" s="170"/>
    </row>
    <row r="28" ht="22.5" customHeight="1">
      <c r="A28" s="170"/>
      <c r="B28" s="136" t="s">
        <v>120</v>
      </c>
      <c r="C28" s="175"/>
      <c r="D28" s="184"/>
      <c r="E28" s="194"/>
      <c r="F28" s="196"/>
      <c r="G28" s="194"/>
      <c r="H28" s="196"/>
      <c r="I28" s="194"/>
      <c r="J28" s="196"/>
      <c r="K28" s="194"/>
      <c r="L28" s="196"/>
      <c r="M28" s="175"/>
      <c r="N28" s="184"/>
      <c r="O28" s="194"/>
      <c r="P28" s="191"/>
      <c r="Q28" s="194"/>
      <c r="R28" s="196"/>
      <c r="S28" s="194"/>
      <c r="T28" s="196"/>
      <c r="U28" s="194"/>
      <c r="V28" s="196"/>
      <c r="W28" s="194"/>
      <c r="X28" s="196"/>
      <c r="Y28" s="194"/>
      <c r="Z28" s="196"/>
      <c r="AA28" s="194"/>
      <c r="AB28" s="196"/>
      <c r="AC28" s="194"/>
      <c r="AD28" s="191"/>
      <c r="AE28" s="195"/>
      <c r="AF28" s="196"/>
      <c r="AG28" s="194"/>
      <c r="AH28" s="196"/>
      <c r="AI28" s="194"/>
      <c r="AJ28" s="196"/>
      <c r="AK28" s="194"/>
      <c r="AL28" s="196"/>
      <c r="AM28" s="194"/>
      <c r="AN28" s="196"/>
      <c r="AO28" s="194"/>
      <c r="AP28" s="196"/>
      <c r="AQ28" s="194"/>
      <c r="AR28" s="191"/>
      <c r="AS28" s="194"/>
      <c r="AT28" s="196"/>
      <c r="AU28" s="176">
        <f>AW28+AY28+BA28+BC28++BE28</f>
        <v>0</v>
      </c>
      <c r="AV28" s="188"/>
      <c r="AW28" s="194"/>
      <c r="AX28" s="187">
        <f>$AV28/5</f>
        <v>0</v>
      </c>
      <c r="AY28" s="194"/>
      <c r="AZ28" s="187">
        <f>$AV28/5</f>
        <v>0</v>
      </c>
      <c r="BA28" s="194"/>
      <c r="BB28" s="187">
        <f>$AV28/5</f>
        <v>0</v>
      </c>
      <c r="BC28" s="194"/>
      <c r="BD28" s="187">
        <f>$AV28/5</f>
        <v>0</v>
      </c>
      <c r="BE28" s="194"/>
      <c r="BF28" s="187">
        <f>$AV28/5</f>
        <v>0</v>
      </c>
      <c r="BG28" s="194"/>
      <c r="BH28" s="188"/>
      <c r="BI28" s="194"/>
      <c r="BJ28" s="188">
        <f>$BH28/4</f>
        <v>0</v>
      </c>
      <c r="BK28" s="194"/>
      <c r="BL28" s="196"/>
      <c r="BM28" s="194"/>
      <c r="BN28" s="196"/>
      <c r="BO28" s="194"/>
      <c r="BP28" s="196"/>
      <c r="BQ28" s="185">
        <f>SUM(W28,Y28,AA28,AG28,AS28,BE28)</f>
        <v>0</v>
      </c>
      <c r="BR28" s="184">
        <f>SUM(D28,N28,Z28,AJ28,AV28,BH28)</f>
        <v>0</v>
      </c>
      <c r="BS28" s="194"/>
      <c r="BT28" s="189">
        <v>15.8730158730159</v>
      </c>
      <c r="BU28" s="194"/>
      <c r="BV28" s="189">
        <v>26.4550264550265</v>
      </c>
      <c r="BW28" s="194"/>
      <c r="BX28" s="189">
        <v>37.037037037037</v>
      </c>
      <c r="BY28" s="194"/>
      <c r="BZ28" s="196"/>
      <c r="CA28" s="194"/>
      <c r="CB28" s="196"/>
      <c r="CC28" s="194"/>
      <c r="CD28" s="189">
        <v>37.037037037037</v>
      </c>
      <c r="CE28" s="194"/>
      <c r="CF28" s="196"/>
      <c r="CG28" s="194"/>
      <c r="CH28" s="191"/>
      <c r="CI28" s="190"/>
      <c r="CJ28" s="196"/>
      <c r="CK28" s="194"/>
      <c r="CL28" s="196"/>
      <c r="CM28" s="194"/>
      <c r="CN28" s="196"/>
      <c r="CO28" s="194"/>
      <c r="CP28" s="189">
        <v>37.037037037037</v>
      </c>
      <c r="CQ28" s="194"/>
      <c r="CR28" s="196"/>
      <c r="CS28" s="194"/>
      <c r="CT28" s="196"/>
      <c r="CU28" s="194"/>
      <c r="CV28" s="191"/>
      <c r="CW28" s="194"/>
      <c r="CX28" s="196"/>
      <c r="CY28" s="194"/>
      <c r="CZ28" s="196"/>
      <c r="DA28" s="194"/>
      <c r="DB28" s="189">
        <v>37.037037037037</v>
      </c>
      <c r="DC28" s="194"/>
      <c r="DD28" s="196"/>
      <c r="DE28" s="194"/>
      <c r="DF28" s="196"/>
      <c r="DG28" s="194"/>
      <c r="DH28" s="196"/>
      <c r="DI28" s="194"/>
      <c r="DJ28" s="191"/>
      <c r="DK28" s="176"/>
      <c r="DL28" s="187"/>
      <c r="DM28" s="185">
        <f t="shared" ref="DM28:DN28" si="14">SUM(BS28,BU28,BW28,CC28,CO28,DA28)</f>
        <v>0</v>
      </c>
      <c r="DN28" s="184">
        <f t="shared" si="14"/>
        <v>190.4761905</v>
      </c>
      <c r="DO28" s="190">
        <f t="shared" ref="DO28:DP28" si="15">SUM(BQ28,DM28)</f>
        <v>0</v>
      </c>
      <c r="DP28" s="191">
        <f t="shared" si="15"/>
        <v>190.4761905</v>
      </c>
      <c r="DQ28" s="170"/>
      <c r="DR28" s="170"/>
    </row>
    <row r="29" ht="22.5" customHeight="1">
      <c r="A29" s="170"/>
      <c r="B29" s="136" t="s">
        <v>101</v>
      </c>
      <c r="C29" s="142" t="str">
        <f t="shared" ref="C29:DJ29" si="16">C30/C28</f>
        <v>#DIV/0!</v>
      </c>
      <c r="D29" s="143" t="str">
        <f t="shared" si="16"/>
        <v>#DIV/0!</v>
      </c>
      <c r="E29" s="142" t="str">
        <f t="shared" si="16"/>
        <v>#DIV/0!</v>
      </c>
      <c r="F29" s="143" t="str">
        <f t="shared" si="16"/>
        <v>#DIV/0!</v>
      </c>
      <c r="G29" s="142" t="str">
        <f t="shared" si="16"/>
        <v>#DIV/0!</v>
      </c>
      <c r="H29" s="143" t="str">
        <f t="shared" si="16"/>
        <v>#DIV/0!</v>
      </c>
      <c r="I29" s="142" t="str">
        <f t="shared" si="16"/>
        <v>#DIV/0!</v>
      </c>
      <c r="J29" s="143" t="str">
        <f t="shared" si="16"/>
        <v>#DIV/0!</v>
      </c>
      <c r="K29" s="142" t="str">
        <f t="shared" si="16"/>
        <v>#DIV/0!</v>
      </c>
      <c r="L29" s="143" t="str">
        <f t="shared" si="16"/>
        <v>#DIV/0!</v>
      </c>
      <c r="M29" s="142" t="str">
        <f t="shared" si="16"/>
        <v>#DIV/0!</v>
      </c>
      <c r="N29" s="143" t="str">
        <f t="shared" si="16"/>
        <v>#DIV/0!</v>
      </c>
      <c r="O29" s="142" t="str">
        <f t="shared" si="16"/>
        <v>#DIV/0!</v>
      </c>
      <c r="P29" s="143" t="str">
        <f t="shared" si="16"/>
        <v>#DIV/0!</v>
      </c>
      <c r="Q29" s="142" t="str">
        <f t="shared" si="16"/>
        <v>#DIV/0!</v>
      </c>
      <c r="R29" s="143" t="str">
        <f t="shared" si="16"/>
        <v>#DIV/0!</v>
      </c>
      <c r="S29" s="142" t="str">
        <f t="shared" si="16"/>
        <v>#DIV/0!</v>
      </c>
      <c r="T29" s="143" t="str">
        <f t="shared" si="16"/>
        <v>#DIV/0!</v>
      </c>
      <c r="U29" s="142" t="str">
        <f t="shared" si="16"/>
        <v>#DIV/0!</v>
      </c>
      <c r="V29" s="143" t="str">
        <f t="shared" si="16"/>
        <v>#DIV/0!</v>
      </c>
      <c r="W29" s="142" t="str">
        <f t="shared" si="16"/>
        <v>#DIV/0!</v>
      </c>
      <c r="X29" s="143" t="str">
        <f t="shared" si="16"/>
        <v>#DIV/0!</v>
      </c>
      <c r="Y29" s="142" t="str">
        <f t="shared" si="16"/>
        <v>#DIV/0!</v>
      </c>
      <c r="Z29" s="143" t="str">
        <f t="shared" si="16"/>
        <v>#DIV/0!</v>
      </c>
      <c r="AA29" s="142" t="str">
        <f t="shared" si="16"/>
        <v>#DIV/0!</v>
      </c>
      <c r="AB29" s="143" t="str">
        <f t="shared" si="16"/>
        <v>#DIV/0!</v>
      </c>
      <c r="AC29" s="142" t="str">
        <f t="shared" si="16"/>
        <v>#DIV/0!</v>
      </c>
      <c r="AD29" s="143" t="str">
        <f t="shared" si="16"/>
        <v>#DIV/0!</v>
      </c>
      <c r="AE29" s="142" t="str">
        <f t="shared" si="16"/>
        <v>#DIV/0!</v>
      </c>
      <c r="AF29" s="143" t="str">
        <f t="shared" si="16"/>
        <v>#DIV/0!</v>
      </c>
      <c r="AG29" s="142" t="str">
        <f t="shared" si="16"/>
        <v>#DIV/0!</v>
      </c>
      <c r="AH29" s="143" t="str">
        <f t="shared" si="16"/>
        <v>#DIV/0!</v>
      </c>
      <c r="AI29" s="142" t="str">
        <f t="shared" si="16"/>
        <v>#DIV/0!</v>
      </c>
      <c r="AJ29" s="143" t="str">
        <f t="shared" si="16"/>
        <v>#DIV/0!</v>
      </c>
      <c r="AK29" s="142" t="str">
        <f t="shared" si="16"/>
        <v>#DIV/0!</v>
      </c>
      <c r="AL29" s="143" t="str">
        <f t="shared" si="16"/>
        <v>#DIV/0!</v>
      </c>
      <c r="AM29" s="142" t="str">
        <f t="shared" si="16"/>
        <v>#DIV/0!</v>
      </c>
      <c r="AN29" s="143" t="str">
        <f t="shared" si="16"/>
        <v>#DIV/0!</v>
      </c>
      <c r="AO29" s="142" t="str">
        <f t="shared" si="16"/>
        <v>#DIV/0!</v>
      </c>
      <c r="AP29" s="143" t="str">
        <f t="shared" si="16"/>
        <v>#DIV/0!</v>
      </c>
      <c r="AQ29" s="142" t="str">
        <f t="shared" si="16"/>
        <v>#DIV/0!</v>
      </c>
      <c r="AR29" s="143" t="str">
        <f t="shared" si="16"/>
        <v>#DIV/0!</v>
      </c>
      <c r="AS29" s="142" t="str">
        <f t="shared" si="16"/>
        <v>#DIV/0!</v>
      </c>
      <c r="AT29" s="143" t="str">
        <f t="shared" si="16"/>
        <v>#DIV/0!</v>
      </c>
      <c r="AU29" s="142" t="str">
        <f t="shared" si="16"/>
        <v>#DIV/0!</v>
      </c>
      <c r="AV29" s="143" t="str">
        <f t="shared" si="16"/>
        <v>#DIV/0!</v>
      </c>
      <c r="AW29" s="142" t="str">
        <f t="shared" si="16"/>
        <v>#DIV/0!</v>
      </c>
      <c r="AX29" s="143" t="str">
        <f t="shared" si="16"/>
        <v>#DIV/0!</v>
      </c>
      <c r="AY29" s="142" t="str">
        <f t="shared" si="16"/>
        <v>#DIV/0!</v>
      </c>
      <c r="AZ29" s="143" t="str">
        <f t="shared" si="16"/>
        <v>#DIV/0!</v>
      </c>
      <c r="BA29" s="142" t="str">
        <f t="shared" si="16"/>
        <v>#DIV/0!</v>
      </c>
      <c r="BB29" s="143" t="str">
        <f t="shared" si="16"/>
        <v>#DIV/0!</v>
      </c>
      <c r="BC29" s="142" t="str">
        <f t="shared" si="16"/>
        <v>#DIV/0!</v>
      </c>
      <c r="BD29" s="143" t="str">
        <f t="shared" si="16"/>
        <v>#DIV/0!</v>
      </c>
      <c r="BE29" s="142" t="str">
        <f t="shared" si="16"/>
        <v>#DIV/0!</v>
      </c>
      <c r="BF29" s="143" t="str">
        <f t="shared" si="16"/>
        <v>#DIV/0!</v>
      </c>
      <c r="BG29" s="142" t="str">
        <f t="shared" si="16"/>
        <v>#DIV/0!</v>
      </c>
      <c r="BH29" s="143" t="str">
        <f t="shared" si="16"/>
        <v>#DIV/0!</v>
      </c>
      <c r="BI29" s="142" t="str">
        <f t="shared" si="16"/>
        <v>#DIV/0!</v>
      </c>
      <c r="BJ29" s="143" t="str">
        <f t="shared" si="16"/>
        <v>#DIV/0!</v>
      </c>
      <c r="BK29" s="142" t="str">
        <f t="shared" si="16"/>
        <v>#DIV/0!</v>
      </c>
      <c r="BL29" s="143" t="str">
        <f t="shared" si="16"/>
        <v>#DIV/0!</v>
      </c>
      <c r="BM29" s="142" t="str">
        <f t="shared" si="16"/>
        <v>#DIV/0!</v>
      </c>
      <c r="BN29" s="143" t="str">
        <f t="shared" si="16"/>
        <v>#DIV/0!</v>
      </c>
      <c r="BO29" s="142" t="str">
        <f t="shared" si="16"/>
        <v>#DIV/0!</v>
      </c>
      <c r="BP29" s="143" t="str">
        <f t="shared" si="16"/>
        <v>#DIV/0!</v>
      </c>
      <c r="BQ29" s="142" t="str">
        <f t="shared" si="16"/>
        <v>#DIV/0!</v>
      </c>
      <c r="BR29" s="143" t="str">
        <f t="shared" si="16"/>
        <v>#DIV/0!</v>
      </c>
      <c r="BS29" s="142" t="str">
        <f t="shared" si="16"/>
        <v>#DIV/0!</v>
      </c>
      <c r="BT29" s="143">
        <f t="shared" si="16"/>
        <v>0.9</v>
      </c>
      <c r="BU29" s="142" t="str">
        <f t="shared" si="16"/>
        <v>#DIV/0!</v>
      </c>
      <c r="BV29" s="143">
        <f t="shared" si="16"/>
        <v>0.9</v>
      </c>
      <c r="BW29" s="142" t="str">
        <f t="shared" si="16"/>
        <v>#DIV/0!</v>
      </c>
      <c r="BX29" s="143">
        <f t="shared" si="16"/>
        <v>0.9</v>
      </c>
      <c r="BY29" s="142" t="str">
        <f t="shared" si="16"/>
        <v>#DIV/0!</v>
      </c>
      <c r="BZ29" s="143" t="str">
        <f t="shared" si="16"/>
        <v>#DIV/0!</v>
      </c>
      <c r="CA29" s="142" t="str">
        <f t="shared" si="16"/>
        <v>#DIV/0!</v>
      </c>
      <c r="CB29" s="143" t="str">
        <f t="shared" si="16"/>
        <v>#DIV/0!</v>
      </c>
      <c r="CC29" s="142" t="str">
        <f t="shared" si="16"/>
        <v>#DIV/0!</v>
      </c>
      <c r="CD29" s="143">
        <f t="shared" si="16"/>
        <v>0.9</v>
      </c>
      <c r="CE29" s="142" t="str">
        <f t="shared" si="16"/>
        <v>#DIV/0!</v>
      </c>
      <c r="CF29" s="143" t="str">
        <f t="shared" si="16"/>
        <v>#DIV/0!</v>
      </c>
      <c r="CG29" s="142" t="str">
        <f t="shared" si="16"/>
        <v>#DIV/0!</v>
      </c>
      <c r="CH29" s="143" t="str">
        <f t="shared" si="16"/>
        <v>#DIV/0!</v>
      </c>
      <c r="CI29" s="142" t="str">
        <f t="shared" si="16"/>
        <v>#DIV/0!</v>
      </c>
      <c r="CJ29" s="143" t="str">
        <f t="shared" si="16"/>
        <v>#DIV/0!</v>
      </c>
      <c r="CK29" s="142" t="str">
        <f t="shared" si="16"/>
        <v>#DIV/0!</v>
      </c>
      <c r="CL29" s="143" t="str">
        <f t="shared" si="16"/>
        <v>#DIV/0!</v>
      </c>
      <c r="CM29" s="142" t="str">
        <f t="shared" si="16"/>
        <v>#DIV/0!</v>
      </c>
      <c r="CN29" s="143" t="str">
        <f t="shared" si="16"/>
        <v>#DIV/0!</v>
      </c>
      <c r="CO29" s="142" t="str">
        <f t="shared" si="16"/>
        <v>#DIV/0!</v>
      </c>
      <c r="CP29" s="143">
        <f t="shared" si="16"/>
        <v>0.9</v>
      </c>
      <c r="CQ29" s="142" t="str">
        <f t="shared" si="16"/>
        <v>#DIV/0!</v>
      </c>
      <c r="CR29" s="143" t="str">
        <f t="shared" si="16"/>
        <v>#DIV/0!</v>
      </c>
      <c r="CS29" s="142" t="str">
        <f t="shared" si="16"/>
        <v>#DIV/0!</v>
      </c>
      <c r="CT29" s="143" t="str">
        <f t="shared" si="16"/>
        <v>#DIV/0!</v>
      </c>
      <c r="CU29" s="142" t="str">
        <f t="shared" si="16"/>
        <v>#DIV/0!</v>
      </c>
      <c r="CV29" s="143" t="str">
        <f t="shared" si="16"/>
        <v>#DIV/0!</v>
      </c>
      <c r="CW29" s="142" t="str">
        <f t="shared" si="16"/>
        <v>#DIV/0!</v>
      </c>
      <c r="CX29" s="143" t="str">
        <f t="shared" si="16"/>
        <v>#DIV/0!</v>
      </c>
      <c r="CY29" s="142" t="str">
        <f t="shared" si="16"/>
        <v>#DIV/0!</v>
      </c>
      <c r="CZ29" s="143" t="str">
        <f t="shared" si="16"/>
        <v>#DIV/0!</v>
      </c>
      <c r="DA29" s="142" t="str">
        <f t="shared" si="16"/>
        <v>#DIV/0!</v>
      </c>
      <c r="DB29" s="143">
        <f t="shared" si="16"/>
        <v>0.9</v>
      </c>
      <c r="DC29" s="142" t="str">
        <f t="shared" si="16"/>
        <v>#DIV/0!</v>
      </c>
      <c r="DD29" s="143" t="str">
        <f t="shared" si="16"/>
        <v>#DIV/0!</v>
      </c>
      <c r="DE29" s="142" t="str">
        <f t="shared" si="16"/>
        <v>#DIV/0!</v>
      </c>
      <c r="DF29" s="143" t="str">
        <f t="shared" si="16"/>
        <v>#DIV/0!</v>
      </c>
      <c r="DG29" s="142" t="str">
        <f t="shared" si="16"/>
        <v>#DIV/0!</v>
      </c>
      <c r="DH29" s="143" t="str">
        <f t="shared" si="16"/>
        <v>#DIV/0!</v>
      </c>
      <c r="DI29" s="142" t="str">
        <f t="shared" si="16"/>
        <v>#DIV/0!</v>
      </c>
      <c r="DJ29" s="143" t="str">
        <f t="shared" si="16"/>
        <v>#DIV/0!</v>
      </c>
      <c r="DK29" s="176"/>
      <c r="DL29" s="187"/>
      <c r="DM29" s="142" t="str">
        <f t="shared" ref="DM29:DP29" si="17">DM30/DM28</f>
        <v>#DIV/0!</v>
      </c>
      <c r="DN29" s="143">
        <f t="shared" si="17"/>
        <v>0.9</v>
      </c>
      <c r="DO29" s="192" t="str">
        <f t="shared" si="17"/>
        <v>#DIV/0!</v>
      </c>
      <c r="DP29" s="193">
        <f t="shared" si="17"/>
        <v>0.9</v>
      </c>
      <c r="DQ29" s="170"/>
      <c r="DR29" s="170"/>
    </row>
    <row r="30" ht="22.5" customHeight="1">
      <c r="A30" s="197"/>
      <c r="B30" s="149" t="s">
        <v>121</v>
      </c>
      <c r="C30" s="175"/>
      <c r="D30" s="184"/>
      <c r="E30" s="175">
        <v>49.0</v>
      </c>
      <c r="F30" s="184">
        <v>40.0</v>
      </c>
      <c r="G30" s="194"/>
      <c r="H30" s="195"/>
      <c r="I30" s="194"/>
      <c r="J30" s="195"/>
      <c r="K30" s="194"/>
      <c r="L30" s="195"/>
      <c r="M30" s="175"/>
      <c r="N30" s="184"/>
      <c r="O30" s="194"/>
      <c r="P30" s="191"/>
      <c r="Q30" s="194"/>
      <c r="R30" s="195"/>
      <c r="S30" s="194"/>
      <c r="T30" s="195"/>
      <c r="U30" s="194"/>
      <c r="V30" s="195"/>
      <c r="W30" s="194"/>
      <c r="X30" s="195"/>
      <c r="Y30" s="194"/>
      <c r="Z30" s="195"/>
      <c r="AA30" s="194"/>
      <c r="AB30" s="195"/>
      <c r="AC30" s="194"/>
      <c r="AD30" s="191"/>
      <c r="AE30" s="195"/>
      <c r="AF30" s="195"/>
      <c r="AG30" s="194"/>
      <c r="AH30" s="195"/>
      <c r="AI30" s="194"/>
      <c r="AJ30" s="195"/>
      <c r="AK30" s="194"/>
      <c r="AL30" s="195"/>
      <c r="AM30" s="194"/>
      <c r="AN30" s="195"/>
      <c r="AO30" s="194"/>
      <c r="AP30" s="195"/>
      <c r="AQ30" s="194"/>
      <c r="AR30" s="191"/>
      <c r="AS30" s="194"/>
      <c r="AT30" s="195"/>
      <c r="AU30" s="176">
        <f>AW30+AY30+BA30+BC30++BE30</f>
        <v>0</v>
      </c>
      <c r="AV30" s="188"/>
      <c r="AW30" s="194"/>
      <c r="AX30" s="187">
        <f>$AV30/5</f>
        <v>0</v>
      </c>
      <c r="AY30" s="194"/>
      <c r="AZ30" s="187">
        <f>$AV30/5</f>
        <v>0</v>
      </c>
      <c r="BA30" s="194"/>
      <c r="BB30" s="187">
        <f>$AV30/5</f>
        <v>0</v>
      </c>
      <c r="BC30" s="194"/>
      <c r="BD30" s="187">
        <f>$AV30/5</f>
        <v>0</v>
      </c>
      <c r="BE30" s="194"/>
      <c r="BF30" s="187">
        <f>$AV30/5</f>
        <v>0</v>
      </c>
      <c r="BG30" s="194"/>
      <c r="BH30" s="188"/>
      <c r="BI30" s="194"/>
      <c r="BJ30" s="188">
        <f>$BH30/4</f>
        <v>0</v>
      </c>
      <c r="BK30" s="194"/>
      <c r="BL30" s="195"/>
      <c r="BM30" s="194"/>
      <c r="BN30" s="195"/>
      <c r="BO30" s="194"/>
      <c r="BP30" s="195"/>
      <c r="BQ30" s="185">
        <f>SUM(W30,Y30,AA30,AG30,AS30,BE30)</f>
        <v>0</v>
      </c>
      <c r="BR30" s="184">
        <f>SUM(D30,N30,Z30,AJ30,AV30,BH30)</f>
        <v>0</v>
      </c>
      <c r="BS30" s="194"/>
      <c r="BT30" s="189">
        <v>14.2857142857143</v>
      </c>
      <c r="BU30" s="194"/>
      <c r="BV30" s="189">
        <v>23.8095238095238</v>
      </c>
      <c r="BW30" s="194"/>
      <c r="BX30" s="189">
        <v>33.3333333333333</v>
      </c>
      <c r="BY30" s="194"/>
      <c r="BZ30" s="195"/>
      <c r="CA30" s="194"/>
      <c r="CB30" s="195"/>
      <c r="CC30" s="194"/>
      <c r="CD30" s="189">
        <v>33.3333333333333</v>
      </c>
      <c r="CE30" s="194"/>
      <c r="CF30" s="195"/>
      <c r="CG30" s="194"/>
      <c r="CH30" s="191"/>
      <c r="CI30" s="195"/>
      <c r="CJ30" s="195"/>
      <c r="CK30" s="194"/>
      <c r="CL30" s="195"/>
      <c r="CM30" s="194"/>
      <c r="CN30" s="195"/>
      <c r="CO30" s="194"/>
      <c r="CP30" s="189">
        <v>33.3333333333333</v>
      </c>
      <c r="CQ30" s="194"/>
      <c r="CR30" s="195"/>
      <c r="CS30" s="194"/>
      <c r="CT30" s="195"/>
      <c r="CU30" s="194"/>
      <c r="CV30" s="191"/>
      <c r="CW30" s="194"/>
      <c r="CX30" s="195"/>
      <c r="CY30" s="194"/>
      <c r="CZ30" s="195"/>
      <c r="DA30" s="194"/>
      <c r="DB30" s="189">
        <v>33.3333333333333</v>
      </c>
      <c r="DC30" s="194"/>
      <c r="DD30" s="195"/>
      <c r="DE30" s="194"/>
      <c r="DF30" s="195"/>
      <c r="DG30" s="194"/>
      <c r="DH30" s="195"/>
      <c r="DI30" s="194"/>
      <c r="DJ30" s="191"/>
      <c r="DK30" s="176"/>
      <c r="DL30" s="187"/>
      <c r="DM30" s="185">
        <f t="shared" ref="DM30:DN30" si="18">SUM(BS30,BU30,BW30,CC30,CO30,DA30)</f>
        <v>0</v>
      </c>
      <c r="DN30" s="184">
        <f t="shared" si="18"/>
        <v>171.4285714</v>
      </c>
      <c r="DO30" s="190">
        <f t="shared" ref="DO30:DP30" si="19">SUM(BQ30,DM30)</f>
        <v>0</v>
      </c>
      <c r="DP30" s="191">
        <f t="shared" si="19"/>
        <v>171.4285714</v>
      </c>
      <c r="DQ30" s="170"/>
      <c r="DR30" s="170"/>
    </row>
    <row r="31" ht="22.5" customHeight="1">
      <c r="A31" s="170"/>
      <c r="B31" s="136" t="s">
        <v>122</v>
      </c>
      <c r="C31" s="142" t="str">
        <f t="shared" ref="C31:DJ31" si="20">C32/C30</f>
        <v>#DIV/0!</v>
      </c>
      <c r="D31" s="143" t="str">
        <f t="shared" si="20"/>
        <v>#DIV/0!</v>
      </c>
      <c r="E31" s="142">
        <f t="shared" si="20"/>
        <v>1</v>
      </c>
      <c r="F31" s="143">
        <f t="shared" si="20"/>
        <v>1</v>
      </c>
      <c r="G31" s="142" t="str">
        <f t="shared" si="20"/>
        <v>#DIV/0!</v>
      </c>
      <c r="H31" s="143" t="str">
        <f t="shared" si="20"/>
        <v>#DIV/0!</v>
      </c>
      <c r="I31" s="142" t="str">
        <f t="shared" si="20"/>
        <v>#DIV/0!</v>
      </c>
      <c r="J31" s="143" t="str">
        <f t="shared" si="20"/>
        <v>#DIV/0!</v>
      </c>
      <c r="K31" s="142" t="str">
        <f t="shared" si="20"/>
        <v>#DIV/0!</v>
      </c>
      <c r="L31" s="143" t="str">
        <f t="shared" si="20"/>
        <v>#DIV/0!</v>
      </c>
      <c r="M31" s="142" t="str">
        <f t="shared" si="20"/>
        <v>#DIV/0!</v>
      </c>
      <c r="N31" s="143" t="str">
        <f t="shared" si="20"/>
        <v>#DIV/0!</v>
      </c>
      <c r="O31" s="142" t="str">
        <f t="shared" si="20"/>
        <v>#DIV/0!</v>
      </c>
      <c r="P31" s="143" t="str">
        <f t="shared" si="20"/>
        <v>#DIV/0!</v>
      </c>
      <c r="Q31" s="142" t="str">
        <f t="shared" si="20"/>
        <v>#DIV/0!</v>
      </c>
      <c r="R31" s="143" t="str">
        <f t="shared" si="20"/>
        <v>#DIV/0!</v>
      </c>
      <c r="S31" s="142" t="str">
        <f t="shared" si="20"/>
        <v>#DIV/0!</v>
      </c>
      <c r="T31" s="143" t="str">
        <f t="shared" si="20"/>
        <v>#DIV/0!</v>
      </c>
      <c r="U31" s="142" t="str">
        <f t="shared" si="20"/>
        <v>#DIV/0!</v>
      </c>
      <c r="V31" s="143" t="str">
        <f t="shared" si="20"/>
        <v>#DIV/0!</v>
      </c>
      <c r="W31" s="142" t="str">
        <f t="shared" si="20"/>
        <v>#DIV/0!</v>
      </c>
      <c r="X31" s="143" t="str">
        <f t="shared" si="20"/>
        <v>#DIV/0!</v>
      </c>
      <c r="Y31" s="142" t="str">
        <f t="shared" si="20"/>
        <v>#DIV/0!</v>
      </c>
      <c r="Z31" s="143" t="str">
        <f t="shared" si="20"/>
        <v>#DIV/0!</v>
      </c>
      <c r="AA31" s="142" t="str">
        <f t="shared" si="20"/>
        <v>#DIV/0!</v>
      </c>
      <c r="AB31" s="143" t="str">
        <f t="shared" si="20"/>
        <v>#DIV/0!</v>
      </c>
      <c r="AC31" s="142" t="str">
        <f t="shared" si="20"/>
        <v>#DIV/0!</v>
      </c>
      <c r="AD31" s="143" t="str">
        <f t="shared" si="20"/>
        <v>#DIV/0!</v>
      </c>
      <c r="AE31" s="142" t="str">
        <f t="shared" si="20"/>
        <v>#DIV/0!</v>
      </c>
      <c r="AF31" s="143" t="str">
        <f t="shared" si="20"/>
        <v>#DIV/0!</v>
      </c>
      <c r="AG31" s="142" t="str">
        <f t="shared" si="20"/>
        <v>#DIV/0!</v>
      </c>
      <c r="AH31" s="143" t="str">
        <f t="shared" si="20"/>
        <v>#DIV/0!</v>
      </c>
      <c r="AI31" s="142" t="str">
        <f t="shared" si="20"/>
        <v>#DIV/0!</v>
      </c>
      <c r="AJ31" s="143" t="str">
        <f t="shared" si="20"/>
        <v>#DIV/0!</v>
      </c>
      <c r="AK31" s="142" t="str">
        <f t="shared" si="20"/>
        <v>#DIV/0!</v>
      </c>
      <c r="AL31" s="143" t="str">
        <f t="shared" si="20"/>
        <v>#DIV/0!</v>
      </c>
      <c r="AM31" s="142" t="str">
        <f t="shared" si="20"/>
        <v>#DIV/0!</v>
      </c>
      <c r="AN31" s="143" t="str">
        <f t="shared" si="20"/>
        <v>#DIV/0!</v>
      </c>
      <c r="AO31" s="142" t="str">
        <f t="shared" si="20"/>
        <v>#DIV/0!</v>
      </c>
      <c r="AP31" s="143" t="str">
        <f t="shared" si="20"/>
        <v>#DIV/0!</v>
      </c>
      <c r="AQ31" s="142" t="str">
        <f t="shared" si="20"/>
        <v>#DIV/0!</v>
      </c>
      <c r="AR31" s="143" t="str">
        <f t="shared" si="20"/>
        <v>#DIV/0!</v>
      </c>
      <c r="AS31" s="142" t="str">
        <f t="shared" si="20"/>
        <v>#DIV/0!</v>
      </c>
      <c r="AT31" s="143" t="str">
        <f t="shared" si="20"/>
        <v>#DIV/0!</v>
      </c>
      <c r="AU31" s="142" t="str">
        <f t="shared" si="20"/>
        <v>#DIV/0!</v>
      </c>
      <c r="AV31" s="143" t="str">
        <f t="shared" si="20"/>
        <v>#DIV/0!</v>
      </c>
      <c r="AW31" s="142" t="str">
        <f t="shared" si="20"/>
        <v>#DIV/0!</v>
      </c>
      <c r="AX31" s="143" t="str">
        <f t="shared" si="20"/>
        <v>#DIV/0!</v>
      </c>
      <c r="AY31" s="142" t="str">
        <f t="shared" si="20"/>
        <v>#DIV/0!</v>
      </c>
      <c r="AZ31" s="143" t="str">
        <f t="shared" si="20"/>
        <v>#DIV/0!</v>
      </c>
      <c r="BA31" s="142" t="str">
        <f t="shared" si="20"/>
        <v>#DIV/0!</v>
      </c>
      <c r="BB31" s="143" t="str">
        <f t="shared" si="20"/>
        <v>#DIV/0!</v>
      </c>
      <c r="BC31" s="142" t="str">
        <f t="shared" si="20"/>
        <v>#DIV/0!</v>
      </c>
      <c r="BD31" s="143" t="str">
        <f t="shared" si="20"/>
        <v>#DIV/0!</v>
      </c>
      <c r="BE31" s="142" t="str">
        <f t="shared" si="20"/>
        <v>#DIV/0!</v>
      </c>
      <c r="BF31" s="143" t="str">
        <f t="shared" si="20"/>
        <v>#DIV/0!</v>
      </c>
      <c r="BG31" s="142" t="str">
        <f t="shared" si="20"/>
        <v>#DIV/0!</v>
      </c>
      <c r="BH31" s="143" t="str">
        <f t="shared" si="20"/>
        <v>#DIV/0!</v>
      </c>
      <c r="BI31" s="142" t="str">
        <f t="shared" si="20"/>
        <v>#DIV/0!</v>
      </c>
      <c r="BJ31" s="143" t="str">
        <f t="shared" si="20"/>
        <v>#DIV/0!</v>
      </c>
      <c r="BK31" s="142" t="str">
        <f t="shared" si="20"/>
        <v>#DIV/0!</v>
      </c>
      <c r="BL31" s="143" t="str">
        <f t="shared" si="20"/>
        <v>#DIV/0!</v>
      </c>
      <c r="BM31" s="142" t="str">
        <f t="shared" si="20"/>
        <v>#DIV/0!</v>
      </c>
      <c r="BN31" s="143" t="str">
        <f t="shared" si="20"/>
        <v>#DIV/0!</v>
      </c>
      <c r="BO31" s="142" t="str">
        <f t="shared" si="20"/>
        <v>#DIV/0!</v>
      </c>
      <c r="BP31" s="143" t="str">
        <f t="shared" si="20"/>
        <v>#DIV/0!</v>
      </c>
      <c r="BQ31" s="142" t="str">
        <f t="shared" si="20"/>
        <v>#DIV/0!</v>
      </c>
      <c r="BR31" s="143" t="str">
        <f t="shared" si="20"/>
        <v>#DIV/0!</v>
      </c>
      <c r="BS31" s="142" t="str">
        <f t="shared" si="20"/>
        <v>#DIV/0!</v>
      </c>
      <c r="BT31" s="143">
        <f t="shared" si="20"/>
        <v>0.6</v>
      </c>
      <c r="BU31" s="142" t="str">
        <f t="shared" si="20"/>
        <v>#DIV/0!</v>
      </c>
      <c r="BV31" s="143">
        <f t="shared" si="20"/>
        <v>0.6</v>
      </c>
      <c r="BW31" s="142" t="str">
        <f t="shared" si="20"/>
        <v>#DIV/0!</v>
      </c>
      <c r="BX31" s="143">
        <f t="shared" si="20"/>
        <v>0.6</v>
      </c>
      <c r="BY31" s="142" t="str">
        <f t="shared" si="20"/>
        <v>#DIV/0!</v>
      </c>
      <c r="BZ31" s="143" t="str">
        <f t="shared" si="20"/>
        <v>#DIV/0!</v>
      </c>
      <c r="CA31" s="142" t="str">
        <f t="shared" si="20"/>
        <v>#DIV/0!</v>
      </c>
      <c r="CB31" s="143" t="str">
        <f t="shared" si="20"/>
        <v>#DIV/0!</v>
      </c>
      <c r="CC31" s="142" t="str">
        <f t="shared" si="20"/>
        <v>#DIV/0!</v>
      </c>
      <c r="CD31" s="143">
        <f t="shared" si="20"/>
        <v>0.6</v>
      </c>
      <c r="CE31" s="142" t="str">
        <f t="shared" si="20"/>
        <v>#DIV/0!</v>
      </c>
      <c r="CF31" s="143" t="str">
        <f t="shared" si="20"/>
        <v>#DIV/0!</v>
      </c>
      <c r="CG31" s="142" t="str">
        <f t="shared" si="20"/>
        <v>#DIV/0!</v>
      </c>
      <c r="CH31" s="143" t="str">
        <f t="shared" si="20"/>
        <v>#DIV/0!</v>
      </c>
      <c r="CI31" s="142" t="str">
        <f t="shared" si="20"/>
        <v>#DIV/0!</v>
      </c>
      <c r="CJ31" s="143" t="str">
        <f t="shared" si="20"/>
        <v>#DIV/0!</v>
      </c>
      <c r="CK31" s="142" t="str">
        <f t="shared" si="20"/>
        <v>#DIV/0!</v>
      </c>
      <c r="CL31" s="143" t="str">
        <f t="shared" si="20"/>
        <v>#DIV/0!</v>
      </c>
      <c r="CM31" s="142" t="str">
        <f t="shared" si="20"/>
        <v>#DIV/0!</v>
      </c>
      <c r="CN31" s="143" t="str">
        <f t="shared" si="20"/>
        <v>#DIV/0!</v>
      </c>
      <c r="CO31" s="142" t="str">
        <f t="shared" si="20"/>
        <v>#DIV/0!</v>
      </c>
      <c r="CP31" s="143">
        <f t="shared" si="20"/>
        <v>0.6</v>
      </c>
      <c r="CQ31" s="142" t="str">
        <f t="shared" si="20"/>
        <v>#DIV/0!</v>
      </c>
      <c r="CR31" s="143" t="str">
        <f t="shared" si="20"/>
        <v>#DIV/0!</v>
      </c>
      <c r="CS31" s="142" t="str">
        <f t="shared" si="20"/>
        <v>#DIV/0!</v>
      </c>
      <c r="CT31" s="143" t="str">
        <f t="shared" si="20"/>
        <v>#DIV/0!</v>
      </c>
      <c r="CU31" s="142" t="str">
        <f t="shared" si="20"/>
        <v>#DIV/0!</v>
      </c>
      <c r="CV31" s="143" t="str">
        <f t="shared" si="20"/>
        <v>#DIV/0!</v>
      </c>
      <c r="CW31" s="142" t="str">
        <f t="shared" si="20"/>
        <v>#DIV/0!</v>
      </c>
      <c r="CX31" s="143" t="str">
        <f t="shared" si="20"/>
        <v>#DIV/0!</v>
      </c>
      <c r="CY31" s="142" t="str">
        <f t="shared" si="20"/>
        <v>#DIV/0!</v>
      </c>
      <c r="CZ31" s="143" t="str">
        <f t="shared" si="20"/>
        <v>#DIV/0!</v>
      </c>
      <c r="DA31" s="142" t="str">
        <f t="shared" si="20"/>
        <v>#DIV/0!</v>
      </c>
      <c r="DB31" s="143">
        <f t="shared" si="20"/>
        <v>0.6</v>
      </c>
      <c r="DC31" s="142" t="str">
        <f t="shared" si="20"/>
        <v>#DIV/0!</v>
      </c>
      <c r="DD31" s="143" t="str">
        <f t="shared" si="20"/>
        <v>#DIV/0!</v>
      </c>
      <c r="DE31" s="142" t="str">
        <f t="shared" si="20"/>
        <v>#DIV/0!</v>
      </c>
      <c r="DF31" s="143" t="str">
        <f t="shared" si="20"/>
        <v>#DIV/0!</v>
      </c>
      <c r="DG31" s="142" t="str">
        <f t="shared" si="20"/>
        <v>#DIV/0!</v>
      </c>
      <c r="DH31" s="143" t="str">
        <f t="shared" si="20"/>
        <v>#DIV/0!</v>
      </c>
      <c r="DI31" s="142" t="str">
        <f t="shared" si="20"/>
        <v>#DIV/0!</v>
      </c>
      <c r="DJ31" s="143" t="str">
        <f t="shared" si="20"/>
        <v>#DIV/0!</v>
      </c>
      <c r="DK31" s="176"/>
      <c r="DL31" s="187"/>
      <c r="DM31" s="142" t="str">
        <f t="shared" ref="DM31:DP31" si="21">DM32/DM30</f>
        <v>#DIV/0!</v>
      </c>
      <c r="DN31" s="143">
        <f t="shared" si="21"/>
        <v>0.6</v>
      </c>
      <c r="DO31" s="192" t="str">
        <f t="shared" si="21"/>
        <v>#DIV/0!</v>
      </c>
      <c r="DP31" s="193">
        <f t="shared" si="21"/>
        <v>0.6</v>
      </c>
      <c r="DQ31" s="170"/>
      <c r="DR31" s="170"/>
    </row>
    <row r="32" ht="22.5" customHeight="1">
      <c r="A32" s="198"/>
      <c r="B32" s="155" t="s">
        <v>123</v>
      </c>
      <c r="C32" s="175"/>
      <c r="D32" s="184"/>
      <c r="E32" s="175">
        <v>49.0</v>
      </c>
      <c r="F32" s="199">
        <v>40.0</v>
      </c>
      <c r="G32" s="200"/>
      <c r="H32" s="201"/>
      <c r="I32" s="200"/>
      <c r="J32" s="201"/>
      <c r="K32" s="200"/>
      <c r="L32" s="201"/>
      <c r="M32" s="175"/>
      <c r="N32" s="199"/>
      <c r="O32" s="200"/>
      <c r="P32" s="201"/>
      <c r="Q32" s="200"/>
      <c r="R32" s="201"/>
      <c r="S32" s="200"/>
      <c r="T32" s="201"/>
      <c r="U32" s="200"/>
      <c r="V32" s="201"/>
      <c r="W32" s="200"/>
      <c r="X32" s="201"/>
      <c r="Y32" s="200"/>
      <c r="Z32" s="201"/>
      <c r="AA32" s="200"/>
      <c r="AB32" s="201"/>
      <c r="AC32" s="200"/>
      <c r="AD32" s="201"/>
      <c r="AE32" s="201"/>
      <c r="AF32" s="201"/>
      <c r="AG32" s="200"/>
      <c r="AH32" s="201"/>
      <c r="AI32" s="200"/>
      <c r="AJ32" s="201"/>
      <c r="AK32" s="200"/>
      <c r="AL32" s="201"/>
      <c r="AM32" s="200"/>
      <c r="AN32" s="201"/>
      <c r="AO32" s="200"/>
      <c r="AP32" s="201"/>
      <c r="AQ32" s="200"/>
      <c r="AR32" s="201"/>
      <c r="AS32" s="200"/>
      <c r="AT32" s="201"/>
      <c r="AU32" s="200"/>
      <c r="AV32" s="188"/>
      <c r="AW32" s="200"/>
      <c r="AX32" s="187">
        <f>$AV32/5</f>
        <v>0</v>
      </c>
      <c r="AY32" s="200"/>
      <c r="AZ32" s="187">
        <f>$AV32/5</f>
        <v>0</v>
      </c>
      <c r="BA32" s="200"/>
      <c r="BB32" s="187">
        <f>$AV32/5</f>
        <v>0</v>
      </c>
      <c r="BC32" s="200"/>
      <c r="BD32" s="187">
        <f>$AV32/5</f>
        <v>0</v>
      </c>
      <c r="BE32" s="200"/>
      <c r="BF32" s="187">
        <f>$AV32/5</f>
        <v>0</v>
      </c>
      <c r="BG32" s="200"/>
      <c r="BH32" s="188"/>
      <c r="BI32" s="200"/>
      <c r="BJ32" s="188">
        <f>$BH32/4</f>
        <v>0</v>
      </c>
      <c r="BK32" s="200"/>
      <c r="BL32" s="201"/>
      <c r="BM32" s="200"/>
      <c r="BN32" s="201"/>
      <c r="BO32" s="200"/>
      <c r="BP32" s="201"/>
      <c r="BQ32" s="202">
        <f>SUM(W32,Y32,AA32,AG32,AS32,BE32)</f>
        <v>0</v>
      </c>
      <c r="BR32" s="184">
        <f>SUM(D32,N32,Z32,AJ32,AV32,BH32)</f>
        <v>0</v>
      </c>
      <c r="BS32" s="200"/>
      <c r="BT32" s="189">
        <v>8.57142857142857</v>
      </c>
      <c r="BU32" s="200"/>
      <c r="BV32" s="189">
        <v>14.2857142857143</v>
      </c>
      <c r="BW32" s="200"/>
      <c r="BX32" s="189">
        <v>20.0</v>
      </c>
      <c r="BY32" s="200"/>
      <c r="BZ32" s="201"/>
      <c r="CA32" s="200"/>
      <c r="CB32" s="201"/>
      <c r="CC32" s="200"/>
      <c r="CD32" s="189">
        <v>20.0</v>
      </c>
      <c r="CE32" s="200"/>
      <c r="CF32" s="201"/>
      <c r="CG32" s="200"/>
      <c r="CH32" s="201"/>
      <c r="CI32" s="201"/>
      <c r="CJ32" s="201"/>
      <c r="CK32" s="200"/>
      <c r="CL32" s="201"/>
      <c r="CM32" s="200"/>
      <c r="CN32" s="201"/>
      <c r="CO32" s="200"/>
      <c r="CP32" s="189">
        <v>20.0</v>
      </c>
      <c r="CQ32" s="200"/>
      <c r="CR32" s="201"/>
      <c r="CS32" s="200"/>
      <c r="CT32" s="201"/>
      <c r="CU32" s="200"/>
      <c r="CV32" s="201"/>
      <c r="CW32" s="200"/>
      <c r="CX32" s="201"/>
      <c r="CY32" s="200"/>
      <c r="CZ32" s="201"/>
      <c r="DA32" s="200"/>
      <c r="DB32" s="189">
        <v>20.0</v>
      </c>
      <c r="DC32" s="200"/>
      <c r="DD32" s="201"/>
      <c r="DE32" s="200"/>
      <c r="DF32" s="201"/>
      <c r="DG32" s="200"/>
      <c r="DH32" s="201"/>
      <c r="DI32" s="200"/>
      <c r="DJ32" s="201"/>
      <c r="DK32" s="203"/>
      <c r="DL32" s="204"/>
      <c r="DM32" s="202">
        <f t="shared" ref="DM32:DN32" si="22">SUM(BS32,BU32,BW32,CC32,CO32,DA32)</f>
        <v>0</v>
      </c>
      <c r="DN32" s="184">
        <f t="shared" si="22"/>
        <v>102.8571429</v>
      </c>
      <c r="DO32" s="205">
        <f t="shared" ref="DO32:DP32" si="23">SUM(BQ32,DM32)</f>
        <v>0</v>
      </c>
      <c r="DP32" s="191">
        <f t="shared" si="23"/>
        <v>102.8571429</v>
      </c>
      <c r="DQ32" s="170"/>
      <c r="DR32" s="170"/>
    </row>
    <row r="33" ht="22.5" customHeight="1">
      <c r="A33" s="198"/>
      <c r="B33" s="155" t="s">
        <v>124</v>
      </c>
      <c r="C33" s="142" t="str">
        <f t="shared" ref="C33:DJ33" si="24">C34/C32</f>
        <v>#DIV/0!</v>
      </c>
      <c r="D33" s="143" t="str">
        <f t="shared" si="24"/>
        <v>#DIV/0!</v>
      </c>
      <c r="E33" s="142">
        <f t="shared" si="24"/>
        <v>0.1020408163</v>
      </c>
      <c r="F33" s="143">
        <f t="shared" si="24"/>
        <v>0</v>
      </c>
      <c r="G33" s="142" t="str">
        <f t="shared" si="24"/>
        <v>#DIV/0!</v>
      </c>
      <c r="H33" s="143" t="str">
        <f t="shared" si="24"/>
        <v>#DIV/0!</v>
      </c>
      <c r="I33" s="142" t="str">
        <f t="shared" si="24"/>
        <v>#DIV/0!</v>
      </c>
      <c r="J33" s="143" t="str">
        <f t="shared" si="24"/>
        <v>#DIV/0!</v>
      </c>
      <c r="K33" s="142" t="str">
        <f t="shared" si="24"/>
        <v>#DIV/0!</v>
      </c>
      <c r="L33" s="143" t="str">
        <f t="shared" si="24"/>
        <v>#DIV/0!</v>
      </c>
      <c r="M33" s="142" t="str">
        <f t="shared" si="24"/>
        <v>#DIV/0!</v>
      </c>
      <c r="N33" s="143" t="str">
        <f t="shared" si="24"/>
        <v>#DIV/0!</v>
      </c>
      <c r="O33" s="142" t="str">
        <f t="shared" si="24"/>
        <v>#DIV/0!</v>
      </c>
      <c r="P33" s="143" t="str">
        <f t="shared" si="24"/>
        <v>#DIV/0!</v>
      </c>
      <c r="Q33" s="142" t="str">
        <f t="shared" si="24"/>
        <v>#DIV/0!</v>
      </c>
      <c r="R33" s="143" t="str">
        <f t="shared" si="24"/>
        <v>#DIV/0!</v>
      </c>
      <c r="S33" s="142" t="str">
        <f t="shared" si="24"/>
        <v>#DIV/0!</v>
      </c>
      <c r="T33" s="143" t="str">
        <f t="shared" si="24"/>
        <v>#DIV/0!</v>
      </c>
      <c r="U33" s="142" t="str">
        <f t="shared" si="24"/>
        <v>#DIV/0!</v>
      </c>
      <c r="V33" s="143" t="str">
        <f t="shared" si="24"/>
        <v>#DIV/0!</v>
      </c>
      <c r="W33" s="142" t="str">
        <f t="shared" si="24"/>
        <v>#DIV/0!</v>
      </c>
      <c r="X33" s="143" t="str">
        <f t="shared" si="24"/>
        <v>#DIV/0!</v>
      </c>
      <c r="Y33" s="142" t="str">
        <f t="shared" si="24"/>
        <v>#DIV/0!</v>
      </c>
      <c r="Z33" s="143" t="str">
        <f t="shared" si="24"/>
        <v>#DIV/0!</v>
      </c>
      <c r="AA33" s="142" t="str">
        <f t="shared" si="24"/>
        <v>#DIV/0!</v>
      </c>
      <c r="AB33" s="143" t="str">
        <f t="shared" si="24"/>
        <v>#DIV/0!</v>
      </c>
      <c r="AC33" s="142" t="str">
        <f t="shared" si="24"/>
        <v>#DIV/0!</v>
      </c>
      <c r="AD33" s="143" t="str">
        <f t="shared" si="24"/>
        <v>#DIV/0!</v>
      </c>
      <c r="AE33" s="142" t="str">
        <f t="shared" si="24"/>
        <v>#DIV/0!</v>
      </c>
      <c r="AF33" s="143" t="str">
        <f t="shared" si="24"/>
        <v>#DIV/0!</v>
      </c>
      <c r="AG33" s="142" t="str">
        <f t="shared" si="24"/>
        <v>#DIV/0!</v>
      </c>
      <c r="AH33" s="143" t="str">
        <f t="shared" si="24"/>
        <v>#DIV/0!</v>
      </c>
      <c r="AI33" s="142" t="str">
        <f t="shared" si="24"/>
        <v>#DIV/0!</v>
      </c>
      <c r="AJ33" s="143" t="str">
        <f t="shared" si="24"/>
        <v>#DIV/0!</v>
      </c>
      <c r="AK33" s="142" t="str">
        <f t="shared" si="24"/>
        <v>#DIV/0!</v>
      </c>
      <c r="AL33" s="143" t="str">
        <f t="shared" si="24"/>
        <v>#DIV/0!</v>
      </c>
      <c r="AM33" s="142" t="str">
        <f t="shared" si="24"/>
        <v>#DIV/0!</v>
      </c>
      <c r="AN33" s="143" t="str">
        <f t="shared" si="24"/>
        <v>#DIV/0!</v>
      </c>
      <c r="AO33" s="142" t="str">
        <f t="shared" si="24"/>
        <v>#DIV/0!</v>
      </c>
      <c r="AP33" s="143" t="str">
        <f t="shared" si="24"/>
        <v>#DIV/0!</v>
      </c>
      <c r="AQ33" s="142" t="str">
        <f t="shared" si="24"/>
        <v>#DIV/0!</v>
      </c>
      <c r="AR33" s="143" t="str">
        <f t="shared" si="24"/>
        <v>#DIV/0!</v>
      </c>
      <c r="AS33" s="142" t="str">
        <f t="shared" si="24"/>
        <v>#DIV/0!</v>
      </c>
      <c r="AT33" s="143" t="str">
        <f t="shared" si="24"/>
        <v>#DIV/0!</v>
      </c>
      <c r="AU33" s="142" t="str">
        <f t="shared" si="24"/>
        <v>#DIV/0!</v>
      </c>
      <c r="AV33" s="143" t="str">
        <f t="shared" si="24"/>
        <v>#DIV/0!</v>
      </c>
      <c r="AW33" s="142" t="str">
        <f t="shared" si="24"/>
        <v>#DIV/0!</v>
      </c>
      <c r="AX33" s="143" t="str">
        <f t="shared" si="24"/>
        <v>#DIV/0!</v>
      </c>
      <c r="AY33" s="142" t="str">
        <f t="shared" si="24"/>
        <v>#DIV/0!</v>
      </c>
      <c r="AZ33" s="143" t="str">
        <f t="shared" si="24"/>
        <v>#DIV/0!</v>
      </c>
      <c r="BA33" s="142" t="str">
        <f t="shared" si="24"/>
        <v>#DIV/0!</v>
      </c>
      <c r="BB33" s="143" t="str">
        <f t="shared" si="24"/>
        <v>#DIV/0!</v>
      </c>
      <c r="BC33" s="142" t="str">
        <f t="shared" si="24"/>
        <v>#DIV/0!</v>
      </c>
      <c r="BD33" s="143" t="str">
        <f t="shared" si="24"/>
        <v>#DIV/0!</v>
      </c>
      <c r="BE33" s="142" t="str">
        <f t="shared" si="24"/>
        <v>#DIV/0!</v>
      </c>
      <c r="BF33" s="143" t="str">
        <f t="shared" si="24"/>
        <v>#DIV/0!</v>
      </c>
      <c r="BG33" s="142" t="str">
        <f t="shared" si="24"/>
        <v>#DIV/0!</v>
      </c>
      <c r="BH33" s="143" t="str">
        <f t="shared" si="24"/>
        <v>#DIV/0!</v>
      </c>
      <c r="BI33" s="142" t="str">
        <f t="shared" si="24"/>
        <v>#DIV/0!</v>
      </c>
      <c r="BJ33" s="143" t="str">
        <f t="shared" si="24"/>
        <v>#DIV/0!</v>
      </c>
      <c r="BK33" s="142" t="str">
        <f t="shared" si="24"/>
        <v>#DIV/0!</v>
      </c>
      <c r="BL33" s="143" t="str">
        <f t="shared" si="24"/>
        <v>#DIV/0!</v>
      </c>
      <c r="BM33" s="142" t="str">
        <f t="shared" si="24"/>
        <v>#DIV/0!</v>
      </c>
      <c r="BN33" s="143" t="str">
        <f t="shared" si="24"/>
        <v>#DIV/0!</v>
      </c>
      <c r="BO33" s="142" t="str">
        <f t="shared" si="24"/>
        <v>#DIV/0!</v>
      </c>
      <c r="BP33" s="143" t="str">
        <f t="shared" si="24"/>
        <v>#DIV/0!</v>
      </c>
      <c r="BQ33" s="142" t="str">
        <f t="shared" si="24"/>
        <v>#DIV/0!</v>
      </c>
      <c r="BR33" s="143" t="str">
        <f t="shared" si="24"/>
        <v>#DIV/0!</v>
      </c>
      <c r="BS33" s="142" t="str">
        <f t="shared" si="24"/>
        <v>#DIV/0!</v>
      </c>
      <c r="BT33" s="143">
        <f t="shared" si="24"/>
        <v>0.35</v>
      </c>
      <c r="BU33" s="142" t="str">
        <f t="shared" si="24"/>
        <v>#DIV/0!</v>
      </c>
      <c r="BV33" s="143">
        <f t="shared" si="24"/>
        <v>0.35</v>
      </c>
      <c r="BW33" s="142" t="str">
        <f t="shared" si="24"/>
        <v>#DIV/0!</v>
      </c>
      <c r="BX33" s="143">
        <f t="shared" si="24"/>
        <v>0.35</v>
      </c>
      <c r="BY33" s="142" t="str">
        <f t="shared" si="24"/>
        <v>#DIV/0!</v>
      </c>
      <c r="BZ33" s="143" t="str">
        <f t="shared" si="24"/>
        <v>#DIV/0!</v>
      </c>
      <c r="CA33" s="142" t="str">
        <f t="shared" si="24"/>
        <v>#DIV/0!</v>
      </c>
      <c r="CB33" s="143" t="str">
        <f t="shared" si="24"/>
        <v>#DIV/0!</v>
      </c>
      <c r="CC33" s="142" t="str">
        <f t="shared" si="24"/>
        <v>#DIV/0!</v>
      </c>
      <c r="CD33" s="143">
        <f t="shared" si="24"/>
        <v>0.35</v>
      </c>
      <c r="CE33" s="142" t="str">
        <f t="shared" si="24"/>
        <v>#DIV/0!</v>
      </c>
      <c r="CF33" s="143" t="str">
        <f t="shared" si="24"/>
        <v>#DIV/0!</v>
      </c>
      <c r="CG33" s="142" t="str">
        <f t="shared" si="24"/>
        <v>#DIV/0!</v>
      </c>
      <c r="CH33" s="143" t="str">
        <f t="shared" si="24"/>
        <v>#DIV/0!</v>
      </c>
      <c r="CI33" s="142" t="str">
        <f t="shared" si="24"/>
        <v>#DIV/0!</v>
      </c>
      <c r="CJ33" s="143" t="str">
        <f t="shared" si="24"/>
        <v>#DIV/0!</v>
      </c>
      <c r="CK33" s="142" t="str">
        <f t="shared" si="24"/>
        <v>#DIV/0!</v>
      </c>
      <c r="CL33" s="143" t="str">
        <f t="shared" si="24"/>
        <v>#DIV/0!</v>
      </c>
      <c r="CM33" s="142" t="str">
        <f t="shared" si="24"/>
        <v>#DIV/0!</v>
      </c>
      <c r="CN33" s="143" t="str">
        <f t="shared" si="24"/>
        <v>#DIV/0!</v>
      </c>
      <c r="CO33" s="142" t="str">
        <f t="shared" si="24"/>
        <v>#DIV/0!</v>
      </c>
      <c r="CP33" s="143">
        <f t="shared" si="24"/>
        <v>0.35</v>
      </c>
      <c r="CQ33" s="142" t="str">
        <f t="shared" si="24"/>
        <v>#DIV/0!</v>
      </c>
      <c r="CR33" s="143" t="str">
        <f t="shared" si="24"/>
        <v>#DIV/0!</v>
      </c>
      <c r="CS33" s="142" t="str">
        <f t="shared" si="24"/>
        <v>#DIV/0!</v>
      </c>
      <c r="CT33" s="143" t="str">
        <f t="shared" si="24"/>
        <v>#DIV/0!</v>
      </c>
      <c r="CU33" s="142" t="str">
        <f t="shared" si="24"/>
        <v>#DIV/0!</v>
      </c>
      <c r="CV33" s="143" t="str">
        <f t="shared" si="24"/>
        <v>#DIV/0!</v>
      </c>
      <c r="CW33" s="142" t="str">
        <f t="shared" si="24"/>
        <v>#DIV/0!</v>
      </c>
      <c r="CX33" s="143" t="str">
        <f t="shared" si="24"/>
        <v>#DIV/0!</v>
      </c>
      <c r="CY33" s="142" t="str">
        <f t="shared" si="24"/>
        <v>#DIV/0!</v>
      </c>
      <c r="CZ33" s="143" t="str">
        <f t="shared" si="24"/>
        <v>#DIV/0!</v>
      </c>
      <c r="DA33" s="142" t="str">
        <f t="shared" si="24"/>
        <v>#DIV/0!</v>
      </c>
      <c r="DB33" s="143">
        <f t="shared" si="24"/>
        <v>0.35</v>
      </c>
      <c r="DC33" s="142" t="str">
        <f t="shared" si="24"/>
        <v>#DIV/0!</v>
      </c>
      <c r="DD33" s="143" t="str">
        <f t="shared" si="24"/>
        <v>#DIV/0!</v>
      </c>
      <c r="DE33" s="142" t="str">
        <f t="shared" si="24"/>
        <v>#DIV/0!</v>
      </c>
      <c r="DF33" s="143" t="str">
        <f t="shared" si="24"/>
        <v>#DIV/0!</v>
      </c>
      <c r="DG33" s="142" t="str">
        <f t="shared" si="24"/>
        <v>#DIV/0!</v>
      </c>
      <c r="DH33" s="143" t="str">
        <f t="shared" si="24"/>
        <v>#DIV/0!</v>
      </c>
      <c r="DI33" s="142" t="str">
        <f t="shared" si="24"/>
        <v>#DIV/0!</v>
      </c>
      <c r="DJ33" s="143" t="str">
        <f t="shared" si="24"/>
        <v>#DIV/0!</v>
      </c>
      <c r="DK33" s="203"/>
      <c r="DL33" s="204"/>
      <c r="DM33" s="142" t="str">
        <f t="shared" ref="DM33:DP33" si="25">DM34/DM32</f>
        <v>#DIV/0!</v>
      </c>
      <c r="DN33" s="143">
        <f t="shared" si="25"/>
        <v>0.35</v>
      </c>
      <c r="DO33" s="192" t="str">
        <f t="shared" si="25"/>
        <v>#DIV/0!</v>
      </c>
      <c r="DP33" s="193">
        <f t="shared" si="25"/>
        <v>0.35</v>
      </c>
      <c r="DQ33" s="170"/>
      <c r="DR33" s="170"/>
    </row>
    <row r="34" ht="22.5" customHeight="1">
      <c r="A34" s="198"/>
      <c r="B34" s="159" t="s">
        <v>144</v>
      </c>
      <c r="C34" s="175"/>
      <c r="D34" s="199"/>
      <c r="E34" s="175">
        <v>5.0</v>
      </c>
      <c r="F34" s="199"/>
      <c r="G34" s="185"/>
      <c r="H34" s="185"/>
      <c r="I34" s="185"/>
      <c r="J34" s="185"/>
      <c r="K34" s="185"/>
      <c r="L34" s="185"/>
      <c r="M34" s="175"/>
      <c r="N34" s="199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6"/>
      <c r="AA34" s="185"/>
      <c r="AB34" s="177"/>
      <c r="AC34" s="185"/>
      <c r="AD34" s="177"/>
      <c r="AE34" s="185"/>
      <c r="AF34" s="177"/>
      <c r="AG34" s="185"/>
      <c r="AH34" s="177"/>
      <c r="AI34" s="185"/>
      <c r="AJ34" s="186"/>
      <c r="AK34" s="185"/>
      <c r="AL34" s="206"/>
      <c r="AM34" s="185"/>
      <c r="AN34" s="206"/>
      <c r="AO34" s="185"/>
      <c r="AP34" s="206"/>
      <c r="AQ34" s="185"/>
      <c r="AR34" s="206"/>
      <c r="AS34" s="185"/>
      <c r="AT34" s="187"/>
      <c r="AU34" s="185"/>
      <c r="AV34" s="186"/>
      <c r="AW34" s="185"/>
      <c r="AX34" s="187">
        <f t="shared" ref="AX34:AX35" si="28">$AV34/5</f>
        <v>0</v>
      </c>
      <c r="AY34" s="185"/>
      <c r="AZ34" s="187">
        <f t="shared" ref="AZ34:AZ35" si="29">$AV34/5</f>
        <v>0</v>
      </c>
      <c r="BA34" s="185"/>
      <c r="BB34" s="187">
        <f t="shared" ref="BB34:BB35" si="30">$AV34/5</f>
        <v>0</v>
      </c>
      <c r="BC34" s="185"/>
      <c r="BD34" s="187">
        <f t="shared" ref="BD34:BD35" si="31">$AV34/5</f>
        <v>0</v>
      </c>
      <c r="BE34" s="185"/>
      <c r="BF34" s="187">
        <f t="shared" ref="BF34:BF35" si="32">$AV34/5</f>
        <v>0</v>
      </c>
      <c r="BG34" s="185"/>
      <c r="BH34" s="186"/>
      <c r="BI34" s="185"/>
      <c r="BJ34" s="188">
        <f>$BH34/4</f>
        <v>0</v>
      </c>
      <c r="BK34" s="185"/>
      <c r="BL34" s="187"/>
      <c r="BM34" s="185"/>
      <c r="BN34" s="187"/>
      <c r="BO34" s="185"/>
      <c r="BP34" s="187"/>
      <c r="BQ34" s="202">
        <f t="shared" ref="BQ34:BQ35" si="33">SUM(W34,Y34,AA34,AG34,AS34,BE34)</f>
        <v>0</v>
      </c>
      <c r="BR34" s="184">
        <f>SUM(D34,N34,Z34,AJ34,AV34,BH34)</f>
        <v>0</v>
      </c>
      <c r="BS34" s="185"/>
      <c r="BT34" s="189">
        <v>3.0</v>
      </c>
      <c r="BU34" s="185"/>
      <c r="BV34" s="189">
        <v>5.0</v>
      </c>
      <c r="BW34" s="185"/>
      <c r="BX34" s="189">
        <v>7.0</v>
      </c>
      <c r="BY34" s="176"/>
      <c r="BZ34" s="177"/>
      <c r="CA34" s="176"/>
      <c r="CB34" s="177"/>
      <c r="CC34" s="185"/>
      <c r="CD34" s="189">
        <v>7.0</v>
      </c>
      <c r="CE34" s="176"/>
      <c r="CF34" s="187"/>
      <c r="CG34" s="176"/>
      <c r="CH34" s="187"/>
      <c r="CI34" s="176"/>
      <c r="CJ34" s="187"/>
      <c r="CK34" s="176"/>
      <c r="CL34" s="187"/>
      <c r="CM34" s="176"/>
      <c r="CN34" s="187"/>
      <c r="CO34" s="185"/>
      <c r="CP34" s="189">
        <v>7.0</v>
      </c>
      <c r="CQ34" s="176"/>
      <c r="CR34" s="187"/>
      <c r="CS34" s="176"/>
      <c r="CT34" s="187"/>
      <c r="CU34" s="176"/>
      <c r="CV34" s="187"/>
      <c r="CW34" s="176"/>
      <c r="CX34" s="187"/>
      <c r="CY34" s="176"/>
      <c r="CZ34" s="187"/>
      <c r="DA34" s="185"/>
      <c r="DB34" s="189">
        <v>7.0</v>
      </c>
      <c r="DC34" s="176"/>
      <c r="DD34" s="187"/>
      <c r="DE34" s="176"/>
      <c r="DF34" s="187"/>
      <c r="DG34" s="176"/>
      <c r="DH34" s="187"/>
      <c r="DI34" s="176"/>
      <c r="DJ34" s="187"/>
      <c r="DK34" s="176"/>
      <c r="DL34" s="187"/>
      <c r="DM34" s="202">
        <f t="shared" ref="DM34:DN34" si="26">SUM(BS34,BU34,BW34,CC34,CO34,DA34)</f>
        <v>0</v>
      </c>
      <c r="DN34" s="184">
        <f t="shared" si="26"/>
        <v>36</v>
      </c>
      <c r="DO34" s="205">
        <f t="shared" ref="DO34:DP34" si="27">SUM(BQ34,DM34)</f>
        <v>0</v>
      </c>
      <c r="DP34" s="191">
        <f t="shared" si="27"/>
        <v>36</v>
      </c>
      <c r="DQ34" s="170"/>
      <c r="DR34" s="170"/>
    </row>
    <row r="35" ht="22.5" customHeight="1">
      <c r="A35" s="198"/>
      <c r="B35" s="159" t="s">
        <v>126</v>
      </c>
      <c r="C35" s="207"/>
      <c r="D35" s="199"/>
      <c r="E35" s="207">
        <v>6831.0</v>
      </c>
      <c r="F35" s="199">
        <v>9000.0</v>
      </c>
      <c r="G35" s="185"/>
      <c r="H35" s="185"/>
      <c r="I35" s="185"/>
      <c r="J35" s="185"/>
      <c r="K35" s="185"/>
      <c r="L35" s="185"/>
      <c r="M35" s="207"/>
      <c r="N35" s="199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6"/>
      <c r="AA35" s="185"/>
      <c r="AB35" s="177"/>
      <c r="AC35" s="185"/>
      <c r="AD35" s="177"/>
      <c r="AE35" s="185"/>
      <c r="AF35" s="177"/>
      <c r="AG35" s="185"/>
      <c r="AH35" s="177"/>
      <c r="AI35" s="185"/>
      <c r="AJ35" s="186"/>
      <c r="AK35" s="185"/>
      <c r="AL35" s="206"/>
      <c r="AM35" s="185"/>
      <c r="AN35" s="206"/>
      <c r="AO35" s="185"/>
      <c r="AP35" s="206"/>
      <c r="AQ35" s="185"/>
      <c r="AR35" s="206"/>
      <c r="AS35" s="185"/>
      <c r="AT35" s="187"/>
      <c r="AU35" s="185"/>
      <c r="AV35" s="199">
        <f>AV34*$B$17</f>
        <v>0</v>
      </c>
      <c r="AW35" s="185"/>
      <c r="AX35" s="204">
        <f t="shared" si="28"/>
        <v>0</v>
      </c>
      <c r="AY35" s="185"/>
      <c r="AZ35" s="204">
        <f t="shared" si="29"/>
        <v>0</v>
      </c>
      <c r="BA35" s="185"/>
      <c r="BB35" s="204">
        <f t="shared" si="30"/>
        <v>0</v>
      </c>
      <c r="BC35" s="185"/>
      <c r="BD35" s="204">
        <f t="shared" si="31"/>
        <v>0</v>
      </c>
      <c r="BE35" s="185"/>
      <c r="BF35" s="204">
        <f t="shared" si="32"/>
        <v>0</v>
      </c>
      <c r="BG35" s="185"/>
      <c r="BH35" s="199">
        <f>BH34*$B$17</f>
        <v>0</v>
      </c>
      <c r="BI35" s="185"/>
      <c r="BJ35" s="187"/>
      <c r="BK35" s="185"/>
      <c r="BL35" s="187"/>
      <c r="BM35" s="185"/>
      <c r="BN35" s="187"/>
      <c r="BO35" s="185"/>
      <c r="BP35" s="187"/>
      <c r="BQ35" s="208">
        <f t="shared" si="33"/>
        <v>0</v>
      </c>
      <c r="BR35" s="199">
        <f>BR34*$B$17</f>
        <v>0</v>
      </c>
      <c r="BS35" s="185"/>
      <c r="BT35" s="199">
        <v>6000.0</v>
      </c>
      <c r="BU35" s="185"/>
      <c r="BV35" s="199">
        <v>10000.0</v>
      </c>
      <c r="BW35" s="185"/>
      <c r="BX35" s="199">
        <v>14000.0</v>
      </c>
      <c r="BY35" s="176"/>
      <c r="BZ35" s="177"/>
      <c r="CA35" s="176"/>
      <c r="CB35" s="177"/>
      <c r="CC35" s="185"/>
      <c r="CD35" s="199">
        <v>14000.0</v>
      </c>
      <c r="CE35" s="176"/>
      <c r="CF35" s="187"/>
      <c r="CG35" s="176"/>
      <c r="CH35" s="187"/>
      <c r="CI35" s="176"/>
      <c r="CJ35" s="187"/>
      <c r="CK35" s="176"/>
      <c r="CL35" s="187"/>
      <c r="CM35" s="176"/>
      <c r="CN35" s="187"/>
      <c r="CO35" s="185"/>
      <c r="CP35" s="199">
        <v>14000.0</v>
      </c>
      <c r="CQ35" s="176"/>
      <c r="CR35" s="187"/>
      <c r="CS35" s="176"/>
      <c r="CT35" s="187"/>
      <c r="CU35" s="176"/>
      <c r="CV35" s="187"/>
      <c r="CW35" s="176"/>
      <c r="CX35" s="187"/>
      <c r="CY35" s="176"/>
      <c r="CZ35" s="187"/>
      <c r="DA35" s="185"/>
      <c r="DB35" s="199">
        <v>14000.0</v>
      </c>
      <c r="DC35" s="176"/>
      <c r="DD35" s="187"/>
      <c r="DE35" s="176"/>
      <c r="DF35" s="187"/>
      <c r="DG35" s="176"/>
      <c r="DH35" s="187"/>
      <c r="DI35" s="176"/>
      <c r="DJ35" s="187"/>
      <c r="DK35" s="176"/>
      <c r="DL35" s="187"/>
      <c r="DM35" s="208">
        <f t="shared" ref="DM35:DN35" si="34">SUM(BS35,BU35,BW35,CC35,CO35,DA35)</f>
        <v>0</v>
      </c>
      <c r="DN35" s="199">
        <f t="shared" si="34"/>
        <v>72000</v>
      </c>
      <c r="DO35" s="209">
        <f t="shared" ref="DO35:DP35" si="35">SUM(BQ35,DM35)</f>
        <v>0</v>
      </c>
      <c r="DP35" s="201">
        <f t="shared" si="35"/>
        <v>72000</v>
      </c>
      <c r="DQ35" s="170"/>
      <c r="DR35" s="170"/>
    </row>
    <row r="36" ht="22.5" customHeight="1">
      <c r="A36" s="198"/>
      <c r="B36" s="210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6"/>
      <c r="DQ36" s="170"/>
      <c r="DR36" s="170"/>
    </row>
    <row r="37" ht="22.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  <c r="BT37" s="170"/>
      <c r="BU37" s="170"/>
      <c r="BV37" s="170"/>
      <c r="BW37" s="170"/>
      <c r="BX37" s="170"/>
      <c r="BY37" s="170"/>
      <c r="BZ37" s="170"/>
      <c r="CA37" s="170"/>
      <c r="CB37" s="170"/>
      <c r="CC37" s="170"/>
      <c r="CD37" s="170"/>
      <c r="CE37" s="170"/>
      <c r="CF37" s="170"/>
      <c r="CG37" s="170"/>
      <c r="CH37" s="170"/>
      <c r="CI37" s="170"/>
      <c r="CJ37" s="170"/>
      <c r="CK37" s="170"/>
      <c r="CL37" s="170"/>
      <c r="CM37" s="170"/>
      <c r="CN37" s="170"/>
      <c r="CO37" s="170"/>
      <c r="CP37" s="170"/>
      <c r="CQ37" s="170"/>
      <c r="CR37" s="170"/>
      <c r="CS37" s="170"/>
      <c r="CT37" s="170"/>
      <c r="CU37" s="170"/>
      <c r="CV37" s="170"/>
      <c r="CW37" s="170"/>
      <c r="CX37" s="170"/>
      <c r="CY37" s="170"/>
      <c r="CZ37" s="170"/>
      <c r="DA37" s="170"/>
      <c r="DB37" s="170"/>
      <c r="DC37" s="170"/>
      <c r="DD37" s="170"/>
      <c r="DE37" s="170"/>
      <c r="DF37" s="170"/>
      <c r="DG37" s="170"/>
      <c r="DH37" s="170"/>
      <c r="DI37" s="170"/>
      <c r="DJ37" s="170"/>
      <c r="DK37" s="170"/>
      <c r="DL37" s="170"/>
      <c r="DM37" s="170"/>
      <c r="DN37" s="170"/>
      <c r="DO37" s="170"/>
      <c r="DP37" s="170"/>
      <c r="DQ37" s="170"/>
      <c r="DR37" s="170"/>
    </row>
    <row r="38" ht="15.75" customHeight="1">
      <c r="B38" s="34"/>
      <c r="E38" s="34"/>
      <c r="F38" s="34"/>
      <c r="G38" s="34"/>
      <c r="H38" s="34"/>
      <c r="I38" s="34"/>
      <c r="J38" s="34"/>
      <c r="K38" s="34"/>
      <c r="L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AA38" s="34"/>
      <c r="AB38" s="34"/>
      <c r="AC38" s="34"/>
      <c r="AD38" s="34"/>
      <c r="AE38" s="34"/>
      <c r="AF38" s="34"/>
      <c r="AG38" s="34"/>
      <c r="AH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I38" s="34"/>
      <c r="BJ38" s="34"/>
      <c r="BK38" s="34"/>
      <c r="BL38" s="34"/>
      <c r="BM38" s="34"/>
      <c r="BN38" s="34"/>
      <c r="BO38" s="34"/>
      <c r="BP38" s="34"/>
      <c r="BY38" s="34"/>
      <c r="BZ38" s="34"/>
      <c r="CA38" s="34"/>
      <c r="CB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</row>
    <row r="39" ht="15.75" customHeight="1">
      <c r="B39" s="34"/>
      <c r="E39" s="34"/>
      <c r="F39" s="34"/>
      <c r="G39" s="34"/>
      <c r="H39" s="34"/>
      <c r="I39" s="34"/>
      <c r="J39" s="34"/>
      <c r="K39" s="34"/>
      <c r="L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AA39" s="34"/>
      <c r="AB39" s="34"/>
      <c r="AC39" s="34"/>
      <c r="AD39" s="34"/>
      <c r="AE39" s="34"/>
      <c r="AF39" s="34"/>
      <c r="AG39" s="34"/>
      <c r="AH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I39" s="34"/>
      <c r="BJ39" s="34"/>
      <c r="BK39" s="34"/>
      <c r="BL39" s="34"/>
      <c r="BM39" s="34"/>
      <c r="BN39" s="34"/>
      <c r="BO39" s="34"/>
      <c r="BP39" s="34"/>
      <c r="BY39" s="34"/>
      <c r="BZ39" s="34"/>
      <c r="CA39" s="34"/>
      <c r="CB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</row>
    <row r="40" ht="15.75" customHeight="1">
      <c r="B40" s="34"/>
      <c r="E40" s="34"/>
      <c r="F40" s="34"/>
      <c r="G40" s="34"/>
      <c r="H40" s="34"/>
      <c r="I40" s="34"/>
      <c r="J40" s="34"/>
      <c r="K40" s="34"/>
      <c r="L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AA40" s="34"/>
      <c r="AB40" s="34"/>
      <c r="AC40" s="34"/>
      <c r="AD40" s="34"/>
      <c r="AE40" s="34"/>
      <c r="AF40" s="34"/>
      <c r="AG40" s="34"/>
      <c r="AH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I40" s="34"/>
      <c r="BJ40" s="34"/>
      <c r="BK40" s="34"/>
      <c r="BL40" s="34"/>
      <c r="BM40" s="34"/>
      <c r="BN40" s="34"/>
      <c r="BO40" s="34"/>
      <c r="BP40" s="34"/>
      <c r="BY40" s="34"/>
      <c r="BZ40" s="34"/>
      <c r="CA40" s="34"/>
      <c r="CB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</row>
    <row r="41" ht="15.75" customHeight="1">
      <c r="B41" s="34"/>
      <c r="E41" s="34"/>
      <c r="F41" s="34"/>
      <c r="G41" s="34"/>
      <c r="H41" s="34"/>
      <c r="I41" s="34"/>
      <c r="J41" s="34"/>
      <c r="K41" s="34"/>
      <c r="L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AA41" s="34"/>
      <c r="AB41" s="34"/>
      <c r="AC41" s="34"/>
      <c r="AD41" s="34"/>
      <c r="AE41" s="34"/>
      <c r="AF41" s="34"/>
      <c r="AG41" s="34"/>
      <c r="AH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I41" s="34"/>
      <c r="BJ41" s="34"/>
      <c r="BK41" s="34"/>
      <c r="BL41" s="34"/>
      <c r="BM41" s="34"/>
      <c r="BN41" s="34"/>
      <c r="BO41" s="34"/>
      <c r="BP41" s="34"/>
      <c r="BY41" s="34"/>
      <c r="BZ41" s="34"/>
      <c r="CA41" s="34"/>
      <c r="CB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</row>
    <row r="42" ht="15.75" customHeight="1">
      <c r="B42" s="34"/>
      <c r="E42" s="34"/>
      <c r="F42" s="34"/>
      <c r="G42" s="34"/>
      <c r="H42" s="34"/>
      <c r="I42" s="34"/>
      <c r="J42" s="34"/>
      <c r="K42" s="34"/>
      <c r="L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AA42" s="34"/>
      <c r="AB42" s="34"/>
      <c r="AC42" s="34"/>
      <c r="AD42" s="34"/>
      <c r="AE42" s="34"/>
      <c r="AF42" s="34"/>
      <c r="AG42" s="34"/>
      <c r="AH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I42" s="34"/>
      <c r="BJ42" s="34"/>
      <c r="BK42" s="34"/>
      <c r="BL42" s="34"/>
      <c r="BM42" s="34"/>
      <c r="BN42" s="34"/>
      <c r="BO42" s="34"/>
      <c r="BP42" s="34"/>
      <c r="BY42" s="34"/>
      <c r="BZ42" s="34"/>
      <c r="CA42" s="34"/>
      <c r="CB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</row>
    <row r="43" ht="15.75" customHeight="1">
      <c r="B43" s="34"/>
      <c r="E43" s="34"/>
      <c r="F43" s="34"/>
      <c r="G43" s="34"/>
      <c r="H43" s="34"/>
      <c r="I43" s="34"/>
      <c r="J43" s="34"/>
      <c r="K43" s="34"/>
      <c r="L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AA43" s="34"/>
      <c r="AB43" s="34"/>
      <c r="AC43" s="34"/>
      <c r="AD43" s="34"/>
      <c r="AE43" s="34"/>
      <c r="AF43" s="34"/>
      <c r="AG43" s="34"/>
      <c r="AH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I43" s="34"/>
      <c r="BJ43" s="34"/>
      <c r="BK43" s="34"/>
      <c r="BL43" s="34"/>
      <c r="BM43" s="34"/>
      <c r="BN43" s="34"/>
      <c r="BO43" s="34"/>
      <c r="BP43" s="34"/>
      <c r="BY43" s="34"/>
      <c r="BZ43" s="34"/>
      <c r="CA43" s="34"/>
      <c r="CB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</row>
    <row r="44" ht="15.75" customHeight="1">
      <c r="B44" s="34"/>
      <c r="E44" s="34"/>
      <c r="F44" s="34"/>
      <c r="G44" s="34"/>
      <c r="H44" s="34"/>
      <c r="I44" s="34"/>
      <c r="J44" s="34"/>
      <c r="K44" s="34"/>
      <c r="L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AA44" s="34"/>
      <c r="AB44" s="34"/>
      <c r="AC44" s="34"/>
      <c r="AD44" s="34"/>
      <c r="AE44" s="34"/>
      <c r="AF44" s="34"/>
      <c r="AG44" s="34"/>
      <c r="AH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I44" s="34"/>
      <c r="BJ44" s="34"/>
      <c r="BK44" s="34"/>
      <c r="BL44" s="34"/>
      <c r="BM44" s="34"/>
      <c r="BN44" s="34"/>
      <c r="BO44" s="34"/>
      <c r="BP44" s="34"/>
      <c r="BY44" s="34"/>
      <c r="BZ44" s="34"/>
      <c r="CA44" s="34"/>
      <c r="CB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</row>
    <row r="45" ht="15.75" customHeight="1">
      <c r="B45" s="34"/>
      <c r="E45" s="34"/>
      <c r="F45" s="34"/>
      <c r="G45" s="34"/>
      <c r="H45" s="34"/>
      <c r="I45" s="34"/>
      <c r="J45" s="34"/>
      <c r="K45" s="34"/>
      <c r="L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AA45" s="34"/>
      <c r="AB45" s="34"/>
      <c r="AC45" s="34"/>
      <c r="AD45" s="34"/>
      <c r="AE45" s="34"/>
      <c r="AF45" s="34"/>
      <c r="AG45" s="34"/>
      <c r="AH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I45" s="34"/>
      <c r="BJ45" s="34"/>
      <c r="BK45" s="34"/>
      <c r="BL45" s="34"/>
      <c r="BM45" s="34"/>
      <c r="BN45" s="34"/>
      <c r="BO45" s="34"/>
      <c r="BP45" s="34"/>
      <c r="BY45" s="34"/>
      <c r="BZ45" s="34"/>
      <c r="CA45" s="34"/>
      <c r="CB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</row>
    <row r="46" ht="15.75" customHeight="1">
      <c r="B46" s="34"/>
      <c r="E46" s="34"/>
      <c r="F46" s="34"/>
      <c r="G46" s="34"/>
      <c r="H46" s="34"/>
      <c r="I46" s="34"/>
      <c r="J46" s="34"/>
      <c r="K46" s="34"/>
      <c r="L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AA46" s="34"/>
      <c r="AB46" s="34"/>
      <c r="AC46" s="34"/>
      <c r="AD46" s="34"/>
      <c r="AE46" s="34"/>
      <c r="AF46" s="34"/>
      <c r="AG46" s="34"/>
      <c r="AH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I46" s="34"/>
      <c r="BJ46" s="34"/>
      <c r="BK46" s="34"/>
      <c r="BL46" s="34"/>
      <c r="BM46" s="34"/>
      <c r="BN46" s="34"/>
      <c r="BO46" s="34"/>
      <c r="BP46" s="34"/>
      <c r="BY46" s="34"/>
      <c r="BZ46" s="34"/>
      <c r="CA46" s="34"/>
      <c r="CB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</row>
    <row r="47" ht="15.75" customHeight="1">
      <c r="B47" s="34"/>
      <c r="E47" s="34"/>
      <c r="F47" s="34"/>
      <c r="G47" s="34"/>
      <c r="H47" s="34"/>
      <c r="I47" s="34"/>
      <c r="J47" s="34"/>
      <c r="K47" s="34"/>
      <c r="L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AA47" s="34"/>
      <c r="AB47" s="34"/>
      <c r="AC47" s="34"/>
      <c r="AD47" s="34"/>
      <c r="AE47" s="34"/>
      <c r="AF47" s="34"/>
      <c r="AG47" s="34"/>
      <c r="AH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I47" s="34"/>
      <c r="BJ47" s="34"/>
      <c r="BK47" s="34"/>
      <c r="BL47" s="34"/>
      <c r="BM47" s="34"/>
      <c r="BN47" s="34"/>
      <c r="BO47" s="34"/>
      <c r="BP47" s="34"/>
      <c r="BY47" s="34"/>
      <c r="BZ47" s="34"/>
      <c r="CA47" s="34"/>
      <c r="CB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</row>
    <row r="48" ht="15.75" customHeight="1">
      <c r="B48" s="34"/>
      <c r="E48" s="34"/>
      <c r="F48" s="34"/>
      <c r="G48" s="34"/>
      <c r="H48" s="34"/>
      <c r="I48" s="34"/>
      <c r="J48" s="34"/>
      <c r="K48" s="34"/>
      <c r="L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AA48" s="34"/>
      <c r="AB48" s="34"/>
      <c r="AC48" s="34"/>
      <c r="AD48" s="34"/>
      <c r="AE48" s="34"/>
      <c r="AF48" s="34"/>
      <c r="AG48" s="34"/>
      <c r="AH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I48" s="34"/>
      <c r="BJ48" s="34"/>
      <c r="BK48" s="34"/>
      <c r="BL48" s="34"/>
      <c r="BM48" s="34"/>
      <c r="BN48" s="34"/>
      <c r="BO48" s="34"/>
      <c r="BP48" s="34"/>
      <c r="BY48" s="34"/>
      <c r="BZ48" s="34"/>
      <c r="CA48" s="34"/>
      <c r="CB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</row>
    <row r="49" ht="15.75" customHeight="1">
      <c r="B49" s="34"/>
      <c r="E49" s="34"/>
      <c r="F49" s="34"/>
      <c r="G49" s="34"/>
      <c r="H49" s="34"/>
      <c r="I49" s="34"/>
      <c r="J49" s="34"/>
      <c r="K49" s="34"/>
      <c r="L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AA49" s="34"/>
      <c r="AB49" s="34"/>
      <c r="AC49" s="34"/>
      <c r="AD49" s="34"/>
      <c r="AE49" s="34"/>
      <c r="AF49" s="34"/>
      <c r="AG49" s="34"/>
      <c r="AH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I49" s="34"/>
      <c r="BJ49" s="34"/>
      <c r="BK49" s="34"/>
      <c r="BL49" s="34"/>
      <c r="BM49" s="34"/>
      <c r="BN49" s="34"/>
      <c r="BO49" s="34"/>
      <c r="BP49" s="34"/>
      <c r="BY49" s="34"/>
      <c r="BZ49" s="34"/>
      <c r="CA49" s="34"/>
      <c r="CB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</row>
    <row r="50" ht="15.75" customHeight="1">
      <c r="B50" s="34"/>
      <c r="E50" s="34"/>
      <c r="F50" s="34"/>
      <c r="G50" s="34"/>
      <c r="H50" s="34"/>
      <c r="I50" s="34"/>
      <c r="J50" s="34"/>
      <c r="K50" s="34"/>
      <c r="L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AA50" s="34"/>
      <c r="AB50" s="34"/>
      <c r="AC50" s="34"/>
      <c r="AD50" s="34"/>
      <c r="AE50" s="34"/>
      <c r="AF50" s="34"/>
      <c r="AG50" s="34"/>
      <c r="AH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I50" s="34"/>
      <c r="BJ50" s="34"/>
      <c r="BK50" s="34"/>
      <c r="BL50" s="34"/>
      <c r="BM50" s="34"/>
      <c r="BN50" s="34"/>
      <c r="BO50" s="34"/>
      <c r="BP50" s="34"/>
      <c r="BY50" s="34"/>
      <c r="BZ50" s="34"/>
      <c r="CA50" s="34"/>
      <c r="CB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</row>
    <row r="51" ht="15.75" customHeight="1">
      <c r="B51" s="34"/>
      <c r="E51" s="34"/>
      <c r="F51" s="34"/>
      <c r="G51" s="34"/>
      <c r="H51" s="34"/>
      <c r="I51" s="34"/>
      <c r="J51" s="34"/>
      <c r="K51" s="34"/>
      <c r="L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AA51" s="34"/>
      <c r="AB51" s="34"/>
      <c r="AC51" s="34"/>
      <c r="AD51" s="34"/>
      <c r="AE51" s="34"/>
      <c r="AF51" s="34"/>
      <c r="AG51" s="34"/>
      <c r="AH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I51" s="34"/>
      <c r="BJ51" s="34"/>
      <c r="BK51" s="34"/>
      <c r="BL51" s="34"/>
      <c r="BM51" s="34"/>
      <c r="BN51" s="34"/>
      <c r="BO51" s="34"/>
      <c r="BP51" s="34"/>
      <c r="BY51" s="34"/>
      <c r="BZ51" s="34"/>
      <c r="CA51" s="34"/>
      <c r="CB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</row>
    <row r="52" ht="15.75" customHeight="1">
      <c r="B52" s="34"/>
      <c r="E52" s="34"/>
      <c r="F52" s="34"/>
      <c r="G52" s="34"/>
      <c r="H52" s="34"/>
      <c r="I52" s="34"/>
      <c r="J52" s="34"/>
      <c r="K52" s="34"/>
      <c r="L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AA52" s="34"/>
      <c r="AB52" s="34"/>
      <c r="AC52" s="34"/>
      <c r="AD52" s="34"/>
      <c r="AE52" s="34"/>
      <c r="AF52" s="34"/>
      <c r="AG52" s="34"/>
      <c r="AH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I52" s="34"/>
      <c r="BJ52" s="34"/>
      <c r="BK52" s="34"/>
      <c r="BL52" s="34"/>
      <c r="BM52" s="34"/>
      <c r="BN52" s="34"/>
      <c r="BO52" s="34"/>
      <c r="BP52" s="34"/>
      <c r="BY52" s="34"/>
      <c r="BZ52" s="34"/>
      <c r="CA52" s="34"/>
      <c r="CB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</row>
    <row r="53" ht="15.75" customHeight="1">
      <c r="B53" s="34"/>
      <c r="E53" s="34"/>
      <c r="F53" s="34"/>
      <c r="G53" s="34"/>
      <c r="H53" s="34"/>
      <c r="I53" s="34"/>
      <c r="J53" s="34"/>
      <c r="K53" s="34"/>
      <c r="L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AA53" s="34"/>
      <c r="AB53" s="34"/>
      <c r="AC53" s="34"/>
      <c r="AD53" s="34"/>
      <c r="AE53" s="34"/>
      <c r="AF53" s="34"/>
      <c r="AG53" s="34"/>
      <c r="AH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I53" s="34"/>
      <c r="BJ53" s="34"/>
      <c r="BK53" s="34"/>
      <c r="BL53" s="34"/>
      <c r="BM53" s="34"/>
      <c r="BN53" s="34"/>
      <c r="BO53" s="34"/>
      <c r="BP53" s="34"/>
      <c r="BY53" s="34"/>
      <c r="BZ53" s="34"/>
      <c r="CA53" s="34"/>
      <c r="CB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</row>
    <row r="54" ht="15.75" customHeight="1">
      <c r="B54" s="34"/>
      <c r="E54" s="34"/>
      <c r="F54" s="34"/>
      <c r="G54" s="34"/>
      <c r="H54" s="34"/>
      <c r="I54" s="34"/>
      <c r="J54" s="34"/>
      <c r="K54" s="34"/>
      <c r="L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AA54" s="34"/>
      <c r="AB54" s="34"/>
      <c r="AC54" s="34"/>
      <c r="AD54" s="34"/>
      <c r="AE54" s="34"/>
      <c r="AF54" s="34"/>
      <c r="AG54" s="34"/>
      <c r="AH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I54" s="34"/>
      <c r="BJ54" s="34"/>
      <c r="BK54" s="34"/>
      <c r="BL54" s="34"/>
      <c r="BM54" s="34"/>
      <c r="BN54" s="34"/>
      <c r="BO54" s="34"/>
      <c r="BP54" s="34"/>
      <c r="BY54" s="34"/>
      <c r="BZ54" s="34"/>
      <c r="CA54" s="34"/>
      <c r="CB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</row>
    <row r="55" ht="15.75" customHeight="1">
      <c r="B55" s="34"/>
      <c r="E55" s="34"/>
      <c r="F55" s="34"/>
      <c r="G55" s="34"/>
      <c r="H55" s="34"/>
      <c r="I55" s="34"/>
      <c r="J55" s="34"/>
      <c r="K55" s="34"/>
      <c r="L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AA55" s="34"/>
      <c r="AB55" s="34"/>
      <c r="AC55" s="34"/>
      <c r="AD55" s="34"/>
      <c r="AE55" s="34"/>
      <c r="AF55" s="34"/>
      <c r="AG55" s="34"/>
      <c r="AH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I55" s="34"/>
      <c r="BJ55" s="34"/>
      <c r="BK55" s="34"/>
      <c r="BL55" s="34"/>
      <c r="BM55" s="34"/>
      <c r="BN55" s="34"/>
      <c r="BO55" s="34"/>
      <c r="BP55" s="34"/>
      <c r="BY55" s="34"/>
      <c r="BZ55" s="34"/>
      <c r="CA55" s="34"/>
      <c r="CB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</row>
    <row r="56" ht="15.75" customHeight="1">
      <c r="B56" s="34"/>
      <c r="E56" s="34"/>
      <c r="F56" s="34"/>
      <c r="G56" s="34"/>
      <c r="H56" s="34"/>
      <c r="I56" s="34"/>
      <c r="J56" s="34"/>
      <c r="K56" s="34"/>
      <c r="L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AA56" s="34"/>
      <c r="AB56" s="34"/>
      <c r="AC56" s="34"/>
      <c r="AD56" s="34"/>
      <c r="AE56" s="34"/>
      <c r="AF56" s="34"/>
      <c r="AG56" s="34"/>
      <c r="AH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I56" s="34"/>
      <c r="BJ56" s="34"/>
      <c r="BK56" s="34"/>
      <c r="BL56" s="34"/>
      <c r="BM56" s="34"/>
      <c r="BN56" s="34"/>
      <c r="BO56" s="34"/>
      <c r="BP56" s="34"/>
      <c r="BY56" s="34"/>
      <c r="BZ56" s="34"/>
      <c r="CA56" s="34"/>
      <c r="CB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</row>
    <row r="57" ht="15.75" customHeight="1">
      <c r="B57" s="34"/>
      <c r="E57" s="34"/>
      <c r="F57" s="34"/>
      <c r="G57" s="34"/>
      <c r="H57" s="34"/>
      <c r="I57" s="34"/>
      <c r="J57" s="34"/>
      <c r="K57" s="34"/>
      <c r="L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AA57" s="34"/>
      <c r="AB57" s="34"/>
      <c r="AC57" s="34"/>
      <c r="AD57" s="34"/>
      <c r="AE57" s="34"/>
      <c r="AF57" s="34"/>
      <c r="AG57" s="34"/>
      <c r="AH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I57" s="34"/>
      <c r="BJ57" s="34"/>
      <c r="BK57" s="34"/>
      <c r="BL57" s="34"/>
      <c r="BM57" s="34"/>
      <c r="BN57" s="34"/>
      <c r="BO57" s="34"/>
      <c r="BP57" s="34"/>
      <c r="BY57" s="34"/>
      <c r="BZ57" s="34"/>
      <c r="CA57" s="34"/>
      <c r="CB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</row>
    <row r="58" ht="15.75" customHeight="1">
      <c r="B58" s="34"/>
      <c r="E58" s="34"/>
      <c r="F58" s="34"/>
      <c r="G58" s="34"/>
      <c r="H58" s="34"/>
      <c r="I58" s="34"/>
      <c r="J58" s="34"/>
      <c r="K58" s="34"/>
      <c r="L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AA58" s="34"/>
      <c r="AB58" s="34"/>
      <c r="AC58" s="34"/>
      <c r="AD58" s="34"/>
      <c r="AE58" s="34"/>
      <c r="AF58" s="34"/>
      <c r="AG58" s="34"/>
      <c r="AH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I58" s="34"/>
      <c r="BJ58" s="34"/>
      <c r="BK58" s="34"/>
      <c r="BL58" s="34"/>
      <c r="BM58" s="34"/>
      <c r="BN58" s="34"/>
      <c r="BO58" s="34"/>
      <c r="BP58" s="34"/>
      <c r="BY58" s="34"/>
      <c r="BZ58" s="34"/>
      <c r="CA58" s="34"/>
      <c r="CB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</row>
    <row r="59" ht="15.75" customHeight="1">
      <c r="B59" s="34"/>
      <c r="E59" s="34"/>
      <c r="F59" s="34"/>
      <c r="G59" s="34"/>
      <c r="H59" s="34"/>
      <c r="I59" s="34"/>
      <c r="J59" s="34"/>
      <c r="K59" s="34"/>
      <c r="L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AA59" s="34"/>
      <c r="AB59" s="34"/>
      <c r="AC59" s="34"/>
      <c r="AD59" s="34"/>
      <c r="AE59" s="34"/>
      <c r="AF59" s="34"/>
      <c r="AG59" s="34"/>
      <c r="AH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I59" s="34"/>
      <c r="BJ59" s="34"/>
      <c r="BK59" s="34"/>
      <c r="BL59" s="34"/>
      <c r="BM59" s="34"/>
      <c r="BN59" s="34"/>
      <c r="BO59" s="34"/>
      <c r="BP59" s="34"/>
      <c r="BY59" s="34"/>
      <c r="BZ59" s="34"/>
      <c r="CA59" s="34"/>
      <c r="CB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</row>
    <row r="60" ht="15.75" customHeight="1">
      <c r="B60" s="34"/>
      <c r="E60" s="34"/>
      <c r="F60" s="34"/>
      <c r="G60" s="34"/>
      <c r="H60" s="34"/>
      <c r="I60" s="34"/>
      <c r="J60" s="34"/>
      <c r="K60" s="34"/>
      <c r="L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AA60" s="34"/>
      <c r="AB60" s="34"/>
      <c r="AC60" s="34"/>
      <c r="AD60" s="34"/>
      <c r="AE60" s="34"/>
      <c r="AF60" s="34"/>
      <c r="AG60" s="34"/>
      <c r="AH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I60" s="34"/>
      <c r="BJ60" s="34"/>
      <c r="BK60" s="34"/>
      <c r="BL60" s="34"/>
      <c r="BM60" s="34"/>
      <c r="BN60" s="34"/>
      <c r="BO60" s="34"/>
      <c r="BP60" s="34"/>
      <c r="BY60" s="34"/>
      <c r="BZ60" s="34"/>
      <c r="CA60" s="34"/>
      <c r="CB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</row>
    <row r="61" ht="15.75" customHeight="1">
      <c r="B61" s="34"/>
      <c r="E61" s="34"/>
      <c r="F61" s="34"/>
      <c r="G61" s="34"/>
      <c r="H61" s="34"/>
      <c r="I61" s="34"/>
      <c r="J61" s="34"/>
      <c r="K61" s="34"/>
      <c r="L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AA61" s="34"/>
      <c r="AB61" s="34"/>
      <c r="AC61" s="34"/>
      <c r="AD61" s="34"/>
      <c r="AE61" s="34"/>
      <c r="AF61" s="34"/>
      <c r="AG61" s="34"/>
      <c r="AH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I61" s="34"/>
      <c r="BJ61" s="34"/>
      <c r="BK61" s="34"/>
      <c r="BL61" s="34"/>
      <c r="BM61" s="34"/>
      <c r="BN61" s="34"/>
      <c r="BO61" s="34"/>
      <c r="BP61" s="34"/>
      <c r="BY61" s="34"/>
      <c r="BZ61" s="34"/>
      <c r="CA61" s="34"/>
      <c r="CB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</row>
    <row r="62" ht="15.75" customHeight="1">
      <c r="B62" s="34"/>
      <c r="E62" s="34"/>
      <c r="F62" s="34"/>
      <c r="G62" s="34"/>
      <c r="H62" s="34"/>
      <c r="I62" s="34"/>
      <c r="J62" s="34"/>
      <c r="K62" s="34"/>
      <c r="L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AA62" s="34"/>
      <c r="AB62" s="34"/>
      <c r="AC62" s="34"/>
      <c r="AD62" s="34"/>
      <c r="AE62" s="34"/>
      <c r="AF62" s="34"/>
      <c r="AG62" s="34"/>
      <c r="AH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I62" s="34"/>
      <c r="BJ62" s="34"/>
      <c r="BK62" s="34"/>
      <c r="BL62" s="34"/>
      <c r="BM62" s="34"/>
      <c r="BN62" s="34"/>
      <c r="BO62" s="34"/>
      <c r="BP62" s="34"/>
      <c r="BY62" s="34"/>
      <c r="BZ62" s="34"/>
      <c r="CA62" s="34"/>
      <c r="CB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</row>
    <row r="63" ht="15.75" customHeight="1">
      <c r="B63" s="34"/>
      <c r="E63" s="34"/>
      <c r="F63" s="34"/>
      <c r="G63" s="34"/>
      <c r="H63" s="34"/>
      <c r="I63" s="34"/>
      <c r="J63" s="34"/>
      <c r="K63" s="34"/>
      <c r="L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AA63" s="34"/>
      <c r="AB63" s="34"/>
      <c r="AC63" s="34"/>
      <c r="AD63" s="34"/>
      <c r="AE63" s="34"/>
      <c r="AF63" s="34"/>
      <c r="AG63" s="34"/>
      <c r="AH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I63" s="34"/>
      <c r="BJ63" s="34"/>
      <c r="BK63" s="34"/>
      <c r="BL63" s="34"/>
      <c r="BM63" s="34"/>
      <c r="BN63" s="34"/>
      <c r="BO63" s="34"/>
      <c r="BP63" s="34"/>
      <c r="BY63" s="34"/>
      <c r="BZ63" s="34"/>
      <c r="CA63" s="34"/>
      <c r="CB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</row>
    <row r="64" ht="15.75" customHeight="1">
      <c r="B64" s="34"/>
      <c r="E64" s="34"/>
      <c r="F64" s="34"/>
      <c r="G64" s="34"/>
      <c r="H64" s="34"/>
      <c r="I64" s="34"/>
      <c r="J64" s="34"/>
      <c r="K64" s="34"/>
      <c r="L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AA64" s="34"/>
      <c r="AB64" s="34"/>
      <c r="AC64" s="34"/>
      <c r="AD64" s="34"/>
      <c r="AE64" s="34"/>
      <c r="AF64" s="34"/>
      <c r="AG64" s="34"/>
      <c r="AH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I64" s="34"/>
      <c r="BJ64" s="34"/>
      <c r="BK64" s="34"/>
      <c r="BL64" s="34"/>
      <c r="BM64" s="34"/>
      <c r="BN64" s="34"/>
      <c r="BO64" s="34"/>
      <c r="BP64" s="34"/>
      <c r="BY64" s="34"/>
      <c r="BZ64" s="34"/>
      <c r="CA64" s="34"/>
      <c r="CB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</row>
    <row r="65" ht="15.75" customHeight="1">
      <c r="B65" s="34"/>
      <c r="E65" s="34"/>
      <c r="F65" s="34"/>
      <c r="G65" s="34"/>
      <c r="H65" s="34"/>
      <c r="I65" s="34"/>
      <c r="J65" s="34"/>
      <c r="K65" s="34"/>
      <c r="L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AA65" s="34"/>
      <c r="AB65" s="34"/>
      <c r="AC65" s="34"/>
      <c r="AD65" s="34"/>
      <c r="AE65" s="34"/>
      <c r="AF65" s="34"/>
      <c r="AG65" s="34"/>
      <c r="AH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I65" s="34"/>
      <c r="BJ65" s="34"/>
      <c r="BK65" s="34"/>
      <c r="BL65" s="34"/>
      <c r="BM65" s="34"/>
      <c r="BN65" s="34"/>
      <c r="BO65" s="34"/>
      <c r="BP65" s="34"/>
      <c r="BY65" s="34"/>
      <c r="BZ65" s="34"/>
      <c r="CA65" s="34"/>
      <c r="CB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</row>
    <row r="66" ht="15.75" customHeight="1">
      <c r="B66" s="34"/>
      <c r="E66" s="34"/>
      <c r="F66" s="34"/>
      <c r="G66" s="34"/>
      <c r="H66" s="34"/>
      <c r="I66" s="34"/>
      <c r="J66" s="34"/>
      <c r="K66" s="34"/>
      <c r="L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AA66" s="34"/>
      <c r="AB66" s="34"/>
      <c r="AC66" s="34"/>
      <c r="AD66" s="34"/>
      <c r="AE66" s="34"/>
      <c r="AF66" s="34"/>
      <c r="AG66" s="34"/>
      <c r="AH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I66" s="34"/>
      <c r="BJ66" s="34"/>
      <c r="BK66" s="34"/>
      <c r="BL66" s="34"/>
      <c r="BM66" s="34"/>
      <c r="BN66" s="34"/>
      <c r="BO66" s="34"/>
      <c r="BP66" s="34"/>
      <c r="BY66" s="34"/>
      <c r="BZ66" s="34"/>
      <c r="CA66" s="34"/>
      <c r="CB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</row>
    <row r="67" ht="15.75" customHeight="1">
      <c r="B67" s="34"/>
      <c r="E67" s="34"/>
      <c r="F67" s="34"/>
      <c r="G67" s="34"/>
      <c r="H67" s="34"/>
      <c r="I67" s="34"/>
      <c r="J67" s="34"/>
      <c r="K67" s="34"/>
      <c r="L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AA67" s="34"/>
      <c r="AB67" s="34"/>
      <c r="AC67" s="34"/>
      <c r="AD67" s="34"/>
      <c r="AE67" s="34"/>
      <c r="AF67" s="34"/>
      <c r="AG67" s="34"/>
      <c r="AH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I67" s="34"/>
      <c r="BJ67" s="34"/>
      <c r="BK67" s="34"/>
      <c r="BL67" s="34"/>
      <c r="BM67" s="34"/>
      <c r="BN67" s="34"/>
      <c r="BO67" s="34"/>
      <c r="BP67" s="34"/>
      <c r="BY67" s="34"/>
      <c r="BZ67" s="34"/>
      <c r="CA67" s="34"/>
      <c r="CB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</row>
    <row r="68" ht="15.75" customHeight="1">
      <c r="B68" s="34"/>
      <c r="E68" s="34"/>
      <c r="F68" s="34"/>
      <c r="G68" s="34"/>
      <c r="H68" s="34"/>
      <c r="I68" s="34"/>
      <c r="J68" s="34"/>
      <c r="K68" s="34"/>
      <c r="L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AA68" s="34"/>
      <c r="AB68" s="34"/>
      <c r="AC68" s="34"/>
      <c r="AD68" s="34"/>
      <c r="AE68" s="34"/>
      <c r="AF68" s="34"/>
      <c r="AG68" s="34"/>
      <c r="AH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I68" s="34"/>
      <c r="BJ68" s="34"/>
      <c r="BK68" s="34"/>
      <c r="BL68" s="34"/>
      <c r="BM68" s="34"/>
      <c r="BN68" s="34"/>
      <c r="BO68" s="34"/>
      <c r="BP68" s="34"/>
      <c r="BY68" s="34"/>
      <c r="BZ68" s="34"/>
      <c r="CA68" s="34"/>
      <c r="CB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</row>
    <row r="69" ht="15.75" customHeight="1">
      <c r="B69" s="34"/>
      <c r="E69" s="34"/>
      <c r="F69" s="34"/>
      <c r="G69" s="34"/>
      <c r="H69" s="34"/>
      <c r="I69" s="34"/>
      <c r="J69" s="34"/>
      <c r="K69" s="34"/>
      <c r="L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AA69" s="34"/>
      <c r="AB69" s="34"/>
      <c r="AC69" s="34"/>
      <c r="AD69" s="34"/>
      <c r="AE69" s="34"/>
      <c r="AF69" s="34"/>
      <c r="AG69" s="34"/>
      <c r="AH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I69" s="34"/>
      <c r="BJ69" s="34"/>
      <c r="BK69" s="34"/>
      <c r="BL69" s="34"/>
      <c r="BM69" s="34"/>
      <c r="BN69" s="34"/>
      <c r="BO69" s="34"/>
      <c r="BP69" s="34"/>
      <c r="BY69" s="34"/>
      <c r="BZ69" s="34"/>
      <c r="CA69" s="34"/>
      <c r="CB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</row>
    <row r="70" ht="15.75" customHeight="1">
      <c r="B70" s="34"/>
      <c r="E70" s="34"/>
      <c r="F70" s="34"/>
      <c r="G70" s="34"/>
      <c r="H70" s="34"/>
      <c r="I70" s="34"/>
      <c r="J70" s="34"/>
      <c r="K70" s="34"/>
      <c r="L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AA70" s="34"/>
      <c r="AB70" s="34"/>
      <c r="AC70" s="34"/>
      <c r="AD70" s="34"/>
      <c r="AE70" s="34"/>
      <c r="AF70" s="34"/>
      <c r="AG70" s="34"/>
      <c r="AH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I70" s="34"/>
      <c r="BJ70" s="34"/>
      <c r="BK70" s="34"/>
      <c r="BL70" s="34"/>
      <c r="BM70" s="34"/>
      <c r="BN70" s="34"/>
      <c r="BO70" s="34"/>
      <c r="BP70" s="34"/>
      <c r="BY70" s="34"/>
      <c r="BZ70" s="34"/>
      <c r="CA70" s="34"/>
      <c r="CB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</row>
    <row r="71" ht="15.75" customHeight="1">
      <c r="B71" s="34"/>
      <c r="E71" s="34"/>
      <c r="F71" s="34"/>
      <c r="G71" s="34"/>
      <c r="H71" s="34"/>
      <c r="I71" s="34"/>
      <c r="J71" s="34"/>
      <c r="K71" s="34"/>
      <c r="L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AA71" s="34"/>
      <c r="AB71" s="34"/>
      <c r="AC71" s="34"/>
      <c r="AD71" s="34"/>
      <c r="AE71" s="34"/>
      <c r="AF71" s="34"/>
      <c r="AG71" s="34"/>
      <c r="AH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I71" s="34"/>
      <c r="BJ71" s="34"/>
      <c r="BK71" s="34"/>
      <c r="BL71" s="34"/>
      <c r="BM71" s="34"/>
      <c r="BN71" s="34"/>
      <c r="BO71" s="34"/>
      <c r="BP71" s="34"/>
      <c r="BY71" s="34"/>
      <c r="BZ71" s="34"/>
      <c r="CA71" s="34"/>
      <c r="CB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</row>
    <row r="72" ht="15.75" customHeight="1">
      <c r="B72" s="34"/>
      <c r="E72" s="34"/>
      <c r="F72" s="34"/>
      <c r="G72" s="34"/>
      <c r="H72" s="34"/>
      <c r="I72" s="34"/>
      <c r="J72" s="34"/>
      <c r="K72" s="34"/>
      <c r="L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AA72" s="34"/>
      <c r="AB72" s="34"/>
      <c r="AC72" s="34"/>
      <c r="AD72" s="34"/>
      <c r="AE72" s="34"/>
      <c r="AF72" s="34"/>
      <c r="AG72" s="34"/>
      <c r="AH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I72" s="34"/>
      <c r="BJ72" s="34"/>
      <c r="BK72" s="34"/>
      <c r="BL72" s="34"/>
      <c r="BM72" s="34"/>
      <c r="BN72" s="34"/>
      <c r="BO72" s="34"/>
      <c r="BP72" s="34"/>
      <c r="BY72" s="34"/>
      <c r="BZ72" s="34"/>
      <c r="CA72" s="34"/>
      <c r="CB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</row>
    <row r="73" ht="15.75" customHeight="1">
      <c r="B73" s="34"/>
      <c r="E73" s="34"/>
      <c r="F73" s="34"/>
      <c r="G73" s="34"/>
      <c r="H73" s="34"/>
      <c r="I73" s="34"/>
      <c r="J73" s="34"/>
      <c r="K73" s="34"/>
      <c r="L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AA73" s="34"/>
      <c r="AB73" s="34"/>
      <c r="AC73" s="34"/>
      <c r="AD73" s="34"/>
      <c r="AE73" s="34"/>
      <c r="AF73" s="34"/>
      <c r="AG73" s="34"/>
      <c r="AH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I73" s="34"/>
      <c r="BJ73" s="34"/>
      <c r="BK73" s="34"/>
      <c r="BL73" s="34"/>
      <c r="BM73" s="34"/>
      <c r="BN73" s="34"/>
      <c r="BO73" s="34"/>
      <c r="BP73" s="34"/>
      <c r="BY73" s="34"/>
      <c r="BZ73" s="34"/>
      <c r="CA73" s="34"/>
      <c r="CB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</row>
    <row r="74" ht="15.75" customHeight="1">
      <c r="B74" s="34"/>
      <c r="E74" s="34"/>
      <c r="F74" s="34"/>
      <c r="G74" s="34"/>
      <c r="H74" s="34"/>
      <c r="I74" s="34"/>
      <c r="J74" s="34"/>
      <c r="K74" s="34"/>
      <c r="L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AA74" s="34"/>
      <c r="AB74" s="34"/>
      <c r="AC74" s="34"/>
      <c r="AD74" s="34"/>
      <c r="AE74" s="34"/>
      <c r="AF74" s="34"/>
      <c r="AG74" s="34"/>
      <c r="AH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I74" s="34"/>
      <c r="BJ74" s="34"/>
      <c r="BK74" s="34"/>
      <c r="BL74" s="34"/>
      <c r="BM74" s="34"/>
      <c r="BN74" s="34"/>
      <c r="BO74" s="34"/>
      <c r="BP74" s="34"/>
      <c r="BY74" s="34"/>
      <c r="BZ74" s="34"/>
      <c r="CA74" s="34"/>
      <c r="CB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</row>
    <row r="75" ht="15.75" customHeight="1">
      <c r="B75" s="34"/>
      <c r="E75" s="34"/>
      <c r="F75" s="34"/>
      <c r="G75" s="34"/>
      <c r="H75" s="34"/>
      <c r="I75" s="34"/>
      <c r="J75" s="34"/>
      <c r="K75" s="34"/>
      <c r="L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AA75" s="34"/>
      <c r="AB75" s="34"/>
      <c r="AC75" s="34"/>
      <c r="AD75" s="34"/>
      <c r="AE75" s="34"/>
      <c r="AF75" s="34"/>
      <c r="AG75" s="34"/>
      <c r="AH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I75" s="34"/>
      <c r="BJ75" s="34"/>
      <c r="BK75" s="34"/>
      <c r="BL75" s="34"/>
      <c r="BM75" s="34"/>
      <c r="BN75" s="34"/>
      <c r="BO75" s="34"/>
      <c r="BP75" s="34"/>
      <c r="BY75" s="34"/>
      <c r="BZ75" s="34"/>
      <c r="CA75" s="34"/>
      <c r="CB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</row>
    <row r="76" ht="15.75" customHeight="1">
      <c r="B76" s="34"/>
      <c r="E76" s="34"/>
      <c r="F76" s="34"/>
      <c r="G76" s="34"/>
      <c r="H76" s="34"/>
      <c r="I76" s="34"/>
      <c r="J76" s="34"/>
      <c r="K76" s="34"/>
      <c r="L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AA76" s="34"/>
      <c r="AB76" s="34"/>
      <c r="AC76" s="34"/>
      <c r="AD76" s="34"/>
      <c r="AE76" s="34"/>
      <c r="AF76" s="34"/>
      <c r="AG76" s="34"/>
      <c r="AH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I76" s="34"/>
      <c r="BJ76" s="34"/>
      <c r="BK76" s="34"/>
      <c r="BL76" s="34"/>
      <c r="BM76" s="34"/>
      <c r="BN76" s="34"/>
      <c r="BO76" s="34"/>
      <c r="BP76" s="34"/>
      <c r="BY76" s="34"/>
      <c r="BZ76" s="34"/>
      <c r="CA76" s="34"/>
      <c r="CB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</row>
    <row r="77" ht="15.75" customHeight="1">
      <c r="B77" s="34"/>
      <c r="E77" s="34"/>
      <c r="F77" s="34"/>
      <c r="G77" s="34"/>
      <c r="H77" s="34"/>
      <c r="I77" s="34"/>
      <c r="J77" s="34"/>
      <c r="K77" s="34"/>
      <c r="L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AA77" s="34"/>
      <c r="AB77" s="34"/>
      <c r="AC77" s="34"/>
      <c r="AD77" s="34"/>
      <c r="AE77" s="34"/>
      <c r="AF77" s="34"/>
      <c r="AG77" s="34"/>
      <c r="AH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I77" s="34"/>
      <c r="BJ77" s="34"/>
      <c r="BK77" s="34"/>
      <c r="BL77" s="34"/>
      <c r="BM77" s="34"/>
      <c r="BN77" s="34"/>
      <c r="BO77" s="34"/>
      <c r="BP77" s="34"/>
      <c r="BY77" s="34"/>
      <c r="BZ77" s="34"/>
      <c r="CA77" s="34"/>
      <c r="CB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</row>
    <row r="78" ht="15.75" customHeight="1">
      <c r="B78" s="34"/>
      <c r="E78" s="34"/>
      <c r="F78" s="34"/>
      <c r="G78" s="34"/>
      <c r="H78" s="34"/>
      <c r="I78" s="34"/>
      <c r="J78" s="34"/>
      <c r="K78" s="34"/>
      <c r="L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AA78" s="34"/>
      <c r="AB78" s="34"/>
      <c r="AC78" s="34"/>
      <c r="AD78" s="34"/>
      <c r="AE78" s="34"/>
      <c r="AF78" s="34"/>
      <c r="AG78" s="34"/>
      <c r="AH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I78" s="34"/>
      <c r="BJ78" s="34"/>
      <c r="BK78" s="34"/>
      <c r="BL78" s="34"/>
      <c r="BM78" s="34"/>
      <c r="BN78" s="34"/>
      <c r="BO78" s="34"/>
      <c r="BP78" s="34"/>
      <c r="BY78" s="34"/>
      <c r="BZ78" s="34"/>
      <c r="CA78" s="34"/>
      <c r="CB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</row>
    <row r="79" ht="15.75" customHeight="1">
      <c r="B79" s="34"/>
      <c r="E79" s="34"/>
      <c r="F79" s="34"/>
      <c r="G79" s="34"/>
      <c r="H79" s="34"/>
      <c r="I79" s="34"/>
      <c r="J79" s="34"/>
      <c r="K79" s="34"/>
      <c r="L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AA79" s="34"/>
      <c r="AB79" s="34"/>
      <c r="AC79" s="34"/>
      <c r="AD79" s="34"/>
      <c r="AE79" s="34"/>
      <c r="AF79" s="34"/>
      <c r="AG79" s="34"/>
      <c r="AH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I79" s="34"/>
      <c r="BJ79" s="34"/>
      <c r="BK79" s="34"/>
      <c r="BL79" s="34"/>
      <c r="BM79" s="34"/>
      <c r="BN79" s="34"/>
      <c r="BO79" s="34"/>
      <c r="BP79" s="34"/>
      <c r="BY79" s="34"/>
      <c r="BZ79" s="34"/>
      <c r="CA79" s="34"/>
      <c r="CB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</row>
    <row r="80" ht="15.75" customHeight="1">
      <c r="B80" s="34"/>
      <c r="E80" s="34"/>
      <c r="F80" s="34"/>
      <c r="G80" s="34"/>
      <c r="H80" s="34"/>
      <c r="I80" s="34"/>
      <c r="J80" s="34"/>
      <c r="K80" s="34"/>
      <c r="L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AA80" s="34"/>
      <c r="AB80" s="34"/>
      <c r="AC80" s="34"/>
      <c r="AD80" s="34"/>
      <c r="AE80" s="34"/>
      <c r="AF80" s="34"/>
      <c r="AG80" s="34"/>
      <c r="AH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I80" s="34"/>
      <c r="BJ80" s="34"/>
      <c r="BK80" s="34"/>
      <c r="BL80" s="34"/>
      <c r="BM80" s="34"/>
      <c r="BN80" s="34"/>
      <c r="BO80" s="34"/>
      <c r="BP80" s="34"/>
      <c r="BY80" s="34"/>
      <c r="BZ80" s="34"/>
      <c r="CA80" s="34"/>
      <c r="CB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</row>
    <row r="81" ht="15.75" customHeight="1">
      <c r="B81" s="34"/>
      <c r="E81" s="34"/>
      <c r="F81" s="34"/>
      <c r="G81" s="34"/>
      <c r="H81" s="34"/>
      <c r="I81" s="34"/>
      <c r="J81" s="34"/>
      <c r="K81" s="34"/>
      <c r="L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AA81" s="34"/>
      <c r="AB81" s="34"/>
      <c r="AC81" s="34"/>
      <c r="AD81" s="34"/>
      <c r="AE81" s="34"/>
      <c r="AF81" s="34"/>
      <c r="AG81" s="34"/>
      <c r="AH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I81" s="34"/>
      <c r="BJ81" s="34"/>
      <c r="BK81" s="34"/>
      <c r="BL81" s="34"/>
      <c r="BM81" s="34"/>
      <c r="BN81" s="34"/>
      <c r="BO81" s="34"/>
      <c r="BP81" s="34"/>
      <c r="BY81" s="34"/>
      <c r="BZ81" s="34"/>
      <c r="CA81" s="34"/>
      <c r="CB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</row>
    <row r="82" ht="15.75" customHeight="1">
      <c r="B82" s="34"/>
      <c r="E82" s="34"/>
      <c r="F82" s="34"/>
      <c r="G82" s="34"/>
      <c r="H82" s="34"/>
      <c r="I82" s="34"/>
      <c r="J82" s="34"/>
      <c r="K82" s="34"/>
      <c r="L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AA82" s="34"/>
      <c r="AB82" s="34"/>
      <c r="AC82" s="34"/>
      <c r="AD82" s="34"/>
      <c r="AE82" s="34"/>
      <c r="AF82" s="34"/>
      <c r="AG82" s="34"/>
      <c r="AH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I82" s="34"/>
      <c r="BJ82" s="34"/>
      <c r="BK82" s="34"/>
      <c r="BL82" s="34"/>
      <c r="BM82" s="34"/>
      <c r="BN82" s="34"/>
      <c r="BO82" s="34"/>
      <c r="BP82" s="34"/>
      <c r="BY82" s="34"/>
      <c r="BZ82" s="34"/>
      <c r="CA82" s="34"/>
      <c r="CB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</row>
    <row r="83" ht="15.75" customHeight="1">
      <c r="B83" s="34"/>
      <c r="E83" s="34"/>
      <c r="F83" s="34"/>
      <c r="G83" s="34"/>
      <c r="H83" s="34"/>
      <c r="I83" s="34"/>
      <c r="J83" s="34"/>
      <c r="K83" s="34"/>
      <c r="L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AA83" s="34"/>
      <c r="AB83" s="34"/>
      <c r="AC83" s="34"/>
      <c r="AD83" s="34"/>
      <c r="AE83" s="34"/>
      <c r="AF83" s="34"/>
      <c r="AG83" s="34"/>
      <c r="AH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I83" s="34"/>
      <c r="BJ83" s="34"/>
      <c r="BK83" s="34"/>
      <c r="BL83" s="34"/>
      <c r="BM83" s="34"/>
      <c r="BN83" s="34"/>
      <c r="BO83" s="34"/>
      <c r="BP83" s="34"/>
      <c r="BY83" s="34"/>
      <c r="BZ83" s="34"/>
      <c r="CA83" s="34"/>
      <c r="CB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</row>
    <row r="84" ht="15.75" customHeight="1">
      <c r="B84" s="34"/>
      <c r="E84" s="34"/>
      <c r="F84" s="34"/>
      <c r="G84" s="34"/>
      <c r="H84" s="34"/>
      <c r="I84" s="34"/>
      <c r="J84" s="34"/>
      <c r="K84" s="34"/>
      <c r="L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AA84" s="34"/>
      <c r="AB84" s="34"/>
      <c r="AC84" s="34"/>
      <c r="AD84" s="34"/>
      <c r="AE84" s="34"/>
      <c r="AF84" s="34"/>
      <c r="AG84" s="34"/>
      <c r="AH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I84" s="34"/>
      <c r="BJ84" s="34"/>
      <c r="BK84" s="34"/>
      <c r="BL84" s="34"/>
      <c r="BM84" s="34"/>
      <c r="BN84" s="34"/>
      <c r="BO84" s="34"/>
      <c r="BP84" s="34"/>
      <c r="BY84" s="34"/>
      <c r="BZ84" s="34"/>
      <c r="CA84" s="34"/>
      <c r="CB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</row>
    <row r="85" ht="15.75" customHeight="1">
      <c r="B85" s="34"/>
      <c r="E85" s="34"/>
      <c r="F85" s="34"/>
      <c r="G85" s="34"/>
      <c r="H85" s="34"/>
      <c r="I85" s="34"/>
      <c r="J85" s="34"/>
      <c r="K85" s="34"/>
      <c r="L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AA85" s="34"/>
      <c r="AB85" s="34"/>
      <c r="AC85" s="34"/>
      <c r="AD85" s="34"/>
      <c r="AE85" s="34"/>
      <c r="AF85" s="34"/>
      <c r="AG85" s="34"/>
      <c r="AH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I85" s="34"/>
      <c r="BJ85" s="34"/>
      <c r="BK85" s="34"/>
      <c r="BL85" s="34"/>
      <c r="BM85" s="34"/>
      <c r="BN85" s="34"/>
      <c r="BO85" s="34"/>
      <c r="BP85" s="34"/>
      <c r="BY85" s="34"/>
      <c r="BZ85" s="34"/>
      <c r="CA85" s="34"/>
      <c r="CB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</row>
    <row r="86" ht="15.75" customHeight="1">
      <c r="B86" s="34"/>
      <c r="E86" s="34"/>
      <c r="F86" s="34"/>
      <c r="G86" s="34"/>
      <c r="H86" s="34"/>
      <c r="I86" s="34"/>
      <c r="J86" s="34"/>
      <c r="K86" s="34"/>
      <c r="L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AA86" s="34"/>
      <c r="AB86" s="34"/>
      <c r="AC86" s="34"/>
      <c r="AD86" s="34"/>
      <c r="AE86" s="34"/>
      <c r="AF86" s="34"/>
      <c r="AG86" s="34"/>
      <c r="AH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I86" s="34"/>
      <c r="BJ86" s="34"/>
      <c r="BK86" s="34"/>
      <c r="BL86" s="34"/>
      <c r="BM86" s="34"/>
      <c r="BN86" s="34"/>
      <c r="BO86" s="34"/>
      <c r="BP86" s="34"/>
      <c r="BY86" s="34"/>
      <c r="BZ86" s="34"/>
      <c r="CA86" s="34"/>
      <c r="CB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</row>
    <row r="87" ht="15.75" customHeight="1">
      <c r="B87" s="34"/>
      <c r="E87" s="34"/>
      <c r="F87" s="34"/>
      <c r="G87" s="34"/>
      <c r="H87" s="34"/>
      <c r="I87" s="34"/>
      <c r="J87" s="34"/>
      <c r="K87" s="34"/>
      <c r="L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AA87" s="34"/>
      <c r="AB87" s="34"/>
      <c r="AC87" s="34"/>
      <c r="AD87" s="34"/>
      <c r="AE87" s="34"/>
      <c r="AF87" s="34"/>
      <c r="AG87" s="34"/>
      <c r="AH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I87" s="34"/>
      <c r="BJ87" s="34"/>
      <c r="BK87" s="34"/>
      <c r="BL87" s="34"/>
      <c r="BM87" s="34"/>
      <c r="BN87" s="34"/>
      <c r="BO87" s="34"/>
      <c r="BP87" s="34"/>
      <c r="BY87" s="34"/>
      <c r="BZ87" s="34"/>
      <c r="CA87" s="34"/>
      <c r="CB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</row>
    <row r="88" ht="15.75" customHeight="1">
      <c r="B88" s="34"/>
      <c r="E88" s="34"/>
      <c r="F88" s="34"/>
      <c r="G88" s="34"/>
      <c r="H88" s="34"/>
      <c r="I88" s="34"/>
      <c r="J88" s="34"/>
      <c r="K88" s="34"/>
      <c r="L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AA88" s="34"/>
      <c r="AB88" s="34"/>
      <c r="AC88" s="34"/>
      <c r="AD88" s="34"/>
      <c r="AE88" s="34"/>
      <c r="AF88" s="34"/>
      <c r="AG88" s="34"/>
      <c r="AH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I88" s="34"/>
      <c r="BJ88" s="34"/>
      <c r="BK88" s="34"/>
      <c r="BL88" s="34"/>
      <c r="BM88" s="34"/>
      <c r="BN88" s="34"/>
      <c r="BO88" s="34"/>
      <c r="BP88" s="34"/>
      <c r="BY88" s="34"/>
      <c r="BZ88" s="34"/>
      <c r="CA88" s="34"/>
      <c r="CB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</row>
    <row r="89" ht="15.75" customHeight="1">
      <c r="B89" s="34"/>
      <c r="E89" s="34"/>
      <c r="F89" s="34"/>
      <c r="G89" s="34"/>
      <c r="H89" s="34"/>
      <c r="I89" s="34"/>
      <c r="J89" s="34"/>
      <c r="K89" s="34"/>
      <c r="L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AA89" s="34"/>
      <c r="AB89" s="34"/>
      <c r="AC89" s="34"/>
      <c r="AD89" s="34"/>
      <c r="AE89" s="34"/>
      <c r="AF89" s="34"/>
      <c r="AG89" s="34"/>
      <c r="AH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I89" s="34"/>
      <c r="BJ89" s="34"/>
      <c r="BK89" s="34"/>
      <c r="BL89" s="34"/>
      <c r="BM89" s="34"/>
      <c r="BN89" s="34"/>
      <c r="BO89" s="34"/>
      <c r="BP89" s="34"/>
      <c r="BY89" s="34"/>
      <c r="BZ89" s="34"/>
      <c r="CA89" s="34"/>
      <c r="CB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</row>
    <row r="90" ht="15.75" customHeight="1">
      <c r="B90" s="34"/>
      <c r="E90" s="34"/>
      <c r="F90" s="34"/>
      <c r="G90" s="34"/>
      <c r="H90" s="34"/>
      <c r="I90" s="34"/>
      <c r="J90" s="34"/>
      <c r="K90" s="34"/>
      <c r="L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AA90" s="34"/>
      <c r="AB90" s="34"/>
      <c r="AC90" s="34"/>
      <c r="AD90" s="34"/>
      <c r="AE90" s="34"/>
      <c r="AF90" s="34"/>
      <c r="AG90" s="34"/>
      <c r="AH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I90" s="34"/>
      <c r="BJ90" s="34"/>
      <c r="BK90" s="34"/>
      <c r="BL90" s="34"/>
      <c r="BM90" s="34"/>
      <c r="BN90" s="34"/>
      <c r="BO90" s="34"/>
      <c r="BP90" s="34"/>
      <c r="BY90" s="34"/>
      <c r="BZ90" s="34"/>
      <c r="CA90" s="34"/>
      <c r="CB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</row>
    <row r="91" ht="15.75" customHeight="1">
      <c r="B91" s="34"/>
      <c r="E91" s="34"/>
      <c r="F91" s="34"/>
      <c r="G91" s="34"/>
      <c r="H91" s="34"/>
      <c r="I91" s="34"/>
      <c r="J91" s="34"/>
      <c r="K91" s="34"/>
      <c r="L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AA91" s="34"/>
      <c r="AB91" s="34"/>
      <c r="AC91" s="34"/>
      <c r="AD91" s="34"/>
      <c r="AE91" s="34"/>
      <c r="AF91" s="34"/>
      <c r="AG91" s="34"/>
      <c r="AH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I91" s="34"/>
      <c r="BJ91" s="34"/>
      <c r="BK91" s="34"/>
      <c r="BL91" s="34"/>
      <c r="BM91" s="34"/>
      <c r="BN91" s="34"/>
      <c r="BO91" s="34"/>
      <c r="BP91" s="34"/>
      <c r="BY91" s="34"/>
      <c r="BZ91" s="34"/>
      <c r="CA91" s="34"/>
      <c r="CB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</row>
    <row r="92" ht="15.75" customHeight="1">
      <c r="B92" s="34"/>
      <c r="E92" s="34"/>
      <c r="F92" s="34"/>
      <c r="G92" s="34"/>
      <c r="H92" s="34"/>
      <c r="I92" s="34"/>
      <c r="J92" s="34"/>
      <c r="K92" s="34"/>
      <c r="L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AA92" s="34"/>
      <c r="AB92" s="34"/>
      <c r="AC92" s="34"/>
      <c r="AD92" s="34"/>
      <c r="AE92" s="34"/>
      <c r="AF92" s="34"/>
      <c r="AG92" s="34"/>
      <c r="AH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I92" s="34"/>
      <c r="BJ92" s="34"/>
      <c r="BK92" s="34"/>
      <c r="BL92" s="34"/>
      <c r="BM92" s="34"/>
      <c r="BN92" s="34"/>
      <c r="BO92" s="34"/>
      <c r="BP92" s="34"/>
      <c r="BY92" s="34"/>
      <c r="BZ92" s="34"/>
      <c r="CA92" s="34"/>
      <c r="CB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</row>
    <row r="93" ht="15.75" customHeight="1">
      <c r="B93" s="34"/>
      <c r="E93" s="34"/>
      <c r="F93" s="34"/>
      <c r="G93" s="34"/>
      <c r="H93" s="34"/>
      <c r="I93" s="34"/>
      <c r="J93" s="34"/>
      <c r="K93" s="34"/>
      <c r="L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AA93" s="34"/>
      <c r="AB93" s="34"/>
      <c r="AC93" s="34"/>
      <c r="AD93" s="34"/>
      <c r="AE93" s="34"/>
      <c r="AF93" s="34"/>
      <c r="AG93" s="34"/>
      <c r="AH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I93" s="34"/>
      <c r="BJ93" s="34"/>
      <c r="BK93" s="34"/>
      <c r="BL93" s="34"/>
      <c r="BM93" s="34"/>
      <c r="BN93" s="34"/>
      <c r="BO93" s="34"/>
      <c r="BP93" s="34"/>
      <c r="BY93" s="34"/>
      <c r="BZ93" s="34"/>
      <c r="CA93" s="34"/>
      <c r="CB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</row>
    <row r="94" ht="15.75" customHeight="1">
      <c r="B94" s="34"/>
      <c r="E94" s="34"/>
      <c r="F94" s="34"/>
      <c r="G94" s="34"/>
      <c r="H94" s="34"/>
      <c r="I94" s="34"/>
      <c r="J94" s="34"/>
      <c r="K94" s="34"/>
      <c r="L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AA94" s="34"/>
      <c r="AB94" s="34"/>
      <c r="AC94" s="34"/>
      <c r="AD94" s="34"/>
      <c r="AE94" s="34"/>
      <c r="AF94" s="34"/>
      <c r="AG94" s="34"/>
      <c r="AH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I94" s="34"/>
      <c r="BJ94" s="34"/>
      <c r="BK94" s="34"/>
      <c r="BL94" s="34"/>
      <c r="BM94" s="34"/>
      <c r="BN94" s="34"/>
      <c r="BO94" s="34"/>
      <c r="BP94" s="34"/>
      <c r="BY94" s="34"/>
      <c r="BZ94" s="34"/>
      <c r="CA94" s="34"/>
      <c r="CB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</row>
    <row r="95" ht="15.75" customHeight="1">
      <c r="B95" s="34"/>
      <c r="E95" s="34"/>
      <c r="F95" s="34"/>
      <c r="G95" s="34"/>
      <c r="H95" s="34"/>
      <c r="I95" s="34"/>
      <c r="J95" s="34"/>
      <c r="K95" s="34"/>
      <c r="L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AA95" s="34"/>
      <c r="AB95" s="34"/>
      <c r="AC95" s="34"/>
      <c r="AD95" s="34"/>
      <c r="AE95" s="34"/>
      <c r="AF95" s="34"/>
      <c r="AG95" s="34"/>
      <c r="AH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I95" s="34"/>
      <c r="BJ95" s="34"/>
      <c r="BK95" s="34"/>
      <c r="BL95" s="34"/>
      <c r="BM95" s="34"/>
      <c r="BN95" s="34"/>
      <c r="BO95" s="34"/>
      <c r="BP95" s="34"/>
      <c r="BY95" s="34"/>
      <c r="BZ95" s="34"/>
      <c r="CA95" s="34"/>
      <c r="CB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</row>
    <row r="96" ht="15.75" customHeight="1">
      <c r="B96" s="34"/>
      <c r="E96" s="34"/>
      <c r="F96" s="34"/>
      <c r="G96" s="34"/>
      <c r="H96" s="34"/>
      <c r="I96" s="34"/>
      <c r="J96" s="34"/>
      <c r="K96" s="34"/>
      <c r="L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AA96" s="34"/>
      <c r="AB96" s="34"/>
      <c r="AC96" s="34"/>
      <c r="AD96" s="34"/>
      <c r="AE96" s="34"/>
      <c r="AF96" s="34"/>
      <c r="AG96" s="34"/>
      <c r="AH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I96" s="34"/>
      <c r="BJ96" s="34"/>
      <c r="BK96" s="34"/>
      <c r="BL96" s="34"/>
      <c r="BM96" s="34"/>
      <c r="BN96" s="34"/>
      <c r="BO96" s="34"/>
      <c r="BP96" s="34"/>
      <c r="BY96" s="34"/>
      <c r="BZ96" s="34"/>
      <c r="CA96" s="34"/>
      <c r="CB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</row>
    <row r="97" ht="15.75" customHeight="1">
      <c r="B97" s="34"/>
      <c r="E97" s="34"/>
      <c r="F97" s="34"/>
      <c r="G97" s="34"/>
      <c r="H97" s="34"/>
      <c r="I97" s="34"/>
      <c r="J97" s="34"/>
      <c r="K97" s="34"/>
      <c r="L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AA97" s="34"/>
      <c r="AB97" s="34"/>
      <c r="AC97" s="34"/>
      <c r="AD97" s="34"/>
      <c r="AE97" s="34"/>
      <c r="AF97" s="34"/>
      <c r="AG97" s="34"/>
      <c r="AH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I97" s="34"/>
      <c r="BJ97" s="34"/>
      <c r="BK97" s="34"/>
      <c r="BL97" s="34"/>
      <c r="BM97" s="34"/>
      <c r="BN97" s="34"/>
      <c r="BO97" s="34"/>
      <c r="BP97" s="34"/>
      <c r="BY97" s="34"/>
      <c r="BZ97" s="34"/>
      <c r="CA97" s="34"/>
      <c r="CB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</row>
    <row r="98" ht="15.75" customHeight="1">
      <c r="B98" s="34"/>
      <c r="E98" s="34"/>
      <c r="F98" s="34"/>
      <c r="G98" s="34"/>
      <c r="H98" s="34"/>
      <c r="I98" s="34"/>
      <c r="J98" s="34"/>
      <c r="K98" s="34"/>
      <c r="L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AA98" s="34"/>
      <c r="AB98" s="34"/>
      <c r="AC98" s="34"/>
      <c r="AD98" s="34"/>
      <c r="AE98" s="34"/>
      <c r="AF98" s="34"/>
      <c r="AG98" s="34"/>
      <c r="AH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I98" s="34"/>
      <c r="BJ98" s="34"/>
      <c r="BK98" s="34"/>
      <c r="BL98" s="34"/>
      <c r="BM98" s="34"/>
      <c r="BN98" s="34"/>
      <c r="BO98" s="34"/>
      <c r="BP98" s="34"/>
      <c r="BY98" s="34"/>
      <c r="BZ98" s="34"/>
      <c r="CA98" s="34"/>
      <c r="CB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</row>
    <row r="99" ht="15.75" customHeight="1">
      <c r="B99" s="34"/>
      <c r="E99" s="34"/>
      <c r="F99" s="34"/>
      <c r="G99" s="34"/>
      <c r="H99" s="34"/>
      <c r="I99" s="34"/>
      <c r="J99" s="34"/>
      <c r="K99" s="34"/>
      <c r="L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AA99" s="34"/>
      <c r="AB99" s="34"/>
      <c r="AC99" s="34"/>
      <c r="AD99" s="34"/>
      <c r="AE99" s="34"/>
      <c r="AF99" s="34"/>
      <c r="AG99" s="34"/>
      <c r="AH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I99" s="34"/>
      <c r="BJ99" s="34"/>
      <c r="BK99" s="34"/>
      <c r="BL99" s="34"/>
      <c r="BM99" s="34"/>
      <c r="BN99" s="34"/>
      <c r="BO99" s="34"/>
      <c r="BP99" s="34"/>
      <c r="BY99" s="34"/>
      <c r="BZ99" s="34"/>
      <c r="CA99" s="34"/>
      <c r="CB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</row>
    <row r="100" ht="15.75" customHeight="1">
      <c r="B100" s="34"/>
      <c r="E100" s="34"/>
      <c r="F100" s="34"/>
      <c r="G100" s="34"/>
      <c r="H100" s="34"/>
      <c r="I100" s="34"/>
      <c r="J100" s="34"/>
      <c r="K100" s="34"/>
      <c r="L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AA100" s="34"/>
      <c r="AB100" s="34"/>
      <c r="AC100" s="34"/>
      <c r="AD100" s="34"/>
      <c r="AE100" s="34"/>
      <c r="AF100" s="34"/>
      <c r="AG100" s="34"/>
      <c r="AH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I100" s="34"/>
      <c r="BJ100" s="34"/>
      <c r="BK100" s="34"/>
      <c r="BL100" s="34"/>
      <c r="BM100" s="34"/>
      <c r="BN100" s="34"/>
      <c r="BO100" s="34"/>
      <c r="BP100" s="34"/>
      <c r="BY100" s="34"/>
      <c r="BZ100" s="34"/>
      <c r="CA100" s="34"/>
      <c r="CB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</row>
    <row r="101" ht="15.75" customHeight="1">
      <c r="B101" s="34"/>
      <c r="E101" s="34"/>
      <c r="F101" s="34"/>
      <c r="G101" s="34"/>
      <c r="H101" s="34"/>
      <c r="I101" s="34"/>
      <c r="J101" s="34"/>
      <c r="K101" s="34"/>
      <c r="L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AA101" s="34"/>
      <c r="AB101" s="34"/>
      <c r="AC101" s="34"/>
      <c r="AD101" s="34"/>
      <c r="AE101" s="34"/>
      <c r="AF101" s="34"/>
      <c r="AG101" s="34"/>
      <c r="AH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I101" s="34"/>
      <c r="BJ101" s="34"/>
      <c r="BK101" s="34"/>
      <c r="BL101" s="34"/>
      <c r="BM101" s="34"/>
      <c r="BN101" s="34"/>
      <c r="BO101" s="34"/>
      <c r="BP101" s="34"/>
      <c r="BY101" s="34"/>
      <c r="BZ101" s="34"/>
      <c r="CA101" s="34"/>
      <c r="CB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</row>
    <row r="102" ht="15.75" customHeight="1">
      <c r="B102" s="34"/>
      <c r="E102" s="34"/>
      <c r="F102" s="34"/>
      <c r="G102" s="34"/>
      <c r="H102" s="34"/>
      <c r="I102" s="34"/>
      <c r="J102" s="34"/>
      <c r="K102" s="34"/>
      <c r="L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AA102" s="34"/>
      <c r="AB102" s="34"/>
      <c r="AC102" s="34"/>
      <c r="AD102" s="34"/>
      <c r="AE102" s="34"/>
      <c r="AF102" s="34"/>
      <c r="AG102" s="34"/>
      <c r="AH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I102" s="34"/>
      <c r="BJ102" s="34"/>
      <c r="BK102" s="34"/>
      <c r="BL102" s="34"/>
      <c r="BM102" s="34"/>
      <c r="BN102" s="34"/>
      <c r="BO102" s="34"/>
      <c r="BP102" s="34"/>
      <c r="BY102" s="34"/>
      <c r="BZ102" s="34"/>
      <c r="CA102" s="34"/>
      <c r="CB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</row>
    <row r="103" ht="15.75" customHeight="1">
      <c r="B103" s="34"/>
      <c r="E103" s="34"/>
      <c r="F103" s="34"/>
      <c r="G103" s="34"/>
      <c r="H103" s="34"/>
      <c r="I103" s="34"/>
      <c r="J103" s="34"/>
      <c r="K103" s="34"/>
      <c r="L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AA103" s="34"/>
      <c r="AB103" s="34"/>
      <c r="AC103" s="34"/>
      <c r="AD103" s="34"/>
      <c r="AE103" s="34"/>
      <c r="AF103" s="34"/>
      <c r="AG103" s="34"/>
      <c r="AH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I103" s="34"/>
      <c r="BJ103" s="34"/>
      <c r="BK103" s="34"/>
      <c r="BL103" s="34"/>
      <c r="BM103" s="34"/>
      <c r="BN103" s="34"/>
      <c r="BO103" s="34"/>
      <c r="BP103" s="34"/>
      <c r="BY103" s="34"/>
      <c r="BZ103" s="34"/>
      <c r="CA103" s="34"/>
      <c r="CB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</row>
    <row r="104" ht="15.75" customHeight="1">
      <c r="B104" s="34"/>
      <c r="E104" s="34"/>
      <c r="F104" s="34"/>
      <c r="G104" s="34"/>
      <c r="H104" s="34"/>
      <c r="I104" s="34"/>
      <c r="J104" s="34"/>
      <c r="K104" s="34"/>
      <c r="L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AA104" s="34"/>
      <c r="AB104" s="34"/>
      <c r="AC104" s="34"/>
      <c r="AD104" s="34"/>
      <c r="AE104" s="34"/>
      <c r="AF104" s="34"/>
      <c r="AG104" s="34"/>
      <c r="AH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I104" s="34"/>
      <c r="BJ104" s="34"/>
      <c r="BK104" s="34"/>
      <c r="BL104" s="34"/>
      <c r="BM104" s="34"/>
      <c r="BN104" s="34"/>
      <c r="BO104" s="34"/>
      <c r="BP104" s="34"/>
      <c r="BY104" s="34"/>
      <c r="BZ104" s="34"/>
      <c r="CA104" s="34"/>
      <c r="CB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</row>
    <row r="105" ht="15.75" customHeight="1">
      <c r="B105" s="34"/>
      <c r="E105" s="34"/>
      <c r="F105" s="34"/>
      <c r="G105" s="34"/>
      <c r="H105" s="34"/>
      <c r="I105" s="34"/>
      <c r="J105" s="34"/>
      <c r="K105" s="34"/>
      <c r="L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AA105" s="34"/>
      <c r="AB105" s="34"/>
      <c r="AC105" s="34"/>
      <c r="AD105" s="34"/>
      <c r="AE105" s="34"/>
      <c r="AF105" s="34"/>
      <c r="AG105" s="34"/>
      <c r="AH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I105" s="34"/>
      <c r="BJ105" s="34"/>
      <c r="BK105" s="34"/>
      <c r="BL105" s="34"/>
      <c r="BM105" s="34"/>
      <c r="BN105" s="34"/>
      <c r="BO105" s="34"/>
      <c r="BP105" s="34"/>
      <c r="BY105" s="34"/>
      <c r="BZ105" s="34"/>
      <c r="CA105" s="34"/>
      <c r="CB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</row>
    <row r="106" ht="15.75" customHeight="1">
      <c r="B106" s="34"/>
      <c r="E106" s="34"/>
      <c r="F106" s="34"/>
      <c r="G106" s="34"/>
      <c r="H106" s="34"/>
      <c r="I106" s="34"/>
      <c r="J106" s="34"/>
      <c r="K106" s="34"/>
      <c r="L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AA106" s="34"/>
      <c r="AB106" s="34"/>
      <c r="AC106" s="34"/>
      <c r="AD106" s="34"/>
      <c r="AE106" s="34"/>
      <c r="AF106" s="34"/>
      <c r="AG106" s="34"/>
      <c r="AH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I106" s="34"/>
      <c r="BJ106" s="34"/>
      <c r="BK106" s="34"/>
      <c r="BL106" s="34"/>
      <c r="BM106" s="34"/>
      <c r="BN106" s="34"/>
      <c r="BO106" s="34"/>
      <c r="BP106" s="34"/>
      <c r="BY106" s="34"/>
      <c r="BZ106" s="34"/>
      <c r="CA106" s="34"/>
      <c r="CB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</row>
    <row r="107" ht="15.75" customHeight="1">
      <c r="B107" s="34"/>
      <c r="E107" s="34"/>
      <c r="F107" s="34"/>
      <c r="G107" s="34"/>
      <c r="H107" s="34"/>
      <c r="I107" s="34"/>
      <c r="J107" s="34"/>
      <c r="K107" s="34"/>
      <c r="L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AA107" s="34"/>
      <c r="AB107" s="34"/>
      <c r="AC107" s="34"/>
      <c r="AD107" s="34"/>
      <c r="AE107" s="34"/>
      <c r="AF107" s="34"/>
      <c r="AG107" s="34"/>
      <c r="AH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I107" s="34"/>
      <c r="BJ107" s="34"/>
      <c r="BK107" s="34"/>
      <c r="BL107" s="34"/>
      <c r="BM107" s="34"/>
      <c r="BN107" s="34"/>
      <c r="BO107" s="34"/>
      <c r="BP107" s="34"/>
      <c r="BY107" s="34"/>
      <c r="BZ107" s="34"/>
      <c r="CA107" s="34"/>
      <c r="CB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</row>
    <row r="108" ht="15.75" customHeight="1">
      <c r="B108" s="34"/>
      <c r="E108" s="34"/>
      <c r="F108" s="34"/>
      <c r="G108" s="34"/>
      <c r="H108" s="34"/>
      <c r="I108" s="34"/>
      <c r="J108" s="34"/>
      <c r="K108" s="34"/>
      <c r="L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AA108" s="34"/>
      <c r="AB108" s="34"/>
      <c r="AC108" s="34"/>
      <c r="AD108" s="34"/>
      <c r="AE108" s="34"/>
      <c r="AF108" s="34"/>
      <c r="AG108" s="34"/>
      <c r="AH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I108" s="34"/>
      <c r="BJ108" s="34"/>
      <c r="BK108" s="34"/>
      <c r="BL108" s="34"/>
      <c r="BM108" s="34"/>
      <c r="BN108" s="34"/>
      <c r="BO108" s="34"/>
      <c r="BP108" s="34"/>
      <c r="BY108" s="34"/>
      <c r="BZ108" s="34"/>
      <c r="CA108" s="34"/>
      <c r="CB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</row>
    <row r="109" ht="15.75" customHeight="1">
      <c r="B109" s="34"/>
      <c r="E109" s="34"/>
      <c r="F109" s="34"/>
      <c r="G109" s="34"/>
      <c r="H109" s="34"/>
      <c r="I109" s="34"/>
      <c r="J109" s="34"/>
      <c r="K109" s="34"/>
      <c r="L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AA109" s="34"/>
      <c r="AB109" s="34"/>
      <c r="AC109" s="34"/>
      <c r="AD109" s="34"/>
      <c r="AE109" s="34"/>
      <c r="AF109" s="34"/>
      <c r="AG109" s="34"/>
      <c r="AH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I109" s="34"/>
      <c r="BJ109" s="34"/>
      <c r="BK109" s="34"/>
      <c r="BL109" s="34"/>
      <c r="BM109" s="34"/>
      <c r="BN109" s="34"/>
      <c r="BO109" s="34"/>
      <c r="BP109" s="34"/>
      <c r="BY109" s="34"/>
      <c r="BZ109" s="34"/>
      <c r="CA109" s="34"/>
      <c r="CB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</row>
    <row r="110" ht="15.75" customHeight="1">
      <c r="B110" s="34"/>
      <c r="E110" s="34"/>
      <c r="F110" s="34"/>
      <c r="G110" s="34"/>
      <c r="H110" s="34"/>
      <c r="I110" s="34"/>
      <c r="J110" s="34"/>
      <c r="K110" s="34"/>
      <c r="L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AA110" s="34"/>
      <c r="AB110" s="34"/>
      <c r="AC110" s="34"/>
      <c r="AD110" s="34"/>
      <c r="AE110" s="34"/>
      <c r="AF110" s="34"/>
      <c r="AG110" s="34"/>
      <c r="AH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I110" s="34"/>
      <c r="BJ110" s="34"/>
      <c r="BK110" s="34"/>
      <c r="BL110" s="34"/>
      <c r="BM110" s="34"/>
      <c r="BN110" s="34"/>
      <c r="BO110" s="34"/>
      <c r="BP110" s="34"/>
      <c r="BY110" s="34"/>
      <c r="BZ110" s="34"/>
      <c r="CA110" s="34"/>
      <c r="CB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</row>
    <row r="111" ht="15.75" customHeight="1">
      <c r="B111" s="34"/>
      <c r="E111" s="34"/>
      <c r="F111" s="34"/>
      <c r="G111" s="34"/>
      <c r="H111" s="34"/>
      <c r="I111" s="34"/>
      <c r="J111" s="34"/>
      <c r="K111" s="34"/>
      <c r="L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AA111" s="34"/>
      <c r="AB111" s="34"/>
      <c r="AC111" s="34"/>
      <c r="AD111" s="34"/>
      <c r="AE111" s="34"/>
      <c r="AF111" s="34"/>
      <c r="AG111" s="34"/>
      <c r="AH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I111" s="34"/>
      <c r="BJ111" s="34"/>
      <c r="BK111" s="34"/>
      <c r="BL111" s="34"/>
      <c r="BM111" s="34"/>
      <c r="BN111" s="34"/>
      <c r="BO111" s="34"/>
      <c r="BP111" s="34"/>
      <c r="BY111" s="34"/>
      <c r="BZ111" s="34"/>
      <c r="CA111" s="34"/>
      <c r="CB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</row>
    <row r="112" ht="15.75" customHeight="1">
      <c r="B112" s="34"/>
      <c r="E112" s="34"/>
      <c r="F112" s="34"/>
      <c r="G112" s="34"/>
      <c r="H112" s="34"/>
      <c r="I112" s="34"/>
      <c r="J112" s="34"/>
      <c r="K112" s="34"/>
      <c r="L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AA112" s="34"/>
      <c r="AB112" s="34"/>
      <c r="AC112" s="34"/>
      <c r="AD112" s="34"/>
      <c r="AE112" s="34"/>
      <c r="AF112" s="34"/>
      <c r="AG112" s="34"/>
      <c r="AH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I112" s="34"/>
      <c r="BJ112" s="34"/>
      <c r="BK112" s="34"/>
      <c r="BL112" s="34"/>
      <c r="BM112" s="34"/>
      <c r="BN112" s="34"/>
      <c r="BO112" s="34"/>
      <c r="BP112" s="34"/>
      <c r="BY112" s="34"/>
      <c r="BZ112" s="34"/>
      <c r="CA112" s="34"/>
      <c r="CB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</row>
    <row r="113" ht="15.75" customHeight="1">
      <c r="B113" s="34"/>
      <c r="E113" s="34"/>
      <c r="F113" s="34"/>
      <c r="G113" s="34"/>
      <c r="H113" s="34"/>
      <c r="I113" s="34"/>
      <c r="J113" s="34"/>
      <c r="K113" s="34"/>
      <c r="L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AA113" s="34"/>
      <c r="AB113" s="34"/>
      <c r="AC113" s="34"/>
      <c r="AD113" s="34"/>
      <c r="AE113" s="34"/>
      <c r="AF113" s="34"/>
      <c r="AG113" s="34"/>
      <c r="AH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I113" s="34"/>
      <c r="BJ113" s="34"/>
      <c r="BK113" s="34"/>
      <c r="BL113" s="34"/>
      <c r="BM113" s="34"/>
      <c r="BN113" s="34"/>
      <c r="BO113" s="34"/>
      <c r="BP113" s="34"/>
      <c r="BY113" s="34"/>
      <c r="BZ113" s="34"/>
      <c r="CA113" s="34"/>
      <c r="CB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</row>
    <row r="114" ht="15.75" customHeight="1">
      <c r="B114" s="34"/>
      <c r="E114" s="34"/>
      <c r="F114" s="34"/>
      <c r="G114" s="34"/>
      <c r="H114" s="34"/>
      <c r="I114" s="34"/>
      <c r="J114" s="34"/>
      <c r="K114" s="34"/>
      <c r="L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AA114" s="34"/>
      <c r="AB114" s="34"/>
      <c r="AC114" s="34"/>
      <c r="AD114" s="34"/>
      <c r="AE114" s="34"/>
      <c r="AF114" s="34"/>
      <c r="AG114" s="34"/>
      <c r="AH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I114" s="34"/>
      <c r="BJ114" s="34"/>
      <c r="BK114" s="34"/>
      <c r="BL114" s="34"/>
      <c r="BM114" s="34"/>
      <c r="BN114" s="34"/>
      <c r="BO114" s="34"/>
      <c r="BP114" s="34"/>
      <c r="BY114" s="34"/>
      <c r="BZ114" s="34"/>
      <c r="CA114" s="34"/>
      <c r="CB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</row>
    <row r="115" ht="15.75" customHeight="1">
      <c r="B115" s="34"/>
      <c r="E115" s="34"/>
      <c r="F115" s="34"/>
      <c r="G115" s="34"/>
      <c r="H115" s="34"/>
      <c r="I115" s="34"/>
      <c r="J115" s="34"/>
      <c r="K115" s="34"/>
      <c r="L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AA115" s="34"/>
      <c r="AB115" s="34"/>
      <c r="AC115" s="34"/>
      <c r="AD115" s="34"/>
      <c r="AE115" s="34"/>
      <c r="AF115" s="34"/>
      <c r="AG115" s="34"/>
      <c r="AH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I115" s="34"/>
      <c r="BJ115" s="34"/>
      <c r="BK115" s="34"/>
      <c r="BL115" s="34"/>
      <c r="BM115" s="34"/>
      <c r="BN115" s="34"/>
      <c r="BO115" s="34"/>
      <c r="BP115" s="34"/>
      <c r="BY115" s="34"/>
      <c r="BZ115" s="34"/>
      <c r="CA115" s="34"/>
      <c r="CB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</row>
    <row r="116" ht="15.75" customHeight="1">
      <c r="B116" s="34"/>
      <c r="E116" s="34"/>
      <c r="F116" s="34"/>
      <c r="G116" s="34"/>
      <c r="H116" s="34"/>
      <c r="I116" s="34"/>
      <c r="J116" s="34"/>
      <c r="K116" s="34"/>
      <c r="L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AA116" s="34"/>
      <c r="AB116" s="34"/>
      <c r="AC116" s="34"/>
      <c r="AD116" s="34"/>
      <c r="AE116" s="34"/>
      <c r="AF116" s="34"/>
      <c r="AG116" s="34"/>
      <c r="AH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I116" s="34"/>
      <c r="BJ116" s="34"/>
      <c r="BK116" s="34"/>
      <c r="BL116" s="34"/>
      <c r="BM116" s="34"/>
      <c r="BN116" s="34"/>
      <c r="BO116" s="34"/>
      <c r="BP116" s="34"/>
      <c r="BY116" s="34"/>
      <c r="BZ116" s="34"/>
      <c r="CA116" s="34"/>
      <c r="CB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</row>
    <row r="117" ht="15.75" customHeight="1">
      <c r="B117" s="34"/>
      <c r="E117" s="34"/>
      <c r="F117" s="34"/>
      <c r="G117" s="34"/>
      <c r="H117" s="34"/>
      <c r="I117" s="34"/>
      <c r="J117" s="34"/>
      <c r="K117" s="34"/>
      <c r="L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AA117" s="34"/>
      <c r="AB117" s="34"/>
      <c r="AC117" s="34"/>
      <c r="AD117" s="34"/>
      <c r="AE117" s="34"/>
      <c r="AF117" s="34"/>
      <c r="AG117" s="34"/>
      <c r="AH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I117" s="34"/>
      <c r="BJ117" s="34"/>
      <c r="BK117" s="34"/>
      <c r="BL117" s="34"/>
      <c r="BM117" s="34"/>
      <c r="BN117" s="34"/>
      <c r="BO117" s="34"/>
      <c r="BP117" s="34"/>
      <c r="BY117" s="34"/>
      <c r="BZ117" s="34"/>
      <c r="CA117" s="34"/>
      <c r="CB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</row>
    <row r="118" ht="15.75" customHeight="1">
      <c r="B118" s="34"/>
      <c r="E118" s="34"/>
      <c r="F118" s="34"/>
      <c r="G118" s="34"/>
      <c r="H118" s="34"/>
      <c r="I118" s="34"/>
      <c r="J118" s="34"/>
      <c r="K118" s="34"/>
      <c r="L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AA118" s="34"/>
      <c r="AB118" s="34"/>
      <c r="AC118" s="34"/>
      <c r="AD118" s="34"/>
      <c r="AE118" s="34"/>
      <c r="AF118" s="34"/>
      <c r="AG118" s="34"/>
      <c r="AH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I118" s="34"/>
      <c r="BJ118" s="34"/>
      <c r="BK118" s="34"/>
      <c r="BL118" s="34"/>
      <c r="BM118" s="34"/>
      <c r="BN118" s="34"/>
      <c r="BO118" s="34"/>
      <c r="BP118" s="34"/>
      <c r="BY118" s="34"/>
      <c r="BZ118" s="34"/>
      <c r="CA118" s="34"/>
      <c r="CB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</row>
    <row r="119" ht="15.75" customHeight="1">
      <c r="B119" s="34"/>
      <c r="E119" s="34"/>
      <c r="F119" s="34"/>
      <c r="G119" s="34"/>
      <c r="H119" s="34"/>
      <c r="I119" s="34"/>
      <c r="J119" s="34"/>
      <c r="K119" s="34"/>
      <c r="L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AA119" s="34"/>
      <c r="AB119" s="34"/>
      <c r="AC119" s="34"/>
      <c r="AD119" s="34"/>
      <c r="AE119" s="34"/>
      <c r="AF119" s="34"/>
      <c r="AG119" s="34"/>
      <c r="AH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I119" s="34"/>
      <c r="BJ119" s="34"/>
      <c r="BK119" s="34"/>
      <c r="BL119" s="34"/>
      <c r="BM119" s="34"/>
      <c r="BN119" s="34"/>
      <c r="BO119" s="34"/>
      <c r="BP119" s="34"/>
      <c r="BY119" s="34"/>
      <c r="BZ119" s="34"/>
      <c r="CA119" s="34"/>
      <c r="CB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</row>
    <row r="120" ht="15.75" customHeight="1">
      <c r="B120" s="34"/>
      <c r="E120" s="34"/>
      <c r="F120" s="34"/>
      <c r="G120" s="34"/>
      <c r="H120" s="34"/>
      <c r="I120" s="34"/>
      <c r="J120" s="34"/>
      <c r="K120" s="34"/>
      <c r="L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AA120" s="34"/>
      <c r="AB120" s="34"/>
      <c r="AC120" s="34"/>
      <c r="AD120" s="34"/>
      <c r="AE120" s="34"/>
      <c r="AF120" s="34"/>
      <c r="AG120" s="34"/>
      <c r="AH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I120" s="34"/>
      <c r="BJ120" s="34"/>
      <c r="BK120" s="34"/>
      <c r="BL120" s="34"/>
      <c r="BM120" s="34"/>
      <c r="BN120" s="34"/>
      <c r="BO120" s="34"/>
      <c r="BP120" s="34"/>
      <c r="BY120" s="34"/>
      <c r="BZ120" s="34"/>
      <c r="CA120" s="34"/>
      <c r="CB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</row>
    <row r="121" ht="15.75" customHeight="1">
      <c r="B121" s="34"/>
      <c r="E121" s="34"/>
      <c r="F121" s="34"/>
      <c r="G121" s="34"/>
      <c r="H121" s="34"/>
      <c r="I121" s="34"/>
      <c r="J121" s="34"/>
      <c r="K121" s="34"/>
      <c r="L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AA121" s="34"/>
      <c r="AB121" s="34"/>
      <c r="AC121" s="34"/>
      <c r="AD121" s="34"/>
      <c r="AE121" s="34"/>
      <c r="AF121" s="34"/>
      <c r="AG121" s="34"/>
      <c r="AH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I121" s="34"/>
      <c r="BJ121" s="34"/>
      <c r="BK121" s="34"/>
      <c r="BL121" s="34"/>
      <c r="BM121" s="34"/>
      <c r="BN121" s="34"/>
      <c r="BO121" s="34"/>
      <c r="BP121" s="34"/>
      <c r="BY121" s="34"/>
      <c r="BZ121" s="34"/>
      <c r="CA121" s="34"/>
      <c r="CB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</row>
    <row r="122" ht="15.75" customHeight="1">
      <c r="B122" s="34"/>
      <c r="E122" s="34"/>
      <c r="F122" s="34"/>
      <c r="G122" s="34"/>
      <c r="H122" s="34"/>
      <c r="I122" s="34"/>
      <c r="J122" s="34"/>
      <c r="K122" s="34"/>
      <c r="L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AA122" s="34"/>
      <c r="AB122" s="34"/>
      <c r="AC122" s="34"/>
      <c r="AD122" s="34"/>
      <c r="AE122" s="34"/>
      <c r="AF122" s="34"/>
      <c r="AG122" s="34"/>
      <c r="AH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I122" s="34"/>
      <c r="BJ122" s="34"/>
      <c r="BK122" s="34"/>
      <c r="BL122" s="34"/>
      <c r="BM122" s="34"/>
      <c r="BN122" s="34"/>
      <c r="BO122" s="34"/>
      <c r="BP122" s="34"/>
      <c r="BY122" s="34"/>
      <c r="BZ122" s="34"/>
      <c r="CA122" s="34"/>
      <c r="CB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</row>
    <row r="123" ht="15.75" customHeight="1">
      <c r="B123" s="34"/>
      <c r="E123" s="34"/>
      <c r="F123" s="34"/>
      <c r="G123" s="34"/>
      <c r="H123" s="34"/>
      <c r="I123" s="34"/>
      <c r="J123" s="34"/>
      <c r="K123" s="34"/>
      <c r="L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AA123" s="34"/>
      <c r="AB123" s="34"/>
      <c r="AC123" s="34"/>
      <c r="AD123" s="34"/>
      <c r="AE123" s="34"/>
      <c r="AF123" s="34"/>
      <c r="AG123" s="34"/>
      <c r="AH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I123" s="34"/>
      <c r="BJ123" s="34"/>
      <c r="BK123" s="34"/>
      <c r="BL123" s="34"/>
      <c r="BM123" s="34"/>
      <c r="BN123" s="34"/>
      <c r="BO123" s="34"/>
      <c r="BP123" s="34"/>
      <c r="BY123" s="34"/>
      <c r="BZ123" s="34"/>
      <c r="CA123" s="34"/>
      <c r="CB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</row>
    <row r="124" ht="15.75" customHeight="1">
      <c r="B124" s="34"/>
      <c r="E124" s="34"/>
      <c r="F124" s="34"/>
      <c r="G124" s="34"/>
      <c r="H124" s="34"/>
      <c r="I124" s="34"/>
      <c r="J124" s="34"/>
      <c r="K124" s="34"/>
      <c r="L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AA124" s="34"/>
      <c r="AB124" s="34"/>
      <c r="AC124" s="34"/>
      <c r="AD124" s="34"/>
      <c r="AE124" s="34"/>
      <c r="AF124" s="34"/>
      <c r="AG124" s="34"/>
      <c r="AH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I124" s="34"/>
      <c r="BJ124" s="34"/>
      <c r="BK124" s="34"/>
      <c r="BL124" s="34"/>
      <c r="BM124" s="34"/>
      <c r="BN124" s="34"/>
      <c r="BO124" s="34"/>
      <c r="BP124" s="34"/>
      <c r="BY124" s="34"/>
      <c r="BZ124" s="34"/>
      <c r="CA124" s="34"/>
      <c r="CB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</row>
    <row r="125" ht="15.75" customHeight="1">
      <c r="B125" s="34"/>
      <c r="E125" s="34"/>
      <c r="F125" s="34"/>
      <c r="G125" s="34"/>
      <c r="H125" s="34"/>
      <c r="I125" s="34"/>
      <c r="J125" s="34"/>
      <c r="K125" s="34"/>
      <c r="L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AA125" s="34"/>
      <c r="AB125" s="34"/>
      <c r="AC125" s="34"/>
      <c r="AD125" s="34"/>
      <c r="AE125" s="34"/>
      <c r="AF125" s="34"/>
      <c r="AG125" s="34"/>
      <c r="AH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I125" s="34"/>
      <c r="BJ125" s="34"/>
      <c r="BK125" s="34"/>
      <c r="BL125" s="34"/>
      <c r="BM125" s="34"/>
      <c r="BN125" s="34"/>
      <c r="BO125" s="34"/>
      <c r="BP125" s="34"/>
      <c r="BY125" s="34"/>
      <c r="BZ125" s="34"/>
      <c r="CA125" s="34"/>
      <c r="CB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</row>
    <row r="126" ht="15.75" customHeight="1">
      <c r="B126" s="34"/>
      <c r="E126" s="34"/>
      <c r="F126" s="34"/>
      <c r="G126" s="34"/>
      <c r="H126" s="34"/>
      <c r="I126" s="34"/>
      <c r="J126" s="34"/>
      <c r="K126" s="34"/>
      <c r="L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AA126" s="34"/>
      <c r="AB126" s="34"/>
      <c r="AC126" s="34"/>
      <c r="AD126" s="34"/>
      <c r="AE126" s="34"/>
      <c r="AF126" s="34"/>
      <c r="AG126" s="34"/>
      <c r="AH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I126" s="34"/>
      <c r="BJ126" s="34"/>
      <c r="BK126" s="34"/>
      <c r="BL126" s="34"/>
      <c r="BM126" s="34"/>
      <c r="BN126" s="34"/>
      <c r="BO126" s="34"/>
      <c r="BP126" s="34"/>
      <c r="BY126" s="34"/>
      <c r="BZ126" s="34"/>
      <c r="CA126" s="34"/>
      <c r="CB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</row>
    <row r="127" ht="15.75" customHeight="1">
      <c r="B127" s="34"/>
      <c r="E127" s="34"/>
      <c r="F127" s="34"/>
      <c r="G127" s="34"/>
      <c r="H127" s="34"/>
      <c r="I127" s="34"/>
      <c r="J127" s="34"/>
      <c r="K127" s="34"/>
      <c r="L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AA127" s="34"/>
      <c r="AB127" s="34"/>
      <c r="AC127" s="34"/>
      <c r="AD127" s="34"/>
      <c r="AE127" s="34"/>
      <c r="AF127" s="34"/>
      <c r="AG127" s="34"/>
      <c r="AH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I127" s="34"/>
      <c r="BJ127" s="34"/>
      <c r="BK127" s="34"/>
      <c r="BL127" s="34"/>
      <c r="BM127" s="34"/>
      <c r="BN127" s="34"/>
      <c r="BO127" s="34"/>
      <c r="BP127" s="34"/>
      <c r="BY127" s="34"/>
      <c r="BZ127" s="34"/>
      <c r="CA127" s="34"/>
      <c r="CB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</row>
    <row r="128" ht="15.75" customHeight="1">
      <c r="B128" s="34"/>
      <c r="E128" s="34"/>
      <c r="F128" s="34"/>
      <c r="G128" s="34"/>
      <c r="H128" s="34"/>
      <c r="I128" s="34"/>
      <c r="J128" s="34"/>
      <c r="K128" s="34"/>
      <c r="L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AA128" s="34"/>
      <c r="AB128" s="34"/>
      <c r="AC128" s="34"/>
      <c r="AD128" s="34"/>
      <c r="AE128" s="34"/>
      <c r="AF128" s="34"/>
      <c r="AG128" s="34"/>
      <c r="AH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I128" s="34"/>
      <c r="BJ128" s="34"/>
      <c r="BK128" s="34"/>
      <c r="BL128" s="34"/>
      <c r="BM128" s="34"/>
      <c r="BN128" s="34"/>
      <c r="BO128" s="34"/>
      <c r="BP128" s="34"/>
      <c r="BY128" s="34"/>
      <c r="BZ128" s="34"/>
      <c r="CA128" s="34"/>
      <c r="CB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</row>
    <row r="129" ht="15.75" customHeight="1">
      <c r="B129" s="34"/>
      <c r="E129" s="34"/>
      <c r="F129" s="34"/>
      <c r="G129" s="34"/>
      <c r="H129" s="34"/>
      <c r="I129" s="34"/>
      <c r="J129" s="34"/>
      <c r="K129" s="34"/>
      <c r="L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AA129" s="34"/>
      <c r="AB129" s="34"/>
      <c r="AC129" s="34"/>
      <c r="AD129" s="34"/>
      <c r="AE129" s="34"/>
      <c r="AF129" s="34"/>
      <c r="AG129" s="34"/>
      <c r="AH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I129" s="34"/>
      <c r="BJ129" s="34"/>
      <c r="BK129" s="34"/>
      <c r="BL129" s="34"/>
      <c r="BM129" s="34"/>
      <c r="BN129" s="34"/>
      <c r="BO129" s="34"/>
      <c r="BP129" s="34"/>
      <c r="BY129" s="34"/>
      <c r="BZ129" s="34"/>
      <c r="CA129" s="34"/>
      <c r="CB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</row>
    <row r="130" ht="15.75" customHeight="1">
      <c r="B130" s="34"/>
      <c r="E130" s="34"/>
      <c r="F130" s="34"/>
      <c r="G130" s="34"/>
      <c r="H130" s="34"/>
      <c r="I130" s="34"/>
      <c r="J130" s="34"/>
      <c r="K130" s="34"/>
      <c r="L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AA130" s="34"/>
      <c r="AB130" s="34"/>
      <c r="AC130" s="34"/>
      <c r="AD130" s="34"/>
      <c r="AE130" s="34"/>
      <c r="AF130" s="34"/>
      <c r="AG130" s="34"/>
      <c r="AH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I130" s="34"/>
      <c r="BJ130" s="34"/>
      <c r="BK130" s="34"/>
      <c r="BL130" s="34"/>
      <c r="BM130" s="34"/>
      <c r="BN130" s="34"/>
      <c r="BO130" s="34"/>
      <c r="BP130" s="34"/>
      <c r="BY130" s="34"/>
      <c r="BZ130" s="34"/>
      <c r="CA130" s="34"/>
      <c r="CB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</row>
    <row r="131" ht="15.75" customHeight="1">
      <c r="B131" s="34"/>
      <c r="E131" s="34"/>
      <c r="F131" s="34"/>
      <c r="G131" s="34"/>
      <c r="H131" s="34"/>
      <c r="I131" s="34"/>
      <c r="J131" s="34"/>
      <c r="K131" s="34"/>
      <c r="L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AA131" s="34"/>
      <c r="AB131" s="34"/>
      <c r="AC131" s="34"/>
      <c r="AD131" s="34"/>
      <c r="AE131" s="34"/>
      <c r="AF131" s="34"/>
      <c r="AG131" s="34"/>
      <c r="AH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I131" s="34"/>
      <c r="BJ131" s="34"/>
      <c r="BK131" s="34"/>
      <c r="BL131" s="34"/>
      <c r="BM131" s="34"/>
      <c r="BN131" s="34"/>
      <c r="BO131" s="34"/>
      <c r="BP131" s="34"/>
      <c r="BY131" s="34"/>
      <c r="BZ131" s="34"/>
      <c r="CA131" s="34"/>
      <c r="CB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</row>
    <row r="132" ht="15.75" customHeight="1">
      <c r="B132" s="34"/>
      <c r="E132" s="34"/>
      <c r="F132" s="34"/>
      <c r="G132" s="34"/>
      <c r="H132" s="34"/>
      <c r="I132" s="34"/>
      <c r="J132" s="34"/>
      <c r="K132" s="34"/>
      <c r="L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AA132" s="34"/>
      <c r="AB132" s="34"/>
      <c r="AC132" s="34"/>
      <c r="AD132" s="34"/>
      <c r="AE132" s="34"/>
      <c r="AF132" s="34"/>
      <c r="AG132" s="34"/>
      <c r="AH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I132" s="34"/>
      <c r="BJ132" s="34"/>
      <c r="BK132" s="34"/>
      <c r="BL132" s="34"/>
      <c r="BM132" s="34"/>
      <c r="BN132" s="34"/>
      <c r="BO132" s="34"/>
      <c r="BP132" s="34"/>
      <c r="BY132" s="34"/>
      <c r="BZ132" s="34"/>
      <c r="CA132" s="34"/>
      <c r="CB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</row>
    <row r="133" ht="15.75" customHeight="1">
      <c r="B133" s="34"/>
      <c r="E133" s="34"/>
      <c r="F133" s="34"/>
      <c r="G133" s="34"/>
      <c r="H133" s="34"/>
      <c r="I133" s="34"/>
      <c r="J133" s="34"/>
      <c r="K133" s="34"/>
      <c r="L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AA133" s="34"/>
      <c r="AB133" s="34"/>
      <c r="AC133" s="34"/>
      <c r="AD133" s="34"/>
      <c r="AE133" s="34"/>
      <c r="AF133" s="34"/>
      <c r="AG133" s="34"/>
      <c r="AH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I133" s="34"/>
      <c r="BJ133" s="34"/>
      <c r="BK133" s="34"/>
      <c r="BL133" s="34"/>
      <c r="BM133" s="34"/>
      <c r="BN133" s="34"/>
      <c r="BO133" s="34"/>
      <c r="BP133" s="34"/>
      <c r="BY133" s="34"/>
      <c r="BZ133" s="34"/>
      <c r="CA133" s="34"/>
      <c r="CB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</row>
    <row r="134" ht="15.75" customHeight="1">
      <c r="B134" s="34"/>
      <c r="E134" s="34"/>
      <c r="F134" s="34"/>
      <c r="G134" s="34"/>
      <c r="H134" s="34"/>
      <c r="I134" s="34"/>
      <c r="J134" s="34"/>
      <c r="K134" s="34"/>
      <c r="L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AA134" s="34"/>
      <c r="AB134" s="34"/>
      <c r="AC134" s="34"/>
      <c r="AD134" s="34"/>
      <c r="AE134" s="34"/>
      <c r="AF134" s="34"/>
      <c r="AG134" s="34"/>
      <c r="AH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I134" s="34"/>
      <c r="BJ134" s="34"/>
      <c r="BK134" s="34"/>
      <c r="BL134" s="34"/>
      <c r="BM134" s="34"/>
      <c r="BN134" s="34"/>
      <c r="BO134" s="34"/>
      <c r="BP134" s="34"/>
      <c r="BY134" s="34"/>
      <c r="BZ134" s="34"/>
      <c r="CA134" s="34"/>
      <c r="CB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</row>
    <row r="135" ht="15.75" customHeight="1">
      <c r="B135" s="34"/>
      <c r="E135" s="34"/>
      <c r="F135" s="34"/>
      <c r="G135" s="34"/>
      <c r="H135" s="34"/>
      <c r="I135" s="34"/>
      <c r="J135" s="34"/>
      <c r="K135" s="34"/>
      <c r="L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AA135" s="34"/>
      <c r="AB135" s="34"/>
      <c r="AC135" s="34"/>
      <c r="AD135" s="34"/>
      <c r="AE135" s="34"/>
      <c r="AF135" s="34"/>
      <c r="AG135" s="34"/>
      <c r="AH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I135" s="34"/>
      <c r="BJ135" s="34"/>
      <c r="BK135" s="34"/>
      <c r="BL135" s="34"/>
      <c r="BM135" s="34"/>
      <c r="BN135" s="34"/>
      <c r="BO135" s="34"/>
      <c r="BP135" s="34"/>
      <c r="BY135" s="34"/>
      <c r="BZ135" s="34"/>
      <c r="CA135" s="34"/>
      <c r="CB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</row>
    <row r="136" ht="15.75" customHeight="1">
      <c r="B136" s="34"/>
      <c r="E136" s="34"/>
      <c r="F136" s="34"/>
      <c r="G136" s="34"/>
      <c r="H136" s="34"/>
      <c r="I136" s="34"/>
      <c r="J136" s="34"/>
      <c r="K136" s="34"/>
      <c r="L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AA136" s="34"/>
      <c r="AB136" s="34"/>
      <c r="AC136" s="34"/>
      <c r="AD136" s="34"/>
      <c r="AE136" s="34"/>
      <c r="AF136" s="34"/>
      <c r="AG136" s="34"/>
      <c r="AH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I136" s="34"/>
      <c r="BJ136" s="34"/>
      <c r="BK136" s="34"/>
      <c r="BL136" s="34"/>
      <c r="BM136" s="34"/>
      <c r="BN136" s="34"/>
      <c r="BO136" s="34"/>
      <c r="BP136" s="34"/>
      <c r="BY136" s="34"/>
      <c r="BZ136" s="34"/>
      <c r="CA136" s="34"/>
      <c r="CB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</row>
    <row r="137" ht="15.75" customHeight="1">
      <c r="B137" s="34"/>
      <c r="E137" s="34"/>
      <c r="F137" s="34"/>
      <c r="G137" s="34"/>
      <c r="H137" s="34"/>
      <c r="I137" s="34"/>
      <c r="J137" s="34"/>
      <c r="K137" s="34"/>
      <c r="L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AA137" s="34"/>
      <c r="AB137" s="34"/>
      <c r="AC137" s="34"/>
      <c r="AD137" s="34"/>
      <c r="AE137" s="34"/>
      <c r="AF137" s="34"/>
      <c r="AG137" s="34"/>
      <c r="AH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I137" s="34"/>
      <c r="BJ137" s="34"/>
      <c r="BK137" s="34"/>
      <c r="BL137" s="34"/>
      <c r="BM137" s="34"/>
      <c r="BN137" s="34"/>
      <c r="BO137" s="34"/>
      <c r="BP137" s="34"/>
      <c r="BY137" s="34"/>
      <c r="BZ137" s="34"/>
      <c r="CA137" s="34"/>
      <c r="CB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</row>
    <row r="138" ht="15.75" customHeight="1">
      <c r="B138" s="34"/>
      <c r="E138" s="34"/>
      <c r="F138" s="34"/>
      <c r="G138" s="34"/>
      <c r="H138" s="34"/>
      <c r="I138" s="34"/>
      <c r="J138" s="34"/>
      <c r="K138" s="34"/>
      <c r="L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AA138" s="34"/>
      <c r="AB138" s="34"/>
      <c r="AC138" s="34"/>
      <c r="AD138" s="34"/>
      <c r="AE138" s="34"/>
      <c r="AF138" s="34"/>
      <c r="AG138" s="34"/>
      <c r="AH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I138" s="34"/>
      <c r="BJ138" s="34"/>
      <c r="BK138" s="34"/>
      <c r="BL138" s="34"/>
      <c r="BM138" s="34"/>
      <c r="BN138" s="34"/>
      <c r="BO138" s="34"/>
      <c r="BP138" s="34"/>
      <c r="BY138" s="34"/>
      <c r="BZ138" s="34"/>
      <c r="CA138" s="34"/>
      <c r="CB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</row>
    <row r="139" ht="15.75" customHeight="1">
      <c r="B139" s="34"/>
      <c r="E139" s="34"/>
      <c r="F139" s="34"/>
      <c r="G139" s="34"/>
      <c r="H139" s="34"/>
      <c r="I139" s="34"/>
      <c r="J139" s="34"/>
      <c r="K139" s="34"/>
      <c r="L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AA139" s="34"/>
      <c r="AB139" s="34"/>
      <c r="AC139" s="34"/>
      <c r="AD139" s="34"/>
      <c r="AE139" s="34"/>
      <c r="AF139" s="34"/>
      <c r="AG139" s="34"/>
      <c r="AH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I139" s="34"/>
      <c r="BJ139" s="34"/>
      <c r="BK139" s="34"/>
      <c r="BL139" s="34"/>
      <c r="BM139" s="34"/>
      <c r="BN139" s="34"/>
      <c r="BO139" s="34"/>
      <c r="BP139" s="34"/>
      <c r="BY139" s="34"/>
      <c r="BZ139" s="34"/>
      <c r="CA139" s="34"/>
      <c r="CB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</row>
    <row r="140" ht="15.75" customHeight="1">
      <c r="B140" s="34"/>
      <c r="E140" s="34"/>
      <c r="F140" s="34"/>
      <c r="G140" s="34"/>
      <c r="H140" s="34"/>
      <c r="I140" s="34"/>
      <c r="J140" s="34"/>
      <c r="K140" s="34"/>
      <c r="L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AA140" s="34"/>
      <c r="AB140" s="34"/>
      <c r="AC140" s="34"/>
      <c r="AD140" s="34"/>
      <c r="AE140" s="34"/>
      <c r="AF140" s="34"/>
      <c r="AG140" s="34"/>
      <c r="AH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I140" s="34"/>
      <c r="BJ140" s="34"/>
      <c r="BK140" s="34"/>
      <c r="BL140" s="34"/>
      <c r="BM140" s="34"/>
      <c r="BN140" s="34"/>
      <c r="BO140" s="34"/>
      <c r="BP140" s="34"/>
      <c r="BY140" s="34"/>
      <c r="BZ140" s="34"/>
      <c r="CA140" s="34"/>
      <c r="CB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</row>
    <row r="141" ht="15.75" customHeight="1">
      <c r="B141" s="34"/>
      <c r="E141" s="34"/>
      <c r="F141" s="34"/>
      <c r="G141" s="34"/>
      <c r="H141" s="34"/>
      <c r="I141" s="34"/>
      <c r="J141" s="34"/>
      <c r="K141" s="34"/>
      <c r="L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AA141" s="34"/>
      <c r="AB141" s="34"/>
      <c r="AC141" s="34"/>
      <c r="AD141" s="34"/>
      <c r="AE141" s="34"/>
      <c r="AF141" s="34"/>
      <c r="AG141" s="34"/>
      <c r="AH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I141" s="34"/>
      <c r="BJ141" s="34"/>
      <c r="BK141" s="34"/>
      <c r="BL141" s="34"/>
      <c r="BM141" s="34"/>
      <c r="BN141" s="34"/>
      <c r="BO141" s="34"/>
      <c r="BP141" s="34"/>
      <c r="BY141" s="34"/>
      <c r="BZ141" s="34"/>
      <c r="CA141" s="34"/>
      <c r="CB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</row>
    <row r="142" ht="15.75" customHeight="1">
      <c r="B142" s="34"/>
      <c r="E142" s="34"/>
      <c r="F142" s="34"/>
      <c r="G142" s="34"/>
      <c r="H142" s="34"/>
      <c r="I142" s="34"/>
      <c r="J142" s="34"/>
      <c r="K142" s="34"/>
      <c r="L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AA142" s="34"/>
      <c r="AB142" s="34"/>
      <c r="AC142" s="34"/>
      <c r="AD142" s="34"/>
      <c r="AE142" s="34"/>
      <c r="AF142" s="34"/>
      <c r="AG142" s="34"/>
      <c r="AH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I142" s="34"/>
      <c r="BJ142" s="34"/>
      <c r="BK142" s="34"/>
      <c r="BL142" s="34"/>
      <c r="BM142" s="34"/>
      <c r="BN142" s="34"/>
      <c r="BO142" s="34"/>
      <c r="BP142" s="34"/>
      <c r="BY142" s="34"/>
      <c r="BZ142" s="34"/>
      <c r="CA142" s="34"/>
      <c r="CB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</row>
    <row r="143" ht="15.75" customHeight="1">
      <c r="B143" s="34"/>
      <c r="E143" s="34"/>
      <c r="F143" s="34"/>
      <c r="G143" s="34"/>
      <c r="H143" s="34"/>
      <c r="I143" s="34"/>
      <c r="J143" s="34"/>
      <c r="K143" s="34"/>
      <c r="L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AA143" s="34"/>
      <c r="AB143" s="34"/>
      <c r="AC143" s="34"/>
      <c r="AD143" s="34"/>
      <c r="AE143" s="34"/>
      <c r="AF143" s="34"/>
      <c r="AG143" s="34"/>
      <c r="AH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I143" s="34"/>
      <c r="BJ143" s="34"/>
      <c r="BK143" s="34"/>
      <c r="BL143" s="34"/>
      <c r="BM143" s="34"/>
      <c r="BN143" s="34"/>
      <c r="BO143" s="34"/>
      <c r="BP143" s="34"/>
      <c r="BY143" s="34"/>
      <c r="BZ143" s="34"/>
      <c r="CA143" s="34"/>
      <c r="CB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</row>
    <row r="144" ht="15.75" customHeight="1">
      <c r="B144" s="34"/>
      <c r="E144" s="34"/>
      <c r="F144" s="34"/>
      <c r="G144" s="34"/>
      <c r="H144" s="34"/>
      <c r="I144" s="34"/>
      <c r="J144" s="34"/>
      <c r="K144" s="34"/>
      <c r="L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AA144" s="34"/>
      <c r="AB144" s="34"/>
      <c r="AC144" s="34"/>
      <c r="AD144" s="34"/>
      <c r="AE144" s="34"/>
      <c r="AF144" s="34"/>
      <c r="AG144" s="34"/>
      <c r="AH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I144" s="34"/>
      <c r="BJ144" s="34"/>
      <c r="BK144" s="34"/>
      <c r="BL144" s="34"/>
      <c r="BM144" s="34"/>
      <c r="BN144" s="34"/>
      <c r="BO144" s="34"/>
      <c r="BP144" s="34"/>
      <c r="BY144" s="34"/>
      <c r="BZ144" s="34"/>
      <c r="CA144" s="34"/>
      <c r="CB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</row>
    <row r="145" ht="15.75" customHeight="1">
      <c r="B145" s="34"/>
      <c r="E145" s="34"/>
      <c r="F145" s="34"/>
      <c r="G145" s="34"/>
      <c r="H145" s="34"/>
      <c r="I145" s="34"/>
      <c r="J145" s="34"/>
      <c r="K145" s="34"/>
      <c r="L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AA145" s="34"/>
      <c r="AB145" s="34"/>
      <c r="AC145" s="34"/>
      <c r="AD145" s="34"/>
      <c r="AE145" s="34"/>
      <c r="AF145" s="34"/>
      <c r="AG145" s="34"/>
      <c r="AH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I145" s="34"/>
      <c r="BJ145" s="34"/>
      <c r="BK145" s="34"/>
      <c r="BL145" s="34"/>
      <c r="BM145" s="34"/>
      <c r="BN145" s="34"/>
      <c r="BO145" s="34"/>
      <c r="BP145" s="34"/>
      <c r="BY145" s="34"/>
      <c r="BZ145" s="34"/>
      <c r="CA145" s="34"/>
      <c r="CB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</row>
    <row r="146" ht="15.75" customHeight="1">
      <c r="B146" s="34"/>
      <c r="E146" s="34"/>
      <c r="F146" s="34"/>
      <c r="G146" s="34"/>
      <c r="H146" s="34"/>
      <c r="I146" s="34"/>
      <c r="J146" s="34"/>
      <c r="K146" s="34"/>
      <c r="L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AA146" s="34"/>
      <c r="AB146" s="34"/>
      <c r="AC146" s="34"/>
      <c r="AD146" s="34"/>
      <c r="AE146" s="34"/>
      <c r="AF146" s="34"/>
      <c r="AG146" s="34"/>
      <c r="AH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I146" s="34"/>
      <c r="BJ146" s="34"/>
      <c r="BK146" s="34"/>
      <c r="BL146" s="34"/>
      <c r="BM146" s="34"/>
      <c r="BN146" s="34"/>
      <c r="BO146" s="34"/>
      <c r="BP146" s="34"/>
      <c r="BY146" s="34"/>
      <c r="BZ146" s="34"/>
      <c r="CA146" s="34"/>
      <c r="CB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</row>
    <row r="147" ht="15.75" customHeight="1">
      <c r="B147" s="34"/>
      <c r="E147" s="34"/>
      <c r="F147" s="34"/>
      <c r="G147" s="34"/>
      <c r="H147" s="34"/>
      <c r="I147" s="34"/>
      <c r="J147" s="34"/>
      <c r="K147" s="34"/>
      <c r="L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AA147" s="34"/>
      <c r="AB147" s="34"/>
      <c r="AC147" s="34"/>
      <c r="AD147" s="34"/>
      <c r="AE147" s="34"/>
      <c r="AF147" s="34"/>
      <c r="AG147" s="34"/>
      <c r="AH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I147" s="34"/>
      <c r="BJ147" s="34"/>
      <c r="BK147" s="34"/>
      <c r="BL147" s="34"/>
      <c r="BM147" s="34"/>
      <c r="BN147" s="34"/>
      <c r="BO147" s="34"/>
      <c r="BP147" s="34"/>
      <c r="BY147" s="34"/>
      <c r="BZ147" s="34"/>
      <c r="CA147" s="34"/>
      <c r="CB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</row>
    <row r="148" ht="15.75" customHeight="1">
      <c r="B148" s="34"/>
      <c r="E148" s="34"/>
      <c r="F148" s="34"/>
      <c r="G148" s="34"/>
      <c r="H148" s="34"/>
      <c r="I148" s="34"/>
      <c r="J148" s="34"/>
      <c r="K148" s="34"/>
      <c r="L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AA148" s="34"/>
      <c r="AB148" s="34"/>
      <c r="AC148" s="34"/>
      <c r="AD148" s="34"/>
      <c r="AE148" s="34"/>
      <c r="AF148" s="34"/>
      <c r="AG148" s="34"/>
      <c r="AH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I148" s="34"/>
      <c r="BJ148" s="34"/>
      <c r="BK148" s="34"/>
      <c r="BL148" s="34"/>
      <c r="BM148" s="34"/>
      <c r="BN148" s="34"/>
      <c r="BO148" s="34"/>
      <c r="BP148" s="34"/>
      <c r="BY148" s="34"/>
      <c r="BZ148" s="34"/>
      <c r="CA148" s="34"/>
      <c r="CB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</row>
    <row r="149" ht="15.75" customHeight="1">
      <c r="B149" s="34"/>
      <c r="E149" s="34"/>
      <c r="F149" s="34"/>
      <c r="G149" s="34"/>
      <c r="H149" s="34"/>
      <c r="I149" s="34"/>
      <c r="J149" s="34"/>
      <c r="K149" s="34"/>
      <c r="L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AA149" s="34"/>
      <c r="AB149" s="34"/>
      <c r="AC149" s="34"/>
      <c r="AD149" s="34"/>
      <c r="AE149" s="34"/>
      <c r="AF149" s="34"/>
      <c r="AG149" s="34"/>
      <c r="AH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I149" s="34"/>
      <c r="BJ149" s="34"/>
      <c r="BK149" s="34"/>
      <c r="BL149" s="34"/>
      <c r="BM149" s="34"/>
      <c r="BN149" s="34"/>
      <c r="BO149" s="34"/>
      <c r="BP149" s="34"/>
      <c r="BY149" s="34"/>
      <c r="BZ149" s="34"/>
      <c r="CA149" s="34"/>
      <c r="CB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</row>
    <row r="150" ht="15.75" customHeight="1">
      <c r="B150" s="34"/>
      <c r="E150" s="34"/>
      <c r="F150" s="34"/>
      <c r="G150" s="34"/>
      <c r="H150" s="34"/>
      <c r="I150" s="34"/>
      <c r="J150" s="34"/>
      <c r="K150" s="34"/>
      <c r="L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AA150" s="34"/>
      <c r="AB150" s="34"/>
      <c r="AC150" s="34"/>
      <c r="AD150" s="34"/>
      <c r="AE150" s="34"/>
      <c r="AF150" s="34"/>
      <c r="AG150" s="34"/>
      <c r="AH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I150" s="34"/>
      <c r="BJ150" s="34"/>
      <c r="BK150" s="34"/>
      <c r="BL150" s="34"/>
      <c r="BM150" s="34"/>
      <c r="BN150" s="34"/>
      <c r="BO150" s="34"/>
      <c r="BP150" s="34"/>
      <c r="BY150" s="34"/>
      <c r="BZ150" s="34"/>
      <c r="CA150" s="34"/>
      <c r="CB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</row>
    <row r="151" ht="15.75" customHeight="1">
      <c r="B151" s="34"/>
      <c r="E151" s="34"/>
      <c r="F151" s="34"/>
      <c r="G151" s="34"/>
      <c r="H151" s="34"/>
      <c r="I151" s="34"/>
      <c r="J151" s="34"/>
      <c r="K151" s="34"/>
      <c r="L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AA151" s="34"/>
      <c r="AB151" s="34"/>
      <c r="AC151" s="34"/>
      <c r="AD151" s="34"/>
      <c r="AE151" s="34"/>
      <c r="AF151" s="34"/>
      <c r="AG151" s="34"/>
      <c r="AH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I151" s="34"/>
      <c r="BJ151" s="34"/>
      <c r="BK151" s="34"/>
      <c r="BL151" s="34"/>
      <c r="BM151" s="34"/>
      <c r="BN151" s="34"/>
      <c r="BO151" s="34"/>
      <c r="BP151" s="34"/>
      <c r="BY151" s="34"/>
      <c r="BZ151" s="34"/>
      <c r="CA151" s="34"/>
      <c r="CB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</row>
    <row r="152" ht="15.75" customHeight="1">
      <c r="B152" s="34"/>
      <c r="E152" s="34"/>
      <c r="F152" s="34"/>
      <c r="G152" s="34"/>
      <c r="H152" s="34"/>
      <c r="I152" s="34"/>
      <c r="J152" s="34"/>
      <c r="K152" s="34"/>
      <c r="L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AA152" s="34"/>
      <c r="AB152" s="34"/>
      <c r="AC152" s="34"/>
      <c r="AD152" s="34"/>
      <c r="AE152" s="34"/>
      <c r="AF152" s="34"/>
      <c r="AG152" s="34"/>
      <c r="AH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I152" s="34"/>
      <c r="BJ152" s="34"/>
      <c r="BK152" s="34"/>
      <c r="BL152" s="34"/>
      <c r="BM152" s="34"/>
      <c r="BN152" s="34"/>
      <c r="BO152" s="34"/>
      <c r="BP152" s="34"/>
      <c r="BY152" s="34"/>
      <c r="BZ152" s="34"/>
      <c r="CA152" s="34"/>
      <c r="CB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</row>
    <row r="153" ht="15.75" customHeight="1">
      <c r="B153" s="34"/>
      <c r="E153" s="34"/>
      <c r="F153" s="34"/>
      <c r="G153" s="34"/>
      <c r="H153" s="34"/>
      <c r="I153" s="34"/>
      <c r="J153" s="34"/>
      <c r="K153" s="34"/>
      <c r="L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AA153" s="34"/>
      <c r="AB153" s="34"/>
      <c r="AC153" s="34"/>
      <c r="AD153" s="34"/>
      <c r="AE153" s="34"/>
      <c r="AF153" s="34"/>
      <c r="AG153" s="34"/>
      <c r="AH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I153" s="34"/>
      <c r="BJ153" s="34"/>
      <c r="BK153" s="34"/>
      <c r="BL153" s="34"/>
      <c r="BM153" s="34"/>
      <c r="BN153" s="34"/>
      <c r="BO153" s="34"/>
      <c r="BP153" s="34"/>
      <c r="BY153" s="34"/>
      <c r="BZ153" s="34"/>
      <c r="CA153" s="34"/>
      <c r="CB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</row>
    <row r="154" ht="15.75" customHeight="1">
      <c r="B154" s="34"/>
      <c r="E154" s="34"/>
      <c r="F154" s="34"/>
      <c r="G154" s="34"/>
      <c r="H154" s="34"/>
      <c r="I154" s="34"/>
      <c r="J154" s="34"/>
      <c r="K154" s="34"/>
      <c r="L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AA154" s="34"/>
      <c r="AB154" s="34"/>
      <c r="AC154" s="34"/>
      <c r="AD154" s="34"/>
      <c r="AE154" s="34"/>
      <c r="AF154" s="34"/>
      <c r="AG154" s="34"/>
      <c r="AH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I154" s="34"/>
      <c r="BJ154" s="34"/>
      <c r="BK154" s="34"/>
      <c r="BL154" s="34"/>
      <c r="BM154" s="34"/>
      <c r="BN154" s="34"/>
      <c r="BO154" s="34"/>
      <c r="BP154" s="34"/>
      <c r="BY154" s="34"/>
      <c r="BZ154" s="34"/>
      <c r="CA154" s="34"/>
      <c r="CB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</row>
    <row r="155" ht="15.75" customHeight="1">
      <c r="B155" s="34"/>
      <c r="E155" s="34"/>
      <c r="F155" s="34"/>
      <c r="G155" s="34"/>
      <c r="H155" s="34"/>
      <c r="I155" s="34"/>
      <c r="J155" s="34"/>
      <c r="K155" s="34"/>
      <c r="L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AA155" s="34"/>
      <c r="AB155" s="34"/>
      <c r="AC155" s="34"/>
      <c r="AD155" s="34"/>
      <c r="AE155" s="34"/>
      <c r="AF155" s="34"/>
      <c r="AG155" s="34"/>
      <c r="AH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I155" s="34"/>
      <c r="BJ155" s="34"/>
      <c r="BK155" s="34"/>
      <c r="BL155" s="34"/>
      <c r="BM155" s="34"/>
      <c r="BN155" s="34"/>
      <c r="BO155" s="34"/>
      <c r="BP155" s="34"/>
      <c r="BY155" s="34"/>
      <c r="BZ155" s="34"/>
      <c r="CA155" s="34"/>
      <c r="CB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</row>
    <row r="156" ht="15.75" customHeight="1">
      <c r="B156" s="34"/>
      <c r="E156" s="34"/>
      <c r="F156" s="34"/>
      <c r="G156" s="34"/>
      <c r="H156" s="34"/>
      <c r="I156" s="34"/>
      <c r="J156" s="34"/>
      <c r="K156" s="34"/>
      <c r="L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AA156" s="34"/>
      <c r="AB156" s="34"/>
      <c r="AC156" s="34"/>
      <c r="AD156" s="34"/>
      <c r="AE156" s="34"/>
      <c r="AF156" s="34"/>
      <c r="AG156" s="34"/>
      <c r="AH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I156" s="34"/>
      <c r="BJ156" s="34"/>
      <c r="BK156" s="34"/>
      <c r="BL156" s="34"/>
      <c r="BM156" s="34"/>
      <c r="BN156" s="34"/>
      <c r="BO156" s="34"/>
      <c r="BP156" s="34"/>
      <c r="BY156" s="34"/>
      <c r="BZ156" s="34"/>
      <c r="CA156" s="34"/>
      <c r="CB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</row>
    <row r="157" ht="15.75" customHeight="1">
      <c r="B157" s="34"/>
      <c r="E157" s="34"/>
      <c r="F157" s="34"/>
      <c r="G157" s="34"/>
      <c r="H157" s="34"/>
      <c r="I157" s="34"/>
      <c r="J157" s="34"/>
      <c r="K157" s="34"/>
      <c r="L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AA157" s="34"/>
      <c r="AB157" s="34"/>
      <c r="AC157" s="34"/>
      <c r="AD157" s="34"/>
      <c r="AE157" s="34"/>
      <c r="AF157" s="34"/>
      <c r="AG157" s="34"/>
      <c r="AH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I157" s="34"/>
      <c r="BJ157" s="34"/>
      <c r="BK157" s="34"/>
      <c r="BL157" s="34"/>
      <c r="BM157" s="34"/>
      <c r="BN157" s="34"/>
      <c r="BO157" s="34"/>
      <c r="BP157" s="34"/>
      <c r="BY157" s="34"/>
      <c r="BZ157" s="34"/>
      <c r="CA157" s="34"/>
      <c r="CB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</row>
    <row r="158" ht="15.75" customHeight="1">
      <c r="B158" s="34"/>
      <c r="E158" s="34"/>
      <c r="F158" s="34"/>
      <c r="G158" s="34"/>
      <c r="H158" s="34"/>
      <c r="I158" s="34"/>
      <c r="J158" s="34"/>
      <c r="K158" s="34"/>
      <c r="L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AA158" s="34"/>
      <c r="AB158" s="34"/>
      <c r="AC158" s="34"/>
      <c r="AD158" s="34"/>
      <c r="AE158" s="34"/>
      <c r="AF158" s="34"/>
      <c r="AG158" s="34"/>
      <c r="AH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I158" s="34"/>
      <c r="BJ158" s="34"/>
      <c r="BK158" s="34"/>
      <c r="BL158" s="34"/>
      <c r="BM158" s="34"/>
      <c r="BN158" s="34"/>
      <c r="BO158" s="34"/>
      <c r="BP158" s="34"/>
      <c r="BY158" s="34"/>
      <c r="BZ158" s="34"/>
      <c r="CA158" s="34"/>
      <c r="CB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</row>
    <row r="159" ht="15.75" customHeight="1">
      <c r="B159" s="34"/>
      <c r="E159" s="34"/>
      <c r="F159" s="34"/>
      <c r="G159" s="34"/>
      <c r="H159" s="34"/>
      <c r="I159" s="34"/>
      <c r="J159" s="34"/>
      <c r="K159" s="34"/>
      <c r="L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AA159" s="34"/>
      <c r="AB159" s="34"/>
      <c r="AC159" s="34"/>
      <c r="AD159" s="34"/>
      <c r="AE159" s="34"/>
      <c r="AF159" s="34"/>
      <c r="AG159" s="34"/>
      <c r="AH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I159" s="34"/>
      <c r="BJ159" s="34"/>
      <c r="BK159" s="34"/>
      <c r="BL159" s="34"/>
      <c r="BM159" s="34"/>
      <c r="BN159" s="34"/>
      <c r="BO159" s="34"/>
      <c r="BP159" s="34"/>
      <c r="BY159" s="34"/>
      <c r="BZ159" s="34"/>
      <c r="CA159" s="34"/>
      <c r="CB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</row>
    <row r="160" ht="15.75" customHeight="1">
      <c r="B160" s="34"/>
      <c r="E160" s="34"/>
      <c r="F160" s="34"/>
      <c r="G160" s="34"/>
      <c r="H160" s="34"/>
      <c r="I160" s="34"/>
      <c r="J160" s="34"/>
      <c r="K160" s="34"/>
      <c r="L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AA160" s="34"/>
      <c r="AB160" s="34"/>
      <c r="AC160" s="34"/>
      <c r="AD160" s="34"/>
      <c r="AE160" s="34"/>
      <c r="AF160" s="34"/>
      <c r="AG160" s="34"/>
      <c r="AH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I160" s="34"/>
      <c r="BJ160" s="34"/>
      <c r="BK160" s="34"/>
      <c r="BL160" s="34"/>
      <c r="BM160" s="34"/>
      <c r="BN160" s="34"/>
      <c r="BO160" s="34"/>
      <c r="BP160" s="34"/>
      <c r="BY160" s="34"/>
      <c r="BZ160" s="34"/>
      <c r="CA160" s="34"/>
      <c r="CB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</row>
    <row r="161" ht="15.75" customHeight="1">
      <c r="B161" s="34"/>
      <c r="E161" s="34"/>
      <c r="F161" s="34"/>
      <c r="G161" s="34"/>
      <c r="H161" s="34"/>
      <c r="I161" s="34"/>
      <c r="J161" s="34"/>
      <c r="K161" s="34"/>
      <c r="L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AA161" s="34"/>
      <c r="AB161" s="34"/>
      <c r="AC161" s="34"/>
      <c r="AD161" s="34"/>
      <c r="AE161" s="34"/>
      <c r="AF161" s="34"/>
      <c r="AG161" s="34"/>
      <c r="AH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I161" s="34"/>
      <c r="BJ161" s="34"/>
      <c r="BK161" s="34"/>
      <c r="BL161" s="34"/>
      <c r="BM161" s="34"/>
      <c r="BN161" s="34"/>
      <c r="BO161" s="34"/>
      <c r="BP161" s="34"/>
      <c r="BY161" s="34"/>
      <c r="BZ161" s="34"/>
      <c r="CA161" s="34"/>
      <c r="CB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</row>
    <row r="162" ht="15.75" customHeight="1">
      <c r="B162" s="34"/>
      <c r="E162" s="34"/>
      <c r="F162" s="34"/>
      <c r="G162" s="34"/>
      <c r="H162" s="34"/>
      <c r="I162" s="34"/>
      <c r="J162" s="34"/>
      <c r="K162" s="34"/>
      <c r="L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AA162" s="34"/>
      <c r="AB162" s="34"/>
      <c r="AC162" s="34"/>
      <c r="AD162" s="34"/>
      <c r="AE162" s="34"/>
      <c r="AF162" s="34"/>
      <c r="AG162" s="34"/>
      <c r="AH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I162" s="34"/>
      <c r="BJ162" s="34"/>
      <c r="BK162" s="34"/>
      <c r="BL162" s="34"/>
      <c r="BM162" s="34"/>
      <c r="BN162" s="34"/>
      <c r="BO162" s="34"/>
      <c r="BP162" s="34"/>
      <c r="BY162" s="34"/>
      <c r="BZ162" s="34"/>
      <c r="CA162" s="34"/>
      <c r="CB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</row>
    <row r="163" ht="15.75" customHeight="1">
      <c r="B163" s="34"/>
      <c r="E163" s="34"/>
      <c r="F163" s="34"/>
      <c r="G163" s="34"/>
      <c r="H163" s="34"/>
      <c r="I163" s="34"/>
      <c r="J163" s="34"/>
      <c r="K163" s="34"/>
      <c r="L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AA163" s="34"/>
      <c r="AB163" s="34"/>
      <c r="AC163" s="34"/>
      <c r="AD163" s="34"/>
      <c r="AE163" s="34"/>
      <c r="AF163" s="34"/>
      <c r="AG163" s="34"/>
      <c r="AH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I163" s="34"/>
      <c r="BJ163" s="34"/>
      <c r="BK163" s="34"/>
      <c r="BL163" s="34"/>
      <c r="BM163" s="34"/>
      <c r="BN163" s="34"/>
      <c r="BO163" s="34"/>
      <c r="BP163" s="34"/>
      <c r="BY163" s="34"/>
      <c r="BZ163" s="34"/>
      <c r="CA163" s="34"/>
      <c r="CB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</row>
    <row r="164" ht="15.75" customHeight="1">
      <c r="B164" s="34"/>
      <c r="E164" s="34"/>
      <c r="F164" s="34"/>
      <c r="G164" s="34"/>
      <c r="H164" s="34"/>
      <c r="I164" s="34"/>
      <c r="J164" s="34"/>
      <c r="K164" s="34"/>
      <c r="L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AA164" s="34"/>
      <c r="AB164" s="34"/>
      <c r="AC164" s="34"/>
      <c r="AD164" s="34"/>
      <c r="AE164" s="34"/>
      <c r="AF164" s="34"/>
      <c r="AG164" s="34"/>
      <c r="AH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I164" s="34"/>
      <c r="BJ164" s="34"/>
      <c r="BK164" s="34"/>
      <c r="BL164" s="34"/>
      <c r="BM164" s="34"/>
      <c r="BN164" s="34"/>
      <c r="BO164" s="34"/>
      <c r="BP164" s="34"/>
      <c r="BY164" s="34"/>
      <c r="BZ164" s="34"/>
      <c r="CA164" s="34"/>
      <c r="CB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</row>
    <row r="165" ht="15.75" customHeight="1">
      <c r="B165" s="34"/>
      <c r="E165" s="34"/>
      <c r="F165" s="34"/>
      <c r="G165" s="34"/>
      <c r="H165" s="34"/>
      <c r="I165" s="34"/>
      <c r="J165" s="34"/>
      <c r="K165" s="34"/>
      <c r="L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AA165" s="34"/>
      <c r="AB165" s="34"/>
      <c r="AC165" s="34"/>
      <c r="AD165" s="34"/>
      <c r="AE165" s="34"/>
      <c r="AF165" s="34"/>
      <c r="AG165" s="34"/>
      <c r="AH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I165" s="34"/>
      <c r="BJ165" s="34"/>
      <c r="BK165" s="34"/>
      <c r="BL165" s="34"/>
      <c r="BM165" s="34"/>
      <c r="BN165" s="34"/>
      <c r="BO165" s="34"/>
      <c r="BP165" s="34"/>
      <c r="BY165" s="34"/>
      <c r="BZ165" s="34"/>
      <c r="CA165" s="34"/>
      <c r="CB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</row>
    <row r="166" ht="15.75" customHeight="1">
      <c r="B166" s="34"/>
      <c r="E166" s="34"/>
      <c r="F166" s="34"/>
      <c r="G166" s="34"/>
      <c r="H166" s="34"/>
      <c r="I166" s="34"/>
      <c r="J166" s="34"/>
      <c r="K166" s="34"/>
      <c r="L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AA166" s="34"/>
      <c r="AB166" s="34"/>
      <c r="AC166" s="34"/>
      <c r="AD166" s="34"/>
      <c r="AE166" s="34"/>
      <c r="AF166" s="34"/>
      <c r="AG166" s="34"/>
      <c r="AH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I166" s="34"/>
      <c r="BJ166" s="34"/>
      <c r="BK166" s="34"/>
      <c r="BL166" s="34"/>
      <c r="BM166" s="34"/>
      <c r="BN166" s="34"/>
      <c r="BO166" s="34"/>
      <c r="BP166" s="34"/>
      <c r="BY166" s="34"/>
      <c r="BZ166" s="34"/>
      <c r="CA166" s="34"/>
      <c r="CB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</row>
    <row r="167" ht="15.75" customHeight="1">
      <c r="B167" s="34"/>
      <c r="E167" s="34"/>
      <c r="F167" s="34"/>
      <c r="G167" s="34"/>
      <c r="H167" s="34"/>
      <c r="I167" s="34"/>
      <c r="J167" s="34"/>
      <c r="K167" s="34"/>
      <c r="L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AA167" s="34"/>
      <c r="AB167" s="34"/>
      <c r="AC167" s="34"/>
      <c r="AD167" s="34"/>
      <c r="AE167" s="34"/>
      <c r="AF167" s="34"/>
      <c r="AG167" s="34"/>
      <c r="AH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I167" s="34"/>
      <c r="BJ167" s="34"/>
      <c r="BK167" s="34"/>
      <c r="BL167" s="34"/>
      <c r="BM167" s="34"/>
      <c r="BN167" s="34"/>
      <c r="BO167" s="34"/>
      <c r="BP167" s="34"/>
      <c r="BY167" s="34"/>
      <c r="BZ167" s="34"/>
      <c r="CA167" s="34"/>
      <c r="CB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</row>
    <row r="168" ht="15.75" customHeight="1">
      <c r="B168" s="34"/>
      <c r="E168" s="34"/>
      <c r="F168" s="34"/>
      <c r="G168" s="34"/>
      <c r="H168" s="34"/>
      <c r="I168" s="34"/>
      <c r="J168" s="34"/>
      <c r="K168" s="34"/>
      <c r="L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AA168" s="34"/>
      <c r="AB168" s="34"/>
      <c r="AC168" s="34"/>
      <c r="AD168" s="34"/>
      <c r="AE168" s="34"/>
      <c r="AF168" s="34"/>
      <c r="AG168" s="34"/>
      <c r="AH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I168" s="34"/>
      <c r="BJ168" s="34"/>
      <c r="BK168" s="34"/>
      <c r="BL168" s="34"/>
      <c r="BM168" s="34"/>
      <c r="BN168" s="34"/>
      <c r="BO168" s="34"/>
      <c r="BP168" s="34"/>
      <c r="BY168" s="34"/>
      <c r="BZ168" s="34"/>
      <c r="CA168" s="34"/>
      <c r="CB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</row>
    <row r="169" ht="15.75" customHeight="1">
      <c r="B169" s="34"/>
      <c r="E169" s="34"/>
      <c r="F169" s="34"/>
      <c r="G169" s="34"/>
      <c r="H169" s="34"/>
      <c r="I169" s="34"/>
      <c r="J169" s="34"/>
      <c r="K169" s="34"/>
      <c r="L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AA169" s="34"/>
      <c r="AB169" s="34"/>
      <c r="AC169" s="34"/>
      <c r="AD169" s="34"/>
      <c r="AE169" s="34"/>
      <c r="AF169" s="34"/>
      <c r="AG169" s="34"/>
      <c r="AH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I169" s="34"/>
      <c r="BJ169" s="34"/>
      <c r="BK169" s="34"/>
      <c r="BL169" s="34"/>
      <c r="BM169" s="34"/>
      <c r="BN169" s="34"/>
      <c r="BO169" s="34"/>
      <c r="BP169" s="34"/>
      <c r="BY169" s="34"/>
      <c r="BZ169" s="34"/>
      <c r="CA169" s="34"/>
      <c r="CB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</row>
    <row r="170" ht="15.75" customHeight="1">
      <c r="B170" s="34"/>
      <c r="E170" s="34"/>
      <c r="F170" s="34"/>
      <c r="G170" s="34"/>
      <c r="H170" s="34"/>
      <c r="I170" s="34"/>
      <c r="J170" s="34"/>
      <c r="K170" s="34"/>
      <c r="L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AA170" s="34"/>
      <c r="AB170" s="34"/>
      <c r="AC170" s="34"/>
      <c r="AD170" s="34"/>
      <c r="AE170" s="34"/>
      <c r="AF170" s="34"/>
      <c r="AG170" s="34"/>
      <c r="AH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I170" s="34"/>
      <c r="BJ170" s="34"/>
      <c r="BK170" s="34"/>
      <c r="BL170" s="34"/>
      <c r="BM170" s="34"/>
      <c r="BN170" s="34"/>
      <c r="BO170" s="34"/>
      <c r="BP170" s="34"/>
      <c r="BY170" s="34"/>
      <c r="BZ170" s="34"/>
      <c r="CA170" s="34"/>
      <c r="CB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</row>
    <row r="171" ht="15.75" customHeight="1">
      <c r="B171" s="34"/>
      <c r="E171" s="34"/>
      <c r="F171" s="34"/>
      <c r="G171" s="34"/>
      <c r="H171" s="34"/>
      <c r="I171" s="34"/>
      <c r="J171" s="34"/>
      <c r="K171" s="34"/>
      <c r="L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AA171" s="34"/>
      <c r="AB171" s="34"/>
      <c r="AC171" s="34"/>
      <c r="AD171" s="34"/>
      <c r="AE171" s="34"/>
      <c r="AF171" s="34"/>
      <c r="AG171" s="34"/>
      <c r="AH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I171" s="34"/>
      <c r="BJ171" s="34"/>
      <c r="BK171" s="34"/>
      <c r="BL171" s="34"/>
      <c r="BM171" s="34"/>
      <c r="BN171" s="34"/>
      <c r="BO171" s="34"/>
      <c r="BP171" s="34"/>
      <c r="BY171" s="34"/>
      <c r="BZ171" s="34"/>
      <c r="CA171" s="34"/>
      <c r="CB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</row>
    <row r="172" ht="15.75" customHeight="1">
      <c r="B172" s="34"/>
      <c r="E172" s="34"/>
      <c r="F172" s="34"/>
      <c r="G172" s="34"/>
      <c r="H172" s="34"/>
      <c r="I172" s="34"/>
      <c r="J172" s="34"/>
      <c r="K172" s="34"/>
      <c r="L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AA172" s="34"/>
      <c r="AB172" s="34"/>
      <c r="AC172" s="34"/>
      <c r="AD172" s="34"/>
      <c r="AE172" s="34"/>
      <c r="AF172" s="34"/>
      <c r="AG172" s="34"/>
      <c r="AH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I172" s="34"/>
      <c r="BJ172" s="34"/>
      <c r="BK172" s="34"/>
      <c r="BL172" s="34"/>
      <c r="BM172" s="34"/>
      <c r="BN172" s="34"/>
      <c r="BO172" s="34"/>
      <c r="BP172" s="34"/>
      <c r="BY172" s="34"/>
      <c r="BZ172" s="34"/>
      <c r="CA172" s="34"/>
      <c r="CB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</row>
    <row r="173" ht="15.75" customHeight="1">
      <c r="B173" s="34"/>
      <c r="E173" s="34"/>
      <c r="F173" s="34"/>
      <c r="G173" s="34"/>
      <c r="H173" s="34"/>
      <c r="I173" s="34"/>
      <c r="J173" s="34"/>
      <c r="K173" s="34"/>
      <c r="L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AA173" s="34"/>
      <c r="AB173" s="34"/>
      <c r="AC173" s="34"/>
      <c r="AD173" s="34"/>
      <c r="AE173" s="34"/>
      <c r="AF173" s="34"/>
      <c r="AG173" s="34"/>
      <c r="AH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I173" s="34"/>
      <c r="BJ173" s="34"/>
      <c r="BK173" s="34"/>
      <c r="BL173" s="34"/>
      <c r="BM173" s="34"/>
      <c r="BN173" s="34"/>
      <c r="BO173" s="34"/>
      <c r="BP173" s="34"/>
      <c r="BY173" s="34"/>
      <c r="BZ173" s="34"/>
      <c r="CA173" s="34"/>
      <c r="CB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</row>
    <row r="174" ht="15.75" customHeight="1">
      <c r="B174" s="34"/>
      <c r="E174" s="34"/>
      <c r="F174" s="34"/>
      <c r="G174" s="34"/>
      <c r="H174" s="34"/>
      <c r="I174" s="34"/>
      <c r="J174" s="34"/>
      <c r="K174" s="34"/>
      <c r="L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AA174" s="34"/>
      <c r="AB174" s="34"/>
      <c r="AC174" s="34"/>
      <c r="AD174" s="34"/>
      <c r="AE174" s="34"/>
      <c r="AF174" s="34"/>
      <c r="AG174" s="34"/>
      <c r="AH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I174" s="34"/>
      <c r="BJ174" s="34"/>
      <c r="BK174" s="34"/>
      <c r="BL174" s="34"/>
      <c r="BM174" s="34"/>
      <c r="BN174" s="34"/>
      <c r="BO174" s="34"/>
      <c r="BP174" s="34"/>
      <c r="BY174" s="34"/>
      <c r="BZ174" s="34"/>
      <c r="CA174" s="34"/>
      <c r="CB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</row>
    <row r="175" ht="15.75" customHeight="1">
      <c r="B175" s="34"/>
      <c r="E175" s="34"/>
      <c r="F175" s="34"/>
      <c r="G175" s="34"/>
      <c r="H175" s="34"/>
      <c r="I175" s="34"/>
      <c r="J175" s="34"/>
      <c r="K175" s="34"/>
      <c r="L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AA175" s="34"/>
      <c r="AB175" s="34"/>
      <c r="AC175" s="34"/>
      <c r="AD175" s="34"/>
      <c r="AE175" s="34"/>
      <c r="AF175" s="34"/>
      <c r="AG175" s="34"/>
      <c r="AH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I175" s="34"/>
      <c r="BJ175" s="34"/>
      <c r="BK175" s="34"/>
      <c r="BL175" s="34"/>
      <c r="BM175" s="34"/>
      <c r="BN175" s="34"/>
      <c r="BO175" s="34"/>
      <c r="BP175" s="34"/>
      <c r="BY175" s="34"/>
      <c r="BZ175" s="34"/>
      <c r="CA175" s="34"/>
      <c r="CB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</row>
    <row r="176" ht="15.75" customHeight="1">
      <c r="B176" s="34"/>
      <c r="E176" s="34"/>
      <c r="F176" s="34"/>
      <c r="G176" s="34"/>
      <c r="H176" s="34"/>
      <c r="I176" s="34"/>
      <c r="J176" s="34"/>
      <c r="K176" s="34"/>
      <c r="L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AA176" s="34"/>
      <c r="AB176" s="34"/>
      <c r="AC176" s="34"/>
      <c r="AD176" s="34"/>
      <c r="AE176" s="34"/>
      <c r="AF176" s="34"/>
      <c r="AG176" s="34"/>
      <c r="AH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I176" s="34"/>
      <c r="BJ176" s="34"/>
      <c r="BK176" s="34"/>
      <c r="BL176" s="34"/>
      <c r="BM176" s="34"/>
      <c r="BN176" s="34"/>
      <c r="BO176" s="34"/>
      <c r="BP176" s="34"/>
      <c r="BY176" s="34"/>
      <c r="BZ176" s="34"/>
      <c r="CA176" s="34"/>
      <c r="CB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</row>
    <row r="177" ht="15.75" customHeight="1">
      <c r="B177" s="34"/>
      <c r="E177" s="34"/>
      <c r="F177" s="34"/>
      <c r="G177" s="34"/>
      <c r="H177" s="34"/>
      <c r="I177" s="34"/>
      <c r="J177" s="34"/>
      <c r="K177" s="34"/>
      <c r="L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AA177" s="34"/>
      <c r="AB177" s="34"/>
      <c r="AC177" s="34"/>
      <c r="AD177" s="34"/>
      <c r="AE177" s="34"/>
      <c r="AF177" s="34"/>
      <c r="AG177" s="34"/>
      <c r="AH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I177" s="34"/>
      <c r="BJ177" s="34"/>
      <c r="BK177" s="34"/>
      <c r="BL177" s="34"/>
      <c r="BM177" s="34"/>
      <c r="BN177" s="34"/>
      <c r="BO177" s="34"/>
      <c r="BP177" s="34"/>
      <c r="BY177" s="34"/>
      <c r="BZ177" s="34"/>
      <c r="CA177" s="34"/>
      <c r="CB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</row>
    <row r="178" ht="15.75" customHeight="1">
      <c r="B178" s="34"/>
      <c r="E178" s="34"/>
      <c r="F178" s="34"/>
      <c r="G178" s="34"/>
      <c r="H178" s="34"/>
      <c r="I178" s="34"/>
      <c r="J178" s="34"/>
      <c r="K178" s="34"/>
      <c r="L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AA178" s="34"/>
      <c r="AB178" s="34"/>
      <c r="AC178" s="34"/>
      <c r="AD178" s="34"/>
      <c r="AE178" s="34"/>
      <c r="AF178" s="34"/>
      <c r="AG178" s="34"/>
      <c r="AH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I178" s="34"/>
      <c r="BJ178" s="34"/>
      <c r="BK178" s="34"/>
      <c r="BL178" s="34"/>
      <c r="BM178" s="34"/>
      <c r="BN178" s="34"/>
      <c r="BO178" s="34"/>
      <c r="BP178" s="34"/>
      <c r="BY178" s="34"/>
      <c r="BZ178" s="34"/>
      <c r="CA178" s="34"/>
      <c r="CB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</row>
    <row r="179" ht="15.75" customHeight="1">
      <c r="B179" s="34"/>
      <c r="E179" s="34"/>
      <c r="F179" s="34"/>
      <c r="G179" s="34"/>
      <c r="H179" s="34"/>
      <c r="I179" s="34"/>
      <c r="J179" s="34"/>
      <c r="K179" s="34"/>
      <c r="L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AA179" s="34"/>
      <c r="AB179" s="34"/>
      <c r="AC179" s="34"/>
      <c r="AD179" s="34"/>
      <c r="AE179" s="34"/>
      <c r="AF179" s="34"/>
      <c r="AG179" s="34"/>
      <c r="AH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I179" s="34"/>
      <c r="BJ179" s="34"/>
      <c r="BK179" s="34"/>
      <c r="BL179" s="34"/>
      <c r="BM179" s="34"/>
      <c r="BN179" s="34"/>
      <c r="BO179" s="34"/>
      <c r="BP179" s="34"/>
      <c r="BY179" s="34"/>
      <c r="BZ179" s="34"/>
      <c r="CA179" s="34"/>
      <c r="CB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</row>
    <row r="180" ht="15.75" customHeight="1">
      <c r="B180" s="34"/>
      <c r="E180" s="34"/>
      <c r="F180" s="34"/>
      <c r="G180" s="34"/>
      <c r="H180" s="34"/>
      <c r="I180" s="34"/>
      <c r="J180" s="34"/>
      <c r="K180" s="34"/>
      <c r="L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AA180" s="34"/>
      <c r="AB180" s="34"/>
      <c r="AC180" s="34"/>
      <c r="AD180" s="34"/>
      <c r="AE180" s="34"/>
      <c r="AF180" s="34"/>
      <c r="AG180" s="34"/>
      <c r="AH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I180" s="34"/>
      <c r="BJ180" s="34"/>
      <c r="BK180" s="34"/>
      <c r="BL180" s="34"/>
      <c r="BM180" s="34"/>
      <c r="BN180" s="34"/>
      <c r="BO180" s="34"/>
      <c r="BP180" s="34"/>
      <c r="BY180" s="34"/>
      <c r="BZ180" s="34"/>
      <c r="CA180" s="34"/>
      <c r="CB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</row>
    <row r="181" ht="15.75" customHeight="1">
      <c r="B181" s="34"/>
      <c r="E181" s="34"/>
      <c r="F181" s="34"/>
      <c r="G181" s="34"/>
      <c r="H181" s="34"/>
      <c r="I181" s="34"/>
      <c r="J181" s="34"/>
      <c r="K181" s="34"/>
      <c r="L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AA181" s="34"/>
      <c r="AB181" s="34"/>
      <c r="AC181" s="34"/>
      <c r="AD181" s="34"/>
      <c r="AE181" s="34"/>
      <c r="AF181" s="34"/>
      <c r="AG181" s="34"/>
      <c r="AH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I181" s="34"/>
      <c r="BJ181" s="34"/>
      <c r="BK181" s="34"/>
      <c r="BL181" s="34"/>
      <c r="BM181" s="34"/>
      <c r="BN181" s="34"/>
      <c r="BO181" s="34"/>
      <c r="BP181" s="34"/>
      <c r="BY181" s="34"/>
      <c r="BZ181" s="34"/>
      <c r="CA181" s="34"/>
      <c r="CB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</row>
    <row r="182" ht="15.75" customHeight="1">
      <c r="B182" s="34"/>
      <c r="E182" s="34"/>
      <c r="F182" s="34"/>
      <c r="G182" s="34"/>
      <c r="H182" s="34"/>
      <c r="I182" s="34"/>
      <c r="J182" s="34"/>
      <c r="K182" s="34"/>
      <c r="L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AA182" s="34"/>
      <c r="AB182" s="34"/>
      <c r="AC182" s="34"/>
      <c r="AD182" s="34"/>
      <c r="AE182" s="34"/>
      <c r="AF182" s="34"/>
      <c r="AG182" s="34"/>
      <c r="AH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I182" s="34"/>
      <c r="BJ182" s="34"/>
      <c r="BK182" s="34"/>
      <c r="BL182" s="34"/>
      <c r="BM182" s="34"/>
      <c r="BN182" s="34"/>
      <c r="BO182" s="34"/>
      <c r="BP182" s="34"/>
      <c r="BY182" s="34"/>
      <c r="BZ182" s="34"/>
      <c r="CA182" s="34"/>
      <c r="CB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</row>
    <row r="183" ht="15.75" customHeight="1">
      <c r="B183" s="34"/>
      <c r="E183" s="34"/>
      <c r="F183" s="34"/>
      <c r="G183" s="34"/>
      <c r="H183" s="34"/>
      <c r="I183" s="34"/>
      <c r="J183" s="34"/>
      <c r="K183" s="34"/>
      <c r="L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AA183" s="34"/>
      <c r="AB183" s="34"/>
      <c r="AC183" s="34"/>
      <c r="AD183" s="34"/>
      <c r="AE183" s="34"/>
      <c r="AF183" s="34"/>
      <c r="AG183" s="34"/>
      <c r="AH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I183" s="34"/>
      <c r="BJ183" s="34"/>
      <c r="BK183" s="34"/>
      <c r="BL183" s="34"/>
      <c r="BM183" s="34"/>
      <c r="BN183" s="34"/>
      <c r="BO183" s="34"/>
      <c r="BP183" s="34"/>
      <c r="BY183" s="34"/>
      <c r="BZ183" s="34"/>
      <c r="CA183" s="34"/>
      <c r="CB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</row>
    <row r="184" ht="15.75" customHeight="1">
      <c r="B184" s="34"/>
      <c r="E184" s="34"/>
      <c r="F184" s="34"/>
      <c r="G184" s="34"/>
      <c r="H184" s="34"/>
      <c r="I184" s="34"/>
      <c r="J184" s="34"/>
      <c r="K184" s="34"/>
      <c r="L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AA184" s="34"/>
      <c r="AB184" s="34"/>
      <c r="AC184" s="34"/>
      <c r="AD184" s="34"/>
      <c r="AE184" s="34"/>
      <c r="AF184" s="34"/>
      <c r="AG184" s="34"/>
      <c r="AH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I184" s="34"/>
      <c r="BJ184" s="34"/>
      <c r="BK184" s="34"/>
      <c r="BL184" s="34"/>
      <c r="BM184" s="34"/>
      <c r="BN184" s="34"/>
      <c r="BO184" s="34"/>
      <c r="BP184" s="34"/>
      <c r="BY184" s="34"/>
      <c r="BZ184" s="34"/>
      <c r="CA184" s="34"/>
      <c r="CB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</row>
    <row r="185" ht="15.75" customHeight="1">
      <c r="B185" s="34"/>
      <c r="E185" s="34"/>
      <c r="F185" s="34"/>
      <c r="G185" s="34"/>
      <c r="H185" s="34"/>
      <c r="I185" s="34"/>
      <c r="J185" s="34"/>
      <c r="K185" s="34"/>
      <c r="L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AA185" s="34"/>
      <c r="AB185" s="34"/>
      <c r="AC185" s="34"/>
      <c r="AD185" s="34"/>
      <c r="AE185" s="34"/>
      <c r="AF185" s="34"/>
      <c r="AG185" s="34"/>
      <c r="AH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I185" s="34"/>
      <c r="BJ185" s="34"/>
      <c r="BK185" s="34"/>
      <c r="BL185" s="34"/>
      <c r="BM185" s="34"/>
      <c r="BN185" s="34"/>
      <c r="BO185" s="34"/>
      <c r="BP185" s="34"/>
      <c r="BY185" s="34"/>
      <c r="BZ185" s="34"/>
      <c r="CA185" s="34"/>
      <c r="CB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</row>
    <row r="186" ht="15.75" customHeight="1">
      <c r="B186" s="34"/>
      <c r="E186" s="34"/>
      <c r="F186" s="34"/>
      <c r="G186" s="34"/>
      <c r="H186" s="34"/>
      <c r="I186" s="34"/>
      <c r="J186" s="34"/>
      <c r="K186" s="34"/>
      <c r="L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AA186" s="34"/>
      <c r="AB186" s="34"/>
      <c r="AC186" s="34"/>
      <c r="AD186" s="34"/>
      <c r="AE186" s="34"/>
      <c r="AF186" s="34"/>
      <c r="AG186" s="34"/>
      <c r="AH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I186" s="34"/>
      <c r="BJ186" s="34"/>
      <c r="BK186" s="34"/>
      <c r="BL186" s="34"/>
      <c r="BM186" s="34"/>
      <c r="BN186" s="34"/>
      <c r="BO186" s="34"/>
      <c r="BP186" s="34"/>
      <c r="BY186" s="34"/>
      <c r="BZ186" s="34"/>
      <c r="CA186" s="34"/>
      <c r="CB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</row>
    <row r="187" ht="15.75" customHeight="1">
      <c r="B187" s="34"/>
      <c r="E187" s="34"/>
      <c r="F187" s="34"/>
      <c r="G187" s="34"/>
      <c r="H187" s="34"/>
      <c r="I187" s="34"/>
      <c r="J187" s="34"/>
      <c r="K187" s="34"/>
      <c r="L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AA187" s="34"/>
      <c r="AB187" s="34"/>
      <c r="AC187" s="34"/>
      <c r="AD187" s="34"/>
      <c r="AE187" s="34"/>
      <c r="AF187" s="34"/>
      <c r="AG187" s="34"/>
      <c r="AH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I187" s="34"/>
      <c r="BJ187" s="34"/>
      <c r="BK187" s="34"/>
      <c r="BL187" s="34"/>
      <c r="BM187" s="34"/>
      <c r="BN187" s="34"/>
      <c r="BO187" s="34"/>
      <c r="BP187" s="34"/>
      <c r="BY187" s="34"/>
      <c r="BZ187" s="34"/>
      <c r="CA187" s="34"/>
      <c r="CB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</row>
    <row r="188" ht="15.75" customHeight="1">
      <c r="B188" s="34"/>
      <c r="E188" s="34"/>
      <c r="F188" s="34"/>
      <c r="G188" s="34"/>
      <c r="H188" s="34"/>
      <c r="I188" s="34"/>
      <c r="J188" s="34"/>
      <c r="K188" s="34"/>
      <c r="L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AA188" s="34"/>
      <c r="AB188" s="34"/>
      <c r="AC188" s="34"/>
      <c r="AD188" s="34"/>
      <c r="AE188" s="34"/>
      <c r="AF188" s="34"/>
      <c r="AG188" s="34"/>
      <c r="AH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I188" s="34"/>
      <c r="BJ188" s="34"/>
      <c r="BK188" s="34"/>
      <c r="BL188" s="34"/>
      <c r="BM188" s="34"/>
      <c r="BN188" s="34"/>
      <c r="BO188" s="34"/>
      <c r="BP188" s="34"/>
      <c r="BY188" s="34"/>
      <c r="BZ188" s="34"/>
      <c r="CA188" s="34"/>
      <c r="CB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</row>
    <row r="189" ht="15.75" customHeight="1">
      <c r="B189" s="34"/>
      <c r="E189" s="34"/>
      <c r="F189" s="34"/>
      <c r="G189" s="34"/>
      <c r="H189" s="34"/>
      <c r="I189" s="34"/>
      <c r="J189" s="34"/>
      <c r="K189" s="34"/>
      <c r="L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AA189" s="34"/>
      <c r="AB189" s="34"/>
      <c r="AC189" s="34"/>
      <c r="AD189" s="34"/>
      <c r="AE189" s="34"/>
      <c r="AF189" s="34"/>
      <c r="AG189" s="34"/>
      <c r="AH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I189" s="34"/>
      <c r="BJ189" s="34"/>
      <c r="BK189" s="34"/>
      <c r="BL189" s="34"/>
      <c r="BM189" s="34"/>
      <c r="BN189" s="34"/>
      <c r="BO189" s="34"/>
      <c r="BP189" s="34"/>
      <c r="BY189" s="34"/>
      <c r="BZ189" s="34"/>
      <c r="CA189" s="34"/>
      <c r="CB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</row>
    <row r="190" ht="15.75" customHeight="1">
      <c r="B190" s="34"/>
      <c r="E190" s="34"/>
      <c r="F190" s="34"/>
      <c r="G190" s="34"/>
      <c r="H190" s="34"/>
      <c r="I190" s="34"/>
      <c r="J190" s="34"/>
      <c r="K190" s="34"/>
      <c r="L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AA190" s="34"/>
      <c r="AB190" s="34"/>
      <c r="AC190" s="34"/>
      <c r="AD190" s="34"/>
      <c r="AE190" s="34"/>
      <c r="AF190" s="34"/>
      <c r="AG190" s="34"/>
      <c r="AH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I190" s="34"/>
      <c r="BJ190" s="34"/>
      <c r="BK190" s="34"/>
      <c r="BL190" s="34"/>
      <c r="BM190" s="34"/>
      <c r="BN190" s="34"/>
      <c r="BO190" s="34"/>
      <c r="BP190" s="34"/>
      <c r="BY190" s="34"/>
      <c r="BZ190" s="34"/>
      <c r="CA190" s="34"/>
      <c r="CB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</row>
    <row r="191" ht="15.75" customHeight="1">
      <c r="B191" s="34"/>
      <c r="E191" s="34"/>
      <c r="F191" s="34"/>
      <c r="G191" s="34"/>
      <c r="H191" s="34"/>
      <c r="I191" s="34"/>
      <c r="J191" s="34"/>
      <c r="K191" s="34"/>
      <c r="L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AA191" s="34"/>
      <c r="AB191" s="34"/>
      <c r="AC191" s="34"/>
      <c r="AD191" s="34"/>
      <c r="AE191" s="34"/>
      <c r="AF191" s="34"/>
      <c r="AG191" s="34"/>
      <c r="AH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I191" s="34"/>
      <c r="BJ191" s="34"/>
      <c r="BK191" s="34"/>
      <c r="BL191" s="34"/>
      <c r="BM191" s="34"/>
      <c r="BN191" s="34"/>
      <c r="BO191" s="34"/>
      <c r="BP191" s="34"/>
      <c r="BY191" s="34"/>
      <c r="BZ191" s="34"/>
      <c r="CA191" s="34"/>
      <c r="CB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</row>
    <row r="192" ht="15.75" customHeight="1">
      <c r="B192" s="34"/>
      <c r="E192" s="34"/>
      <c r="F192" s="34"/>
      <c r="G192" s="34"/>
      <c r="H192" s="34"/>
      <c r="I192" s="34"/>
      <c r="J192" s="34"/>
      <c r="K192" s="34"/>
      <c r="L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AA192" s="34"/>
      <c r="AB192" s="34"/>
      <c r="AC192" s="34"/>
      <c r="AD192" s="34"/>
      <c r="AE192" s="34"/>
      <c r="AF192" s="34"/>
      <c r="AG192" s="34"/>
      <c r="AH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I192" s="34"/>
      <c r="BJ192" s="34"/>
      <c r="BK192" s="34"/>
      <c r="BL192" s="34"/>
      <c r="BM192" s="34"/>
      <c r="BN192" s="34"/>
      <c r="BO192" s="34"/>
      <c r="BP192" s="34"/>
      <c r="BY192" s="34"/>
      <c r="BZ192" s="34"/>
      <c r="CA192" s="34"/>
      <c r="CB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</row>
    <row r="193" ht="15.75" customHeight="1">
      <c r="B193" s="34"/>
      <c r="E193" s="34"/>
      <c r="F193" s="34"/>
      <c r="G193" s="34"/>
      <c r="H193" s="34"/>
      <c r="I193" s="34"/>
      <c r="J193" s="34"/>
      <c r="K193" s="34"/>
      <c r="L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AA193" s="34"/>
      <c r="AB193" s="34"/>
      <c r="AC193" s="34"/>
      <c r="AD193" s="34"/>
      <c r="AE193" s="34"/>
      <c r="AF193" s="34"/>
      <c r="AG193" s="34"/>
      <c r="AH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I193" s="34"/>
      <c r="BJ193" s="34"/>
      <c r="BK193" s="34"/>
      <c r="BL193" s="34"/>
      <c r="BM193" s="34"/>
      <c r="BN193" s="34"/>
      <c r="BO193" s="34"/>
      <c r="BP193" s="34"/>
      <c r="BY193" s="34"/>
      <c r="BZ193" s="34"/>
      <c r="CA193" s="34"/>
      <c r="CB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</row>
    <row r="194" ht="15.75" customHeight="1">
      <c r="B194" s="34"/>
      <c r="E194" s="34"/>
      <c r="F194" s="34"/>
      <c r="G194" s="34"/>
      <c r="H194" s="34"/>
      <c r="I194" s="34"/>
      <c r="J194" s="34"/>
      <c r="K194" s="34"/>
      <c r="L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AA194" s="34"/>
      <c r="AB194" s="34"/>
      <c r="AC194" s="34"/>
      <c r="AD194" s="34"/>
      <c r="AE194" s="34"/>
      <c r="AF194" s="34"/>
      <c r="AG194" s="34"/>
      <c r="AH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I194" s="34"/>
      <c r="BJ194" s="34"/>
      <c r="BK194" s="34"/>
      <c r="BL194" s="34"/>
      <c r="BM194" s="34"/>
      <c r="BN194" s="34"/>
      <c r="BO194" s="34"/>
      <c r="BP194" s="34"/>
      <c r="BY194" s="34"/>
      <c r="BZ194" s="34"/>
      <c r="CA194" s="34"/>
      <c r="CB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</row>
    <row r="195" ht="15.75" customHeight="1">
      <c r="B195" s="34"/>
      <c r="E195" s="34"/>
      <c r="F195" s="34"/>
      <c r="G195" s="34"/>
      <c r="H195" s="34"/>
      <c r="I195" s="34"/>
      <c r="J195" s="34"/>
      <c r="K195" s="34"/>
      <c r="L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AA195" s="34"/>
      <c r="AB195" s="34"/>
      <c r="AC195" s="34"/>
      <c r="AD195" s="34"/>
      <c r="AE195" s="34"/>
      <c r="AF195" s="34"/>
      <c r="AG195" s="34"/>
      <c r="AH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I195" s="34"/>
      <c r="BJ195" s="34"/>
      <c r="BK195" s="34"/>
      <c r="BL195" s="34"/>
      <c r="BM195" s="34"/>
      <c r="BN195" s="34"/>
      <c r="BO195" s="34"/>
      <c r="BP195" s="34"/>
      <c r="BY195" s="34"/>
      <c r="BZ195" s="34"/>
      <c r="CA195" s="34"/>
      <c r="CB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</row>
    <row r="196" ht="15.75" customHeight="1">
      <c r="B196" s="34"/>
      <c r="E196" s="34"/>
      <c r="F196" s="34"/>
      <c r="G196" s="34"/>
      <c r="H196" s="34"/>
      <c r="I196" s="34"/>
      <c r="J196" s="34"/>
      <c r="K196" s="34"/>
      <c r="L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AA196" s="34"/>
      <c r="AB196" s="34"/>
      <c r="AC196" s="34"/>
      <c r="AD196" s="34"/>
      <c r="AE196" s="34"/>
      <c r="AF196" s="34"/>
      <c r="AG196" s="34"/>
      <c r="AH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I196" s="34"/>
      <c r="BJ196" s="34"/>
      <c r="BK196" s="34"/>
      <c r="BL196" s="34"/>
      <c r="BM196" s="34"/>
      <c r="BN196" s="34"/>
      <c r="BO196" s="34"/>
      <c r="BP196" s="34"/>
      <c r="BY196" s="34"/>
      <c r="BZ196" s="34"/>
      <c r="CA196" s="34"/>
      <c r="CB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</row>
    <row r="197" ht="15.75" customHeight="1">
      <c r="B197" s="34"/>
      <c r="E197" s="34"/>
      <c r="F197" s="34"/>
      <c r="G197" s="34"/>
      <c r="H197" s="34"/>
      <c r="I197" s="34"/>
      <c r="J197" s="34"/>
      <c r="K197" s="34"/>
      <c r="L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AA197" s="34"/>
      <c r="AB197" s="34"/>
      <c r="AC197" s="34"/>
      <c r="AD197" s="34"/>
      <c r="AE197" s="34"/>
      <c r="AF197" s="34"/>
      <c r="AG197" s="34"/>
      <c r="AH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I197" s="34"/>
      <c r="BJ197" s="34"/>
      <c r="BK197" s="34"/>
      <c r="BL197" s="34"/>
      <c r="BM197" s="34"/>
      <c r="BN197" s="34"/>
      <c r="BO197" s="34"/>
      <c r="BP197" s="34"/>
      <c r="BY197" s="34"/>
      <c r="BZ197" s="34"/>
      <c r="CA197" s="34"/>
      <c r="CB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</row>
    <row r="198" ht="15.75" customHeight="1">
      <c r="B198" s="34"/>
      <c r="E198" s="34"/>
      <c r="F198" s="34"/>
      <c r="G198" s="34"/>
      <c r="H198" s="34"/>
      <c r="I198" s="34"/>
      <c r="J198" s="34"/>
      <c r="K198" s="34"/>
      <c r="L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AA198" s="34"/>
      <c r="AB198" s="34"/>
      <c r="AC198" s="34"/>
      <c r="AD198" s="34"/>
      <c r="AE198" s="34"/>
      <c r="AF198" s="34"/>
      <c r="AG198" s="34"/>
      <c r="AH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I198" s="34"/>
      <c r="BJ198" s="34"/>
      <c r="BK198" s="34"/>
      <c r="BL198" s="34"/>
      <c r="BM198" s="34"/>
      <c r="BN198" s="34"/>
      <c r="BO198" s="34"/>
      <c r="BP198" s="34"/>
      <c r="BY198" s="34"/>
      <c r="BZ198" s="34"/>
      <c r="CA198" s="34"/>
      <c r="CB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</row>
    <row r="199" ht="15.75" customHeight="1">
      <c r="B199" s="34"/>
      <c r="E199" s="34"/>
      <c r="F199" s="34"/>
      <c r="G199" s="34"/>
      <c r="H199" s="34"/>
      <c r="I199" s="34"/>
      <c r="J199" s="34"/>
      <c r="K199" s="34"/>
      <c r="L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AA199" s="34"/>
      <c r="AB199" s="34"/>
      <c r="AC199" s="34"/>
      <c r="AD199" s="34"/>
      <c r="AE199" s="34"/>
      <c r="AF199" s="34"/>
      <c r="AG199" s="34"/>
      <c r="AH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I199" s="34"/>
      <c r="BJ199" s="34"/>
      <c r="BK199" s="34"/>
      <c r="BL199" s="34"/>
      <c r="BM199" s="34"/>
      <c r="BN199" s="34"/>
      <c r="BO199" s="34"/>
      <c r="BP199" s="34"/>
      <c r="BY199" s="34"/>
      <c r="BZ199" s="34"/>
      <c r="CA199" s="34"/>
      <c r="CB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</row>
    <row r="200" ht="15.75" customHeight="1">
      <c r="B200" s="34"/>
      <c r="E200" s="34"/>
      <c r="F200" s="34"/>
      <c r="G200" s="34"/>
      <c r="H200" s="34"/>
      <c r="I200" s="34"/>
      <c r="J200" s="34"/>
      <c r="K200" s="34"/>
      <c r="L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AA200" s="34"/>
      <c r="AB200" s="34"/>
      <c r="AC200" s="34"/>
      <c r="AD200" s="34"/>
      <c r="AE200" s="34"/>
      <c r="AF200" s="34"/>
      <c r="AG200" s="34"/>
      <c r="AH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I200" s="34"/>
      <c r="BJ200" s="34"/>
      <c r="BK200" s="34"/>
      <c r="BL200" s="34"/>
      <c r="BM200" s="34"/>
      <c r="BN200" s="34"/>
      <c r="BO200" s="34"/>
      <c r="BP200" s="34"/>
      <c r="BY200" s="34"/>
      <c r="BZ200" s="34"/>
      <c r="CA200" s="34"/>
      <c r="CB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</row>
    <row r="201" ht="15.75" customHeight="1">
      <c r="B201" s="34"/>
      <c r="E201" s="34"/>
      <c r="F201" s="34"/>
      <c r="G201" s="34"/>
      <c r="H201" s="34"/>
      <c r="I201" s="34"/>
      <c r="J201" s="34"/>
      <c r="K201" s="34"/>
      <c r="L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AA201" s="34"/>
      <c r="AB201" s="34"/>
      <c r="AC201" s="34"/>
      <c r="AD201" s="34"/>
      <c r="AE201" s="34"/>
      <c r="AF201" s="34"/>
      <c r="AG201" s="34"/>
      <c r="AH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I201" s="34"/>
      <c r="BJ201" s="34"/>
      <c r="BK201" s="34"/>
      <c r="BL201" s="34"/>
      <c r="BM201" s="34"/>
      <c r="BN201" s="34"/>
      <c r="BO201" s="34"/>
      <c r="BP201" s="34"/>
      <c r="BY201" s="34"/>
      <c r="BZ201" s="34"/>
      <c r="CA201" s="34"/>
      <c r="CB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</row>
    <row r="202" ht="15.75" customHeight="1">
      <c r="B202" s="34"/>
      <c r="E202" s="34"/>
      <c r="F202" s="34"/>
      <c r="G202" s="34"/>
      <c r="H202" s="34"/>
      <c r="I202" s="34"/>
      <c r="J202" s="34"/>
      <c r="K202" s="34"/>
      <c r="L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AA202" s="34"/>
      <c r="AB202" s="34"/>
      <c r="AC202" s="34"/>
      <c r="AD202" s="34"/>
      <c r="AE202" s="34"/>
      <c r="AF202" s="34"/>
      <c r="AG202" s="34"/>
      <c r="AH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I202" s="34"/>
      <c r="BJ202" s="34"/>
      <c r="BK202" s="34"/>
      <c r="BL202" s="34"/>
      <c r="BM202" s="34"/>
      <c r="BN202" s="34"/>
      <c r="BO202" s="34"/>
      <c r="BP202" s="34"/>
      <c r="BY202" s="34"/>
      <c r="BZ202" s="34"/>
      <c r="CA202" s="34"/>
      <c r="CB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</row>
    <row r="203" ht="15.75" customHeight="1">
      <c r="B203" s="34"/>
      <c r="E203" s="34"/>
      <c r="F203" s="34"/>
      <c r="G203" s="34"/>
      <c r="H203" s="34"/>
      <c r="I203" s="34"/>
      <c r="J203" s="34"/>
      <c r="K203" s="34"/>
      <c r="L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AA203" s="34"/>
      <c r="AB203" s="34"/>
      <c r="AC203" s="34"/>
      <c r="AD203" s="34"/>
      <c r="AE203" s="34"/>
      <c r="AF203" s="34"/>
      <c r="AG203" s="34"/>
      <c r="AH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I203" s="34"/>
      <c r="BJ203" s="34"/>
      <c r="BK203" s="34"/>
      <c r="BL203" s="34"/>
      <c r="BM203" s="34"/>
      <c r="BN203" s="34"/>
      <c r="BO203" s="34"/>
      <c r="BP203" s="34"/>
      <c r="BY203" s="34"/>
      <c r="BZ203" s="34"/>
      <c r="CA203" s="34"/>
      <c r="CB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</row>
    <row r="204" ht="15.75" customHeight="1">
      <c r="B204" s="34"/>
      <c r="E204" s="34"/>
      <c r="F204" s="34"/>
      <c r="G204" s="34"/>
      <c r="H204" s="34"/>
      <c r="I204" s="34"/>
      <c r="J204" s="34"/>
      <c r="K204" s="34"/>
      <c r="L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AA204" s="34"/>
      <c r="AB204" s="34"/>
      <c r="AC204" s="34"/>
      <c r="AD204" s="34"/>
      <c r="AE204" s="34"/>
      <c r="AF204" s="34"/>
      <c r="AG204" s="34"/>
      <c r="AH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I204" s="34"/>
      <c r="BJ204" s="34"/>
      <c r="BK204" s="34"/>
      <c r="BL204" s="34"/>
      <c r="BM204" s="34"/>
      <c r="BN204" s="34"/>
      <c r="BO204" s="34"/>
      <c r="BP204" s="34"/>
      <c r="BY204" s="34"/>
      <c r="BZ204" s="34"/>
      <c r="CA204" s="34"/>
      <c r="CB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</row>
    <row r="205" ht="15.75" customHeight="1">
      <c r="B205" s="34"/>
      <c r="E205" s="34"/>
      <c r="F205" s="34"/>
      <c r="G205" s="34"/>
      <c r="H205" s="34"/>
      <c r="I205" s="34"/>
      <c r="J205" s="34"/>
      <c r="K205" s="34"/>
      <c r="L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AA205" s="34"/>
      <c r="AB205" s="34"/>
      <c r="AC205" s="34"/>
      <c r="AD205" s="34"/>
      <c r="AE205" s="34"/>
      <c r="AF205" s="34"/>
      <c r="AG205" s="34"/>
      <c r="AH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I205" s="34"/>
      <c r="BJ205" s="34"/>
      <c r="BK205" s="34"/>
      <c r="BL205" s="34"/>
      <c r="BM205" s="34"/>
      <c r="BN205" s="34"/>
      <c r="BO205" s="34"/>
      <c r="BP205" s="34"/>
      <c r="BY205" s="34"/>
      <c r="BZ205" s="34"/>
      <c r="CA205" s="34"/>
      <c r="CB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</row>
    <row r="206" ht="15.75" customHeight="1">
      <c r="B206" s="34"/>
      <c r="E206" s="34"/>
      <c r="F206" s="34"/>
      <c r="G206" s="34"/>
      <c r="H206" s="34"/>
      <c r="I206" s="34"/>
      <c r="J206" s="34"/>
      <c r="K206" s="34"/>
      <c r="L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AA206" s="34"/>
      <c r="AB206" s="34"/>
      <c r="AC206" s="34"/>
      <c r="AD206" s="34"/>
      <c r="AE206" s="34"/>
      <c r="AF206" s="34"/>
      <c r="AG206" s="34"/>
      <c r="AH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I206" s="34"/>
      <c r="BJ206" s="34"/>
      <c r="BK206" s="34"/>
      <c r="BL206" s="34"/>
      <c r="BM206" s="34"/>
      <c r="BN206" s="34"/>
      <c r="BO206" s="34"/>
      <c r="BP206" s="34"/>
      <c r="BY206" s="34"/>
      <c r="BZ206" s="34"/>
      <c r="CA206" s="34"/>
      <c r="CB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</row>
    <row r="207" ht="15.75" customHeight="1">
      <c r="B207" s="34"/>
      <c r="E207" s="34"/>
      <c r="F207" s="34"/>
      <c r="G207" s="34"/>
      <c r="H207" s="34"/>
      <c r="I207" s="34"/>
      <c r="J207" s="34"/>
      <c r="K207" s="34"/>
      <c r="L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AA207" s="34"/>
      <c r="AB207" s="34"/>
      <c r="AC207" s="34"/>
      <c r="AD207" s="34"/>
      <c r="AE207" s="34"/>
      <c r="AF207" s="34"/>
      <c r="AG207" s="34"/>
      <c r="AH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I207" s="34"/>
      <c r="BJ207" s="34"/>
      <c r="BK207" s="34"/>
      <c r="BL207" s="34"/>
      <c r="BM207" s="34"/>
      <c r="BN207" s="34"/>
      <c r="BO207" s="34"/>
      <c r="BP207" s="34"/>
      <c r="BY207" s="34"/>
      <c r="BZ207" s="34"/>
      <c r="CA207" s="34"/>
      <c r="CB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</row>
    <row r="208" ht="15.75" customHeight="1">
      <c r="B208" s="34"/>
      <c r="E208" s="34"/>
      <c r="F208" s="34"/>
      <c r="G208" s="34"/>
      <c r="H208" s="34"/>
      <c r="I208" s="34"/>
      <c r="J208" s="34"/>
      <c r="K208" s="34"/>
      <c r="L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AA208" s="34"/>
      <c r="AB208" s="34"/>
      <c r="AC208" s="34"/>
      <c r="AD208" s="34"/>
      <c r="AE208" s="34"/>
      <c r="AF208" s="34"/>
      <c r="AG208" s="34"/>
      <c r="AH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I208" s="34"/>
      <c r="BJ208" s="34"/>
      <c r="BK208" s="34"/>
      <c r="BL208" s="34"/>
      <c r="BM208" s="34"/>
      <c r="BN208" s="34"/>
      <c r="BO208" s="34"/>
      <c r="BP208" s="34"/>
      <c r="BY208" s="34"/>
      <c r="BZ208" s="34"/>
      <c r="CA208" s="34"/>
      <c r="CB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</row>
    <row r="209" ht="15.75" customHeight="1">
      <c r="B209" s="34"/>
      <c r="E209" s="34"/>
      <c r="F209" s="34"/>
      <c r="G209" s="34"/>
      <c r="H209" s="34"/>
      <c r="I209" s="34"/>
      <c r="J209" s="34"/>
      <c r="K209" s="34"/>
      <c r="L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AA209" s="34"/>
      <c r="AB209" s="34"/>
      <c r="AC209" s="34"/>
      <c r="AD209" s="34"/>
      <c r="AE209" s="34"/>
      <c r="AF209" s="34"/>
      <c r="AG209" s="34"/>
      <c r="AH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I209" s="34"/>
      <c r="BJ209" s="34"/>
      <c r="BK209" s="34"/>
      <c r="BL209" s="34"/>
      <c r="BM209" s="34"/>
      <c r="BN209" s="34"/>
      <c r="BO209" s="34"/>
      <c r="BP209" s="34"/>
      <c r="BY209" s="34"/>
      <c r="BZ209" s="34"/>
      <c r="CA209" s="34"/>
      <c r="CB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</row>
    <row r="210" ht="15.75" customHeight="1">
      <c r="B210" s="34"/>
      <c r="E210" s="34"/>
      <c r="F210" s="34"/>
      <c r="G210" s="34"/>
      <c r="H210" s="34"/>
      <c r="I210" s="34"/>
      <c r="J210" s="34"/>
      <c r="K210" s="34"/>
      <c r="L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AA210" s="34"/>
      <c r="AB210" s="34"/>
      <c r="AC210" s="34"/>
      <c r="AD210" s="34"/>
      <c r="AE210" s="34"/>
      <c r="AF210" s="34"/>
      <c r="AG210" s="34"/>
      <c r="AH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I210" s="34"/>
      <c r="BJ210" s="34"/>
      <c r="BK210" s="34"/>
      <c r="BL210" s="34"/>
      <c r="BM210" s="34"/>
      <c r="BN210" s="34"/>
      <c r="BO210" s="34"/>
      <c r="BP210" s="34"/>
      <c r="BY210" s="34"/>
      <c r="BZ210" s="34"/>
      <c r="CA210" s="34"/>
      <c r="CB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</row>
    <row r="211" ht="15.75" customHeight="1">
      <c r="B211" s="34"/>
      <c r="E211" s="34"/>
      <c r="F211" s="34"/>
      <c r="G211" s="34"/>
      <c r="H211" s="34"/>
      <c r="I211" s="34"/>
      <c r="J211" s="34"/>
      <c r="K211" s="34"/>
      <c r="L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AA211" s="34"/>
      <c r="AB211" s="34"/>
      <c r="AC211" s="34"/>
      <c r="AD211" s="34"/>
      <c r="AE211" s="34"/>
      <c r="AF211" s="34"/>
      <c r="AG211" s="34"/>
      <c r="AH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I211" s="34"/>
      <c r="BJ211" s="34"/>
      <c r="BK211" s="34"/>
      <c r="BL211" s="34"/>
      <c r="BM211" s="34"/>
      <c r="BN211" s="34"/>
      <c r="BO211" s="34"/>
      <c r="BP211" s="34"/>
      <c r="BY211" s="34"/>
      <c r="BZ211" s="34"/>
      <c r="CA211" s="34"/>
      <c r="CB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</row>
    <row r="212" ht="15.75" customHeight="1">
      <c r="B212" s="34"/>
      <c r="E212" s="34"/>
      <c r="F212" s="34"/>
      <c r="G212" s="34"/>
      <c r="H212" s="34"/>
      <c r="I212" s="34"/>
      <c r="J212" s="34"/>
      <c r="K212" s="34"/>
      <c r="L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AA212" s="34"/>
      <c r="AB212" s="34"/>
      <c r="AC212" s="34"/>
      <c r="AD212" s="34"/>
      <c r="AE212" s="34"/>
      <c r="AF212" s="34"/>
      <c r="AG212" s="34"/>
      <c r="AH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I212" s="34"/>
      <c r="BJ212" s="34"/>
      <c r="BK212" s="34"/>
      <c r="BL212" s="34"/>
      <c r="BM212" s="34"/>
      <c r="BN212" s="34"/>
      <c r="BO212" s="34"/>
      <c r="BP212" s="34"/>
      <c r="BY212" s="34"/>
      <c r="BZ212" s="34"/>
      <c r="CA212" s="34"/>
      <c r="CB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</row>
    <row r="213" ht="15.75" customHeight="1">
      <c r="B213" s="34"/>
      <c r="E213" s="34"/>
      <c r="F213" s="34"/>
      <c r="G213" s="34"/>
      <c r="H213" s="34"/>
      <c r="I213" s="34"/>
      <c r="J213" s="34"/>
      <c r="K213" s="34"/>
      <c r="L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AA213" s="34"/>
      <c r="AB213" s="34"/>
      <c r="AC213" s="34"/>
      <c r="AD213" s="34"/>
      <c r="AE213" s="34"/>
      <c r="AF213" s="34"/>
      <c r="AG213" s="34"/>
      <c r="AH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I213" s="34"/>
      <c r="BJ213" s="34"/>
      <c r="BK213" s="34"/>
      <c r="BL213" s="34"/>
      <c r="BM213" s="34"/>
      <c r="BN213" s="34"/>
      <c r="BO213" s="34"/>
      <c r="BP213" s="34"/>
      <c r="BY213" s="34"/>
      <c r="BZ213" s="34"/>
      <c r="CA213" s="34"/>
      <c r="CB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</row>
    <row r="214" ht="15.75" customHeight="1">
      <c r="B214" s="34"/>
      <c r="E214" s="34"/>
      <c r="F214" s="34"/>
      <c r="G214" s="34"/>
      <c r="H214" s="34"/>
      <c r="I214" s="34"/>
      <c r="J214" s="34"/>
      <c r="K214" s="34"/>
      <c r="L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AA214" s="34"/>
      <c r="AB214" s="34"/>
      <c r="AC214" s="34"/>
      <c r="AD214" s="34"/>
      <c r="AE214" s="34"/>
      <c r="AF214" s="34"/>
      <c r="AG214" s="34"/>
      <c r="AH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I214" s="34"/>
      <c r="BJ214" s="34"/>
      <c r="BK214" s="34"/>
      <c r="BL214" s="34"/>
      <c r="BM214" s="34"/>
      <c r="BN214" s="34"/>
      <c r="BO214" s="34"/>
      <c r="BP214" s="34"/>
      <c r="BY214" s="34"/>
      <c r="BZ214" s="34"/>
      <c r="CA214" s="34"/>
      <c r="CB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</row>
    <row r="215" ht="15.75" customHeight="1">
      <c r="B215" s="34"/>
      <c r="E215" s="34"/>
      <c r="F215" s="34"/>
      <c r="G215" s="34"/>
      <c r="H215" s="34"/>
      <c r="I215" s="34"/>
      <c r="J215" s="34"/>
      <c r="K215" s="34"/>
      <c r="L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AA215" s="34"/>
      <c r="AB215" s="34"/>
      <c r="AC215" s="34"/>
      <c r="AD215" s="34"/>
      <c r="AE215" s="34"/>
      <c r="AF215" s="34"/>
      <c r="AG215" s="34"/>
      <c r="AH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I215" s="34"/>
      <c r="BJ215" s="34"/>
      <c r="BK215" s="34"/>
      <c r="BL215" s="34"/>
      <c r="BM215" s="34"/>
      <c r="BN215" s="34"/>
      <c r="BO215" s="34"/>
      <c r="BP215" s="34"/>
      <c r="BY215" s="34"/>
      <c r="BZ215" s="34"/>
      <c r="CA215" s="34"/>
      <c r="CB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</row>
    <row r="216" ht="15.75" customHeight="1">
      <c r="B216" s="34"/>
      <c r="E216" s="34"/>
      <c r="F216" s="34"/>
      <c r="G216" s="34"/>
      <c r="H216" s="34"/>
      <c r="I216" s="34"/>
      <c r="J216" s="34"/>
      <c r="K216" s="34"/>
      <c r="L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AA216" s="34"/>
      <c r="AB216" s="34"/>
      <c r="AC216" s="34"/>
      <c r="AD216" s="34"/>
      <c r="AE216" s="34"/>
      <c r="AF216" s="34"/>
      <c r="AG216" s="34"/>
      <c r="AH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I216" s="34"/>
      <c r="BJ216" s="34"/>
      <c r="BK216" s="34"/>
      <c r="BL216" s="34"/>
      <c r="BM216" s="34"/>
      <c r="BN216" s="34"/>
      <c r="BO216" s="34"/>
      <c r="BP216" s="34"/>
      <c r="BY216" s="34"/>
      <c r="BZ216" s="34"/>
      <c r="CA216" s="34"/>
      <c r="CB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</row>
    <row r="217" ht="15.75" customHeight="1">
      <c r="B217" s="34"/>
      <c r="E217" s="34"/>
      <c r="F217" s="34"/>
      <c r="G217" s="34"/>
      <c r="H217" s="34"/>
      <c r="I217" s="34"/>
      <c r="J217" s="34"/>
      <c r="K217" s="34"/>
      <c r="L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AA217" s="34"/>
      <c r="AB217" s="34"/>
      <c r="AC217" s="34"/>
      <c r="AD217" s="34"/>
      <c r="AE217" s="34"/>
      <c r="AF217" s="34"/>
      <c r="AG217" s="34"/>
      <c r="AH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I217" s="34"/>
      <c r="BJ217" s="34"/>
      <c r="BK217" s="34"/>
      <c r="BL217" s="34"/>
      <c r="BM217" s="34"/>
      <c r="BN217" s="34"/>
      <c r="BO217" s="34"/>
      <c r="BP217" s="34"/>
      <c r="BY217" s="34"/>
      <c r="BZ217" s="34"/>
      <c r="CA217" s="34"/>
      <c r="CB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</row>
    <row r="218" ht="15.75" customHeight="1">
      <c r="B218" s="34"/>
      <c r="E218" s="34"/>
      <c r="F218" s="34"/>
      <c r="G218" s="34"/>
      <c r="H218" s="34"/>
      <c r="I218" s="34"/>
      <c r="J218" s="34"/>
      <c r="K218" s="34"/>
      <c r="L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AA218" s="34"/>
      <c r="AB218" s="34"/>
      <c r="AC218" s="34"/>
      <c r="AD218" s="34"/>
      <c r="AE218" s="34"/>
      <c r="AF218" s="34"/>
      <c r="AG218" s="34"/>
      <c r="AH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I218" s="34"/>
      <c r="BJ218" s="34"/>
      <c r="BK218" s="34"/>
      <c r="BL218" s="34"/>
      <c r="BM218" s="34"/>
      <c r="BN218" s="34"/>
      <c r="BO218" s="34"/>
      <c r="BP218" s="34"/>
      <c r="BY218" s="34"/>
      <c r="BZ218" s="34"/>
      <c r="CA218" s="34"/>
      <c r="CB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</row>
    <row r="219" ht="15.75" customHeight="1">
      <c r="B219" s="34"/>
      <c r="E219" s="34"/>
      <c r="F219" s="34"/>
      <c r="G219" s="34"/>
      <c r="H219" s="34"/>
      <c r="I219" s="34"/>
      <c r="J219" s="34"/>
      <c r="K219" s="34"/>
      <c r="L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AA219" s="34"/>
      <c r="AB219" s="34"/>
      <c r="AC219" s="34"/>
      <c r="AD219" s="34"/>
      <c r="AE219" s="34"/>
      <c r="AF219" s="34"/>
      <c r="AG219" s="34"/>
      <c r="AH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I219" s="34"/>
      <c r="BJ219" s="34"/>
      <c r="BK219" s="34"/>
      <c r="BL219" s="34"/>
      <c r="BM219" s="34"/>
      <c r="BN219" s="34"/>
      <c r="BO219" s="34"/>
      <c r="BP219" s="34"/>
      <c r="BY219" s="34"/>
      <c r="BZ219" s="34"/>
      <c r="CA219" s="34"/>
      <c r="CB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</row>
    <row r="220" ht="15.75" customHeight="1">
      <c r="B220" s="34"/>
      <c r="E220" s="34"/>
      <c r="F220" s="34"/>
      <c r="G220" s="34"/>
      <c r="H220" s="34"/>
      <c r="I220" s="34"/>
      <c r="J220" s="34"/>
      <c r="K220" s="34"/>
      <c r="L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AA220" s="34"/>
      <c r="AB220" s="34"/>
      <c r="AC220" s="34"/>
      <c r="AD220" s="34"/>
      <c r="AE220" s="34"/>
      <c r="AF220" s="34"/>
      <c r="AG220" s="34"/>
      <c r="AH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I220" s="34"/>
      <c r="BJ220" s="34"/>
      <c r="BK220" s="34"/>
      <c r="BL220" s="34"/>
      <c r="BM220" s="34"/>
      <c r="BN220" s="34"/>
      <c r="BO220" s="34"/>
      <c r="BP220" s="34"/>
      <c r="BY220" s="34"/>
      <c r="BZ220" s="34"/>
      <c r="CA220" s="34"/>
      <c r="CB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</row>
    <row r="221" ht="15.75" customHeight="1">
      <c r="B221" s="34"/>
      <c r="E221" s="34"/>
      <c r="F221" s="34"/>
      <c r="G221" s="34"/>
      <c r="H221" s="34"/>
      <c r="I221" s="34"/>
      <c r="J221" s="34"/>
      <c r="K221" s="34"/>
      <c r="L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AA221" s="34"/>
      <c r="AB221" s="34"/>
      <c r="AC221" s="34"/>
      <c r="AD221" s="34"/>
      <c r="AE221" s="34"/>
      <c r="AF221" s="34"/>
      <c r="AG221" s="34"/>
      <c r="AH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I221" s="34"/>
      <c r="BJ221" s="34"/>
      <c r="BK221" s="34"/>
      <c r="BL221" s="34"/>
      <c r="BM221" s="34"/>
      <c r="BN221" s="34"/>
      <c r="BO221" s="34"/>
      <c r="BP221" s="34"/>
      <c r="BY221" s="34"/>
      <c r="BZ221" s="34"/>
      <c r="CA221" s="34"/>
      <c r="CB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</row>
    <row r="222" ht="15.75" customHeight="1">
      <c r="B222" s="34"/>
      <c r="E222" s="34"/>
      <c r="F222" s="34"/>
      <c r="G222" s="34"/>
      <c r="H222" s="34"/>
      <c r="I222" s="34"/>
      <c r="J222" s="34"/>
      <c r="K222" s="34"/>
      <c r="L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AA222" s="34"/>
      <c r="AB222" s="34"/>
      <c r="AC222" s="34"/>
      <c r="AD222" s="34"/>
      <c r="AE222" s="34"/>
      <c r="AF222" s="34"/>
      <c r="AG222" s="34"/>
      <c r="AH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I222" s="34"/>
      <c r="BJ222" s="34"/>
      <c r="BK222" s="34"/>
      <c r="BL222" s="34"/>
      <c r="BM222" s="34"/>
      <c r="BN222" s="34"/>
      <c r="BO222" s="34"/>
      <c r="BP222" s="34"/>
      <c r="BY222" s="34"/>
      <c r="BZ222" s="34"/>
      <c r="CA222" s="34"/>
      <c r="CB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</row>
    <row r="223" ht="15.75" customHeight="1">
      <c r="B223" s="34"/>
      <c r="E223" s="34"/>
      <c r="F223" s="34"/>
      <c r="G223" s="34"/>
      <c r="H223" s="34"/>
      <c r="I223" s="34"/>
      <c r="J223" s="34"/>
      <c r="K223" s="34"/>
      <c r="L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AA223" s="34"/>
      <c r="AB223" s="34"/>
      <c r="AC223" s="34"/>
      <c r="AD223" s="34"/>
      <c r="AE223" s="34"/>
      <c r="AF223" s="34"/>
      <c r="AG223" s="34"/>
      <c r="AH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I223" s="34"/>
      <c r="BJ223" s="34"/>
      <c r="BK223" s="34"/>
      <c r="BL223" s="34"/>
      <c r="BM223" s="34"/>
      <c r="BN223" s="34"/>
      <c r="BO223" s="34"/>
      <c r="BP223" s="34"/>
      <c r="BY223" s="34"/>
      <c r="BZ223" s="34"/>
      <c r="CA223" s="34"/>
      <c r="CB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</row>
    <row r="224" ht="15.75" customHeight="1">
      <c r="B224" s="34"/>
      <c r="E224" s="34"/>
      <c r="F224" s="34"/>
      <c r="G224" s="34"/>
      <c r="H224" s="34"/>
      <c r="I224" s="34"/>
      <c r="J224" s="34"/>
      <c r="K224" s="34"/>
      <c r="L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AA224" s="34"/>
      <c r="AB224" s="34"/>
      <c r="AC224" s="34"/>
      <c r="AD224" s="34"/>
      <c r="AE224" s="34"/>
      <c r="AF224" s="34"/>
      <c r="AG224" s="34"/>
      <c r="AH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I224" s="34"/>
      <c r="BJ224" s="34"/>
      <c r="BK224" s="34"/>
      <c r="BL224" s="34"/>
      <c r="BM224" s="34"/>
      <c r="BN224" s="34"/>
      <c r="BO224" s="34"/>
      <c r="BP224" s="34"/>
      <c r="BY224" s="34"/>
      <c r="BZ224" s="34"/>
      <c r="CA224" s="34"/>
      <c r="CB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</row>
    <row r="225" ht="15.75" customHeight="1">
      <c r="B225" s="34"/>
      <c r="E225" s="34"/>
      <c r="F225" s="34"/>
      <c r="G225" s="34"/>
      <c r="H225" s="34"/>
      <c r="I225" s="34"/>
      <c r="J225" s="34"/>
      <c r="K225" s="34"/>
      <c r="L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AA225" s="34"/>
      <c r="AB225" s="34"/>
      <c r="AC225" s="34"/>
      <c r="AD225" s="34"/>
      <c r="AE225" s="34"/>
      <c r="AF225" s="34"/>
      <c r="AG225" s="34"/>
      <c r="AH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I225" s="34"/>
      <c r="BJ225" s="34"/>
      <c r="BK225" s="34"/>
      <c r="BL225" s="34"/>
      <c r="BM225" s="34"/>
      <c r="BN225" s="34"/>
      <c r="BO225" s="34"/>
      <c r="BP225" s="34"/>
      <c r="BY225" s="34"/>
      <c r="BZ225" s="34"/>
      <c r="CA225" s="34"/>
      <c r="CB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</row>
    <row r="226" ht="15.75" customHeight="1">
      <c r="B226" s="34"/>
      <c r="E226" s="34"/>
      <c r="F226" s="34"/>
      <c r="G226" s="34"/>
      <c r="H226" s="34"/>
      <c r="I226" s="34"/>
      <c r="J226" s="34"/>
      <c r="K226" s="34"/>
      <c r="L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AA226" s="34"/>
      <c r="AB226" s="34"/>
      <c r="AC226" s="34"/>
      <c r="AD226" s="34"/>
      <c r="AE226" s="34"/>
      <c r="AF226" s="34"/>
      <c r="AG226" s="34"/>
      <c r="AH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I226" s="34"/>
      <c r="BJ226" s="34"/>
      <c r="BK226" s="34"/>
      <c r="BL226" s="34"/>
      <c r="BM226" s="34"/>
      <c r="BN226" s="34"/>
      <c r="BO226" s="34"/>
      <c r="BP226" s="34"/>
      <c r="BY226" s="34"/>
      <c r="BZ226" s="34"/>
      <c r="CA226" s="34"/>
      <c r="CB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</row>
    <row r="227" ht="15.75" customHeight="1">
      <c r="B227" s="34"/>
      <c r="E227" s="34"/>
      <c r="F227" s="34"/>
      <c r="G227" s="34"/>
      <c r="H227" s="34"/>
      <c r="I227" s="34"/>
      <c r="J227" s="34"/>
      <c r="K227" s="34"/>
      <c r="L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AA227" s="34"/>
      <c r="AB227" s="34"/>
      <c r="AC227" s="34"/>
      <c r="AD227" s="34"/>
      <c r="AE227" s="34"/>
      <c r="AF227" s="34"/>
      <c r="AG227" s="34"/>
      <c r="AH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I227" s="34"/>
      <c r="BJ227" s="34"/>
      <c r="BK227" s="34"/>
      <c r="BL227" s="34"/>
      <c r="BM227" s="34"/>
      <c r="BN227" s="34"/>
      <c r="BO227" s="34"/>
      <c r="BP227" s="34"/>
      <c r="BY227" s="34"/>
      <c r="BZ227" s="34"/>
      <c r="CA227" s="34"/>
      <c r="CB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</row>
    <row r="228" ht="15.75" customHeight="1">
      <c r="B228" s="34"/>
      <c r="E228" s="34"/>
      <c r="F228" s="34"/>
      <c r="G228" s="34"/>
      <c r="H228" s="34"/>
      <c r="I228" s="34"/>
      <c r="J228" s="34"/>
      <c r="K228" s="34"/>
      <c r="L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AA228" s="34"/>
      <c r="AB228" s="34"/>
      <c r="AC228" s="34"/>
      <c r="AD228" s="34"/>
      <c r="AE228" s="34"/>
      <c r="AF228" s="34"/>
      <c r="AG228" s="34"/>
      <c r="AH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I228" s="34"/>
      <c r="BJ228" s="34"/>
      <c r="BK228" s="34"/>
      <c r="BL228" s="34"/>
      <c r="BM228" s="34"/>
      <c r="BN228" s="34"/>
      <c r="BO228" s="34"/>
      <c r="BP228" s="34"/>
      <c r="BY228" s="34"/>
      <c r="BZ228" s="34"/>
      <c r="CA228" s="34"/>
      <c r="CB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</row>
    <row r="229" ht="15.75" customHeight="1">
      <c r="B229" s="34"/>
      <c r="E229" s="34"/>
      <c r="F229" s="34"/>
      <c r="G229" s="34"/>
      <c r="H229" s="34"/>
      <c r="I229" s="34"/>
      <c r="J229" s="34"/>
      <c r="K229" s="34"/>
      <c r="L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AA229" s="34"/>
      <c r="AB229" s="34"/>
      <c r="AC229" s="34"/>
      <c r="AD229" s="34"/>
      <c r="AE229" s="34"/>
      <c r="AF229" s="34"/>
      <c r="AG229" s="34"/>
      <c r="AH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I229" s="34"/>
      <c r="BJ229" s="34"/>
      <c r="BK229" s="34"/>
      <c r="BL229" s="34"/>
      <c r="BM229" s="34"/>
      <c r="BN229" s="34"/>
      <c r="BO229" s="34"/>
      <c r="BP229" s="34"/>
      <c r="BY229" s="34"/>
      <c r="BZ229" s="34"/>
      <c r="CA229" s="34"/>
      <c r="CB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</row>
    <row r="230" ht="15.75" customHeight="1">
      <c r="B230" s="34"/>
      <c r="E230" s="34"/>
      <c r="F230" s="34"/>
      <c r="G230" s="34"/>
      <c r="H230" s="34"/>
      <c r="I230" s="34"/>
      <c r="J230" s="34"/>
      <c r="K230" s="34"/>
      <c r="L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AA230" s="34"/>
      <c r="AB230" s="34"/>
      <c r="AC230" s="34"/>
      <c r="AD230" s="34"/>
      <c r="AE230" s="34"/>
      <c r="AF230" s="34"/>
      <c r="AG230" s="34"/>
      <c r="AH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I230" s="34"/>
      <c r="BJ230" s="34"/>
      <c r="BK230" s="34"/>
      <c r="BL230" s="34"/>
      <c r="BM230" s="34"/>
      <c r="BN230" s="34"/>
      <c r="BO230" s="34"/>
      <c r="BP230" s="34"/>
      <c r="BY230" s="34"/>
      <c r="BZ230" s="34"/>
      <c r="CA230" s="34"/>
      <c r="CB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</row>
    <row r="231" ht="15.75" customHeight="1">
      <c r="B231" s="34"/>
      <c r="E231" s="34"/>
      <c r="F231" s="34"/>
      <c r="G231" s="34"/>
      <c r="H231" s="34"/>
      <c r="I231" s="34"/>
      <c r="J231" s="34"/>
      <c r="K231" s="34"/>
      <c r="L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AA231" s="34"/>
      <c r="AB231" s="34"/>
      <c r="AC231" s="34"/>
      <c r="AD231" s="34"/>
      <c r="AE231" s="34"/>
      <c r="AF231" s="34"/>
      <c r="AG231" s="34"/>
      <c r="AH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I231" s="34"/>
      <c r="BJ231" s="34"/>
      <c r="BK231" s="34"/>
      <c r="BL231" s="34"/>
      <c r="BM231" s="34"/>
      <c r="BN231" s="34"/>
      <c r="BO231" s="34"/>
      <c r="BP231" s="34"/>
      <c r="BY231" s="34"/>
      <c r="BZ231" s="34"/>
      <c r="CA231" s="34"/>
      <c r="CB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</row>
    <row r="232" ht="15.75" customHeight="1">
      <c r="B232" s="34"/>
      <c r="E232" s="34"/>
      <c r="F232" s="34"/>
      <c r="G232" s="34"/>
      <c r="H232" s="34"/>
      <c r="I232" s="34"/>
      <c r="J232" s="34"/>
      <c r="K232" s="34"/>
      <c r="L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AA232" s="34"/>
      <c r="AB232" s="34"/>
      <c r="AC232" s="34"/>
      <c r="AD232" s="34"/>
      <c r="AE232" s="34"/>
      <c r="AF232" s="34"/>
      <c r="AG232" s="34"/>
      <c r="AH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I232" s="34"/>
      <c r="BJ232" s="34"/>
      <c r="BK232" s="34"/>
      <c r="BL232" s="34"/>
      <c r="BM232" s="34"/>
      <c r="BN232" s="34"/>
      <c r="BO232" s="34"/>
      <c r="BP232" s="34"/>
      <c r="BY232" s="34"/>
      <c r="BZ232" s="34"/>
      <c r="CA232" s="34"/>
      <c r="CB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</row>
    <row r="233" ht="15.75" customHeight="1">
      <c r="B233" s="34"/>
      <c r="E233" s="34"/>
      <c r="F233" s="34"/>
      <c r="G233" s="34"/>
      <c r="H233" s="34"/>
      <c r="I233" s="34"/>
      <c r="J233" s="34"/>
      <c r="K233" s="34"/>
      <c r="L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AA233" s="34"/>
      <c r="AB233" s="34"/>
      <c r="AC233" s="34"/>
      <c r="AD233" s="34"/>
      <c r="AE233" s="34"/>
      <c r="AF233" s="34"/>
      <c r="AG233" s="34"/>
      <c r="AH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I233" s="34"/>
      <c r="BJ233" s="34"/>
      <c r="BK233" s="34"/>
      <c r="BL233" s="34"/>
      <c r="BM233" s="34"/>
      <c r="BN233" s="34"/>
      <c r="BO233" s="34"/>
      <c r="BP233" s="34"/>
      <c r="BY233" s="34"/>
      <c r="BZ233" s="34"/>
      <c r="CA233" s="34"/>
      <c r="CB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</row>
    <row r="234" ht="15.75" customHeight="1">
      <c r="B234" s="34"/>
      <c r="E234" s="34"/>
      <c r="F234" s="34"/>
      <c r="G234" s="34"/>
      <c r="H234" s="34"/>
      <c r="I234" s="34"/>
      <c r="J234" s="34"/>
      <c r="K234" s="34"/>
      <c r="L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AA234" s="34"/>
      <c r="AB234" s="34"/>
      <c r="AC234" s="34"/>
      <c r="AD234" s="34"/>
      <c r="AE234" s="34"/>
      <c r="AF234" s="34"/>
      <c r="AG234" s="34"/>
      <c r="AH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I234" s="34"/>
      <c r="BJ234" s="34"/>
      <c r="BK234" s="34"/>
      <c r="BL234" s="34"/>
      <c r="BM234" s="34"/>
      <c r="BN234" s="34"/>
      <c r="BO234" s="34"/>
      <c r="BP234" s="34"/>
      <c r="BY234" s="34"/>
      <c r="BZ234" s="34"/>
      <c r="CA234" s="34"/>
      <c r="CB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</row>
    <row r="235" ht="15.75" customHeight="1">
      <c r="B235" s="34"/>
      <c r="E235" s="34"/>
      <c r="F235" s="34"/>
      <c r="G235" s="34"/>
      <c r="H235" s="34"/>
      <c r="I235" s="34"/>
      <c r="J235" s="34"/>
      <c r="K235" s="34"/>
      <c r="L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AA235" s="34"/>
      <c r="AB235" s="34"/>
      <c r="AC235" s="34"/>
      <c r="AD235" s="34"/>
      <c r="AE235" s="34"/>
      <c r="AF235" s="34"/>
      <c r="AG235" s="34"/>
      <c r="AH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I235" s="34"/>
      <c r="BJ235" s="34"/>
      <c r="BK235" s="34"/>
      <c r="BL235" s="34"/>
      <c r="BM235" s="34"/>
      <c r="BN235" s="34"/>
      <c r="BO235" s="34"/>
      <c r="BP235" s="34"/>
      <c r="BY235" s="34"/>
      <c r="BZ235" s="34"/>
      <c r="CA235" s="34"/>
      <c r="CB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</row>
    <row r="236" ht="15.75" customHeight="1">
      <c r="B236" s="34"/>
      <c r="E236" s="34"/>
      <c r="F236" s="34"/>
      <c r="G236" s="34"/>
      <c r="H236" s="34"/>
      <c r="I236" s="34"/>
      <c r="J236" s="34"/>
      <c r="K236" s="34"/>
      <c r="L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AA236" s="34"/>
      <c r="AB236" s="34"/>
      <c r="AC236" s="34"/>
      <c r="AD236" s="34"/>
      <c r="AE236" s="34"/>
      <c r="AF236" s="34"/>
      <c r="AG236" s="34"/>
      <c r="AH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I236" s="34"/>
      <c r="BJ236" s="34"/>
      <c r="BK236" s="34"/>
      <c r="BL236" s="34"/>
      <c r="BM236" s="34"/>
      <c r="BN236" s="34"/>
      <c r="BO236" s="34"/>
      <c r="BP236" s="34"/>
      <c r="BY236" s="34"/>
      <c r="BZ236" s="34"/>
      <c r="CA236" s="34"/>
      <c r="CB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</row>
    <row r="237" ht="15.75" customHeight="1">
      <c r="B237" s="34"/>
      <c r="E237" s="34"/>
      <c r="F237" s="34"/>
      <c r="G237" s="34"/>
      <c r="H237" s="34"/>
      <c r="I237" s="34"/>
      <c r="J237" s="34"/>
      <c r="K237" s="34"/>
      <c r="L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AA237" s="34"/>
      <c r="AB237" s="34"/>
      <c r="AC237" s="34"/>
      <c r="AD237" s="34"/>
      <c r="AE237" s="34"/>
      <c r="AF237" s="34"/>
      <c r="AG237" s="34"/>
      <c r="AH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I237" s="34"/>
      <c r="BJ237" s="34"/>
      <c r="BK237" s="34"/>
      <c r="BL237" s="34"/>
      <c r="BM237" s="34"/>
      <c r="BN237" s="34"/>
      <c r="BO237" s="34"/>
      <c r="BP237" s="34"/>
      <c r="BY237" s="34"/>
      <c r="BZ237" s="34"/>
      <c r="CA237" s="34"/>
      <c r="CB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</row>
    <row r="238" ht="15.75" customHeight="1">
      <c r="B238" s="34"/>
      <c r="E238" s="34"/>
      <c r="F238" s="34"/>
      <c r="G238" s="34"/>
      <c r="H238" s="34"/>
      <c r="I238" s="34"/>
      <c r="J238" s="34"/>
      <c r="K238" s="34"/>
      <c r="L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AA238" s="34"/>
      <c r="AB238" s="34"/>
      <c r="AC238" s="34"/>
      <c r="AD238" s="34"/>
      <c r="AE238" s="34"/>
      <c r="AF238" s="34"/>
      <c r="AG238" s="34"/>
      <c r="AH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I238" s="34"/>
      <c r="BJ238" s="34"/>
      <c r="BK238" s="34"/>
      <c r="BL238" s="34"/>
      <c r="BM238" s="34"/>
      <c r="BN238" s="34"/>
      <c r="BO238" s="34"/>
      <c r="BP238" s="34"/>
      <c r="BY238" s="34"/>
      <c r="BZ238" s="34"/>
      <c r="CA238" s="34"/>
      <c r="CB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</row>
    <row r="239" ht="15.75" customHeight="1">
      <c r="B239" s="34"/>
      <c r="E239" s="34"/>
      <c r="F239" s="34"/>
      <c r="G239" s="34"/>
      <c r="H239" s="34"/>
      <c r="I239" s="34"/>
      <c r="J239" s="34"/>
      <c r="K239" s="34"/>
      <c r="L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AA239" s="34"/>
      <c r="AB239" s="34"/>
      <c r="AC239" s="34"/>
      <c r="AD239" s="34"/>
      <c r="AE239" s="34"/>
      <c r="AF239" s="34"/>
      <c r="AG239" s="34"/>
      <c r="AH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I239" s="34"/>
      <c r="BJ239" s="34"/>
      <c r="BK239" s="34"/>
      <c r="BL239" s="34"/>
      <c r="BM239" s="34"/>
      <c r="BN239" s="34"/>
      <c r="BO239" s="34"/>
      <c r="BP239" s="34"/>
      <c r="BY239" s="34"/>
      <c r="BZ239" s="34"/>
      <c r="CA239" s="34"/>
      <c r="CB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</row>
    <row r="240" ht="15.75" customHeight="1">
      <c r="B240" s="34"/>
      <c r="E240" s="34"/>
      <c r="F240" s="34"/>
      <c r="G240" s="34"/>
      <c r="H240" s="34"/>
      <c r="I240" s="34"/>
      <c r="J240" s="34"/>
      <c r="K240" s="34"/>
      <c r="L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AA240" s="34"/>
      <c r="AB240" s="34"/>
      <c r="AC240" s="34"/>
      <c r="AD240" s="34"/>
      <c r="AE240" s="34"/>
      <c r="AF240" s="34"/>
      <c r="AG240" s="34"/>
      <c r="AH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I240" s="34"/>
      <c r="BJ240" s="34"/>
      <c r="BK240" s="34"/>
      <c r="BL240" s="34"/>
      <c r="BM240" s="34"/>
      <c r="BN240" s="34"/>
      <c r="BO240" s="34"/>
      <c r="BP240" s="34"/>
      <c r="BY240" s="34"/>
      <c r="BZ240" s="34"/>
      <c r="CA240" s="34"/>
      <c r="CB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</row>
    <row r="241" ht="15.75" customHeight="1">
      <c r="B241" s="34"/>
      <c r="E241" s="34"/>
      <c r="F241" s="34"/>
      <c r="G241" s="34"/>
      <c r="H241" s="34"/>
      <c r="I241" s="34"/>
      <c r="J241" s="34"/>
      <c r="K241" s="34"/>
      <c r="L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AA241" s="34"/>
      <c r="AB241" s="34"/>
      <c r="AC241" s="34"/>
      <c r="AD241" s="34"/>
      <c r="AE241" s="34"/>
      <c r="AF241" s="34"/>
      <c r="AG241" s="34"/>
      <c r="AH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I241" s="34"/>
      <c r="BJ241" s="34"/>
      <c r="BK241" s="34"/>
      <c r="BL241" s="34"/>
      <c r="BM241" s="34"/>
      <c r="BN241" s="34"/>
      <c r="BO241" s="34"/>
      <c r="BP241" s="34"/>
      <c r="BY241" s="34"/>
      <c r="BZ241" s="34"/>
      <c r="CA241" s="34"/>
      <c r="CB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</row>
    <row r="242" ht="15.75" customHeight="1">
      <c r="B242" s="34"/>
      <c r="E242" s="34"/>
      <c r="F242" s="34"/>
      <c r="G242" s="34"/>
      <c r="H242" s="34"/>
      <c r="I242" s="34"/>
      <c r="J242" s="34"/>
      <c r="K242" s="34"/>
      <c r="L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AA242" s="34"/>
      <c r="AB242" s="34"/>
      <c r="AC242" s="34"/>
      <c r="AD242" s="34"/>
      <c r="AE242" s="34"/>
      <c r="AF242" s="34"/>
      <c r="AG242" s="34"/>
      <c r="AH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I242" s="34"/>
      <c r="BJ242" s="34"/>
      <c r="BK242" s="34"/>
      <c r="BL242" s="34"/>
      <c r="BM242" s="34"/>
      <c r="BN242" s="34"/>
      <c r="BO242" s="34"/>
      <c r="BP242" s="34"/>
      <c r="BY242" s="34"/>
      <c r="BZ242" s="34"/>
      <c r="CA242" s="34"/>
      <c r="CB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</row>
    <row r="243" ht="15.75" customHeight="1">
      <c r="B243" s="34"/>
      <c r="E243" s="34"/>
      <c r="F243" s="34"/>
      <c r="G243" s="34"/>
      <c r="H243" s="34"/>
      <c r="I243" s="34"/>
      <c r="J243" s="34"/>
      <c r="K243" s="34"/>
      <c r="L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AA243" s="34"/>
      <c r="AB243" s="34"/>
      <c r="AC243" s="34"/>
      <c r="AD243" s="34"/>
      <c r="AE243" s="34"/>
      <c r="AF243" s="34"/>
      <c r="AG243" s="34"/>
      <c r="AH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I243" s="34"/>
      <c r="BJ243" s="34"/>
      <c r="BK243" s="34"/>
      <c r="BL243" s="34"/>
      <c r="BM243" s="34"/>
      <c r="BN243" s="34"/>
      <c r="BO243" s="34"/>
      <c r="BP243" s="34"/>
      <c r="BY243" s="34"/>
      <c r="BZ243" s="34"/>
      <c r="CA243" s="34"/>
      <c r="CB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</row>
    <row r="244" ht="15.75" customHeight="1">
      <c r="B244" s="34"/>
      <c r="E244" s="34"/>
      <c r="F244" s="34"/>
      <c r="G244" s="34"/>
      <c r="H244" s="34"/>
      <c r="I244" s="34"/>
      <c r="J244" s="34"/>
      <c r="K244" s="34"/>
      <c r="L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AA244" s="34"/>
      <c r="AB244" s="34"/>
      <c r="AC244" s="34"/>
      <c r="AD244" s="34"/>
      <c r="AE244" s="34"/>
      <c r="AF244" s="34"/>
      <c r="AG244" s="34"/>
      <c r="AH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I244" s="34"/>
      <c r="BJ244" s="34"/>
      <c r="BK244" s="34"/>
      <c r="BL244" s="34"/>
      <c r="BM244" s="34"/>
      <c r="BN244" s="34"/>
      <c r="BO244" s="34"/>
      <c r="BP244" s="34"/>
      <c r="BY244" s="34"/>
      <c r="BZ244" s="34"/>
      <c r="CA244" s="34"/>
      <c r="CB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</row>
    <row r="245" ht="15.75" customHeight="1">
      <c r="B245" s="34"/>
      <c r="E245" s="34"/>
      <c r="F245" s="34"/>
      <c r="G245" s="34"/>
      <c r="H245" s="34"/>
      <c r="I245" s="34"/>
      <c r="J245" s="34"/>
      <c r="K245" s="34"/>
      <c r="L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AA245" s="34"/>
      <c r="AB245" s="34"/>
      <c r="AC245" s="34"/>
      <c r="AD245" s="34"/>
      <c r="AE245" s="34"/>
      <c r="AF245" s="34"/>
      <c r="AG245" s="34"/>
      <c r="AH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I245" s="34"/>
      <c r="BJ245" s="34"/>
      <c r="BK245" s="34"/>
      <c r="BL245" s="34"/>
      <c r="BM245" s="34"/>
      <c r="BN245" s="34"/>
      <c r="BO245" s="34"/>
      <c r="BP245" s="34"/>
      <c r="BY245" s="34"/>
      <c r="BZ245" s="34"/>
      <c r="CA245" s="34"/>
      <c r="CB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</row>
    <row r="246" ht="15.75" customHeight="1">
      <c r="B246" s="34"/>
      <c r="E246" s="34"/>
      <c r="F246" s="34"/>
      <c r="G246" s="34"/>
      <c r="H246" s="34"/>
      <c r="I246" s="34"/>
      <c r="J246" s="34"/>
      <c r="K246" s="34"/>
      <c r="L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AA246" s="34"/>
      <c r="AB246" s="34"/>
      <c r="AC246" s="34"/>
      <c r="AD246" s="34"/>
      <c r="AE246" s="34"/>
      <c r="AF246" s="34"/>
      <c r="AG246" s="34"/>
      <c r="AH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I246" s="34"/>
      <c r="BJ246" s="34"/>
      <c r="BK246" s="34"/>
      <c r="BL246" s="34"/>
      <c r="BM246" s="34"/>
      <c r="BN246" s="34"/>
      <c r="BO246" s="34"/>
      <c r="BP246" s="34"/>
      <c r="BY246" s="34"/>
      <c r="BZ246" s="34"/>
      <c r="CA246" s="34"/>
      <c r="CB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</row>
    <row r="247" ht="15.75" customHeight="1">
      <c r="B247" s="34"/>
      <c r="E247" s="34"/>
      <c r="F247" s="34"/>
      <c r="G247" s="34"/>
      <c r="H247" s="34"/>
      <c r="I247" s="34"/>
      <c r="J247" s="34"/>
      <c r="K247" s="34"/>
      <c r="L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AA247" s="34"/>
      <c r="AB247" s="34"/>
      <c r="AC247" s="34"/>
      <c r="AD247" s="34"/>
      <c r="AE247" s="34"/>
      <c r="AF247" s="34"/>
      <c r="AG247" s="34"/>
      <c r="AH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I247" s="34"/>
      <c r="BJ247" s="34"/>
      <c r="BK247" s="34"/>
      <c r="BL247" s="34"/>
      <c r="BM247" s="34"/>
      <c r="BN247" s="34"/>
      <c r="BO247" s="34"/>
      <c r="BP247" s="34"/>
      <c r="BY247" s="34"/>
      <c r="BZ247" s="34"/>
      <c r="CA247" s="34"/>
      <c r="CB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</row>
    <row r="248" ht="15.75" customHeight="1">
      <c r="B248" s="34"/>
      <c r="E248" s="34"/>
      <c r="F248" s="34"/>
      <c r="G248" s="34"/>
      <c r="H248" s="34"/>
      <c r="I248" s="34"/>
      <c r="J248" s="34"/>
      <c r="K248" s="34"/>
      <c r="L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AA248" s="34"/>
      <c r="AB248" s="34"/>
      <c r="AC248" s="34"/>
      <c r="AD248" s="34"/>
      <c r="AE248" s="34"/>
      <c r="AF248" s="34"/>
      <c r="AG248" s="34"/>
      <c r="AH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I248" s="34"/>
      <c r="BJ248" s="34"/>
      <c r="BK248" s="34"/>
      <c r="BL248" s="34"/>
      <c r="BM248" s="34"/>
      <c r="BN248" s="34"/>
      <c r="BO248" s="34"/>
      <c r="BP248" s="34"/>
      <c r="BY248" s="34"/>
      <c r="BZ248" s="34"/>
      <c r="CA248" s="34"/>
      <c r="CB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</row>
    <row r="249" ht="15.75" customHeight="1">
      <c r="B249" s="34"/>
      <c r="E249" s="34"/>
      <c r="F249" s="34"/>
      <c r="G249" s="34"/>
      <c r="H249" s="34"/>
      <c r="I249" s="34"/>
      <c r="J249" s="34"/>
      <c r="K249" s="34"/>
      <c r="L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AA249" s="34"/>
      <c r="AB249" s="34"/>
      <c r="AC249" s="34"/>
      <c r="AD249" s="34"/>
      <c r="AE249" s="34"/>
      <c r="AF249" s="34"/>
      <c r="AG249" s="34"/>
      <c r="AH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I249" s="34"/>
      <c r="BJ249" s="34"/>
      <c r="BK249" s="34"/>
      <c r="BL249" s="34"/>
      <c r="BM249" s="34"/>
      <c r="BN249" s="34"/>
      <c r="BO249" s="34"/>
      <c r="BP249" s="34"/>
      <c r="BY249" s="34"/>
      <c r="BZ249" s="34"/>
      <c r="CA249" s="34"/>
      <c r="CB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</row>
    <row r="250" ht="15.75" customHeight="1">
      <c r="B250" s="34"/>
      <c r="E250" s="34"/>
      <c r="F250" s="34"/>
      <c r="G250" s="34"/>
      <c r="H250" s="34"/>
      <c r="I250" s="34"/>
      <c r="J250" s="34"/>
      <c r="K250" s="34"/>
      <c r="L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AA250" s="34"/>
      <c r="AB250" s="34"/>
      <c r="AC250" s="34"/>
      <c r="AD250" s="34"/>
      <c r="AE250" s="34"/>
      <c r="AF250" s="34"/>
      <c r="AG250" s="34"/>
      <c r="AH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I250" s="34"/>
      <c r="BJ250" s="34"/>
      <c r="BK250" s="34"/>
      <c r="BL250" s="34"/>
      <c r="BM250" s="34"/>
      <c r="BN250" s="34"/>
      <c r="BO250" s="34"/>
      <c r="BP250" s="34"/>
      <c r="BY250" s="34"/>
      <c r="BZ250" s="34"/>
      <c r="CA250" s="34"/>
      <c r="CB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</row>
    <row r="251" ht="15.75" customHeight="1">
      <c r="B251" s="34"/>
      <c r="E251" s="34"/>
      <c r="F251" s="34"/>
      <c r="G251" s="34"/>
      <c r="H251" s="34"/>
      <c r="I251" s="34"/>
      <c r="J251" s="34"/>
      <c r="K251" s="34"/>
      <c r="L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AA251" s="34"/>
      <c r="AB251" s="34"/>
      <c r="AC251" s="34"/>
      <c r="AD251" s="34"/>
      <c r="AE251" s="34"/>
      <c r="AF251" s="34"/>
      <c r="AG251" s="34"/>
      <c r="AH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I251" s="34"/>
      <c r="BJ251" s="34"/>
      <c r="BK251" s="34"/>
      <c r="BL251" s="34"/>
      <c r="BM251" s="34"/>
      <c r="BN251" s="34"/>
      <c r="BO251" s="34"/>
      <c r="BP251" s="34"/>
      <c r="BY251" s="34"/>
      <c r="BZ251" s="34"/>
      <c r="CA251" s="34"/>
      <c r="CB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</row>
    <row r="252" ht="15.75" customHeight="1">
      <c r="B252" s="34"/>
      <c r="E252" s="34"/>
      <c r="F252" s="34"/>
      <c r="G252" s="34"/>
      <c r="H252" s="34"/>
      <c r="I252" s="34"/>
      <c r="J252" s="34"/>
      <c r="K252" s="34"/>
      <c r="L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AA252" s="34"/>
      <c r="AB252" s="34"/>
      <c r="AC252" s="34"/>
      <c r="AD252" s="34"/>
      <c r="AE252" s="34"/>
      <c r="AF252" s="34"/>
      <c r="AG252" s="34"/>
      <c r="AH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I252" s="34"/>
      <c r="BJ252" s="34"/>
      <c r="BK252" s="34"/>
      <c r="BL252" s="34"/>
      <c r="BM252" s="34"/>
      <c r="BN252" s="34"/>
      <c r="BO252" s="34"/>
      <c r="BP252" s="34"/>
      <c r="BY252" s="34"/>
      <c r="BZ252" s="34"/>
      <c r="CA252" s="34"/>
      <c r="CB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</row>
    <row r="253" ht="15.75" customHeight="1">
      <c r="B253" s="34"/>
      <c r="E253" s="34"/>
      <c r="F253" s="34"/>
      <c r="G253" s="34"/>
      <c r="H253" s="34"/>
      <c r="I253" s="34"/>
      <c r="J253" s="34"/>
      <c r="K253" s="34"/>
      <c r="L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AA253" s="34"/>
      <c r="AB253" s="34"/>
      <c r="AC253" s="34"/>
      <c r="AD253" s="34"/>
      <c r="AE253" s="34"/>
      <c r="AF253" s="34"/>
      <c r="AG253" s="34"/>
      <c r="AH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I253" s="34"/>
      <c r="BJ253" s="34"/>
      <c r="BK253" s="34"/>
      <c r="BL253" s="34"/>
      <c r="BM253" s="34"/>
      <c r="BN253" s="34"/>
      <c r="BO253" s="34"/>
      <c r="BP253" s="34"/>
      <c r="BY253" s="34"/>
      <c r="BZ253" s="34"/>
      <c r="CA253" s="34"/>
      <c r="CB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</row>
    <row r="254" ht="15.75" customHeight="1">
      <c r="B254" s="34"/>
      <c r="E254" s="34"/>
      <c r="F254" s="34"/>
      <c r="G254" s="34"/>
      <c r="H254" s="34"/>
      <c r="I254" s="34"/>
      <c r="J254" s="34"/>
      <c r="K254" s="34"/>
      <c r="L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AA254" s="34"/>
      <c r="AB254" s="34"/>
      <c r="AC254" s="34"/>
      <c r="AD254" s="34"/>
      <c r="AE254" s="34"/>
      <c r="AF254" s="34"/>
      <c r="AG254" s="34"/>
      <c r="AH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I254" s="34"/>
      <c r="BJ254" s="34"/>
      <c r="BK254" s="34"/>
      <c r="BL254" s="34"/>
      <c r="BM254" s="34"/>
      <c r="BN254" s="34"/>
      <c r="BO254" s="34"/>
      <c r="BP254" s="34"/>
      <c r="BY254" s="34"/>
      <c r="BZ254" s="34"/>
      <c r="CA254" s="34"/>
      <c r="CB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</row>
    <row r="255" ht="15.75" customHeight="1">
      <c r="B255" s="34"/>
      <c r="E255" s="34"/>
      <c r="F255" s="34"/>
      <c r="G255" s="34"/>
      <c r="H255" s="34"/>
      <c r="I255" s="34"/>
      <c r="J255" s="34"/>
      <c r="K255" s="34"/>
      <c r="L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AA255" s="34"/>
      <c r="AB255" s="34"/>
      <c r="AC255" s="34"/>
      <c r="AD255" s="34"/>
      <c r="AE255" s="34"/>
      <c r="AF255" s="34"/>
      <c r="AG255" s="34"/>
      <c r="AH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I255" s="34"/>
      <c r="BJ255" s="34"/>
      <c r="BK255" s="34"/>
      <c r="BL255" s="34"/>
      <c r="BM255" s="34"/>
      <c r="BN255" s="34"/>
      <c r="BO255" s="34"/>
      <c r="BP255" s="34"/>
      <c r="BY255" s="34"/>
      <c r="BZ255" s="34"/>
      <c r="CA255" s="34"/>
      <c r="CB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</row>
    <row r="256" ht="15.75" customHeight="1">
      <c r="B256" s="34"/>
      <c r="E256" s="34"/>
      <c r="F256" s="34"/>
      <c r="G256" s="34"/>
      <c r="H256" s="34"/>
      <c r="I256" s="34"/>
      <c r="J256" s="34"/>
      <c r="K256" s="34"/>
      <c r="L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AA256" s="34"/>
      <c r="AB256" s="34"/>
      <c r="AC256" s="34"/>
      <c r="AD256" s="34"/>
      <c r="AE256" s="34"/>
      <c r="AF256" s="34"/>
      <c r="AG256" s="34"/>
      <c r="AH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I256" s="34"/>
      <c r="BJ256" s="34"/>
      <c r="BK256" s="34"/>
      <c r="BL256" s="34"/>
      <c r="BM256" s="34"/>
      <c r="BN256" s="34"/>
      <c r="BO256" s="34"/>
      <c r="BP256" s="34"/>
      <c r="BY256" s="34"/>
      <c r="BZ256" s="34"/>
      <c r="CA256" s="34"/>
      <c r="CB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</row>
    <row r="257" ht="15.75" customHeight="1">
      <c r="B257" s="34"/>
      <c r="E257" s="34"/>
      <c r="F257" s="34"/>
      <c r="G257" s="34"/>
      <c r="H257" s="34"/>
      <c r="I257" s="34"/>
      <c r="J257" s="34"/>
      <c r="K257" s="34"/>
      <c r="L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AA257" s="34"/>
      <c r="AB257" s="34"/>
      <c r="AC257" s="34"/>
      <c r="AD257" s="34"/>
      <c r="AE257" s="34"/>
      <c r="AF257" s="34"/>
      <c r="AG257" s="34"/>
      <c r="AH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I257" s="34"/>
      <c r="BJ257" s="34"/>
      <c r="BK257" s="34"/>
      <c r="BL257" s="34"/>
      <c r="BM257" s="34"/>
      <c r="BN257" s="34"/>
      <c r="BO257" s="34"/>
      <c r="BP257" s="34"/>
      <c r="BY257" s="34"/>
      <c r="BZ257" s="34"/>
      <c r="CA257" s="34"/>
      <c r="CB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</row>
    <row r="258" ht="15.75" customHeight="1">
      <c r="B258" s="34"/>
      <c r="E258" s="34"/>
      <c r="F258" s="34"/>
      <c r="G258" s="34"/>
      <c r="H258" s="34"/>
      <c r="I258" s="34"/>
      <c r="J258" s="34"/>
      <c r="K258" s="34"/>
      <c r="L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AA258" s="34"/>
      <c r="AB258" s="34"/>
      <c r="AC258" s="34"/>
      <c r="AD258" s="34"/>
      <c r="AE258" s="34"/>
      <c r="AF258" s="34"/>
      <c r="AG258" s="34"/>
      <c r="AH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I258" s="34"/>
      <c r="BJ258" s="34"/>
      <c r="BK258" s="34"/>
      <c r="BL258" s="34"/>
      <c r="BM258" s="34"/>
      <c r="BN258" s="34"/>
      <c r="BO258" s="34"/>
      <c r="BP258" s="34"/>
      <c r="BY258" s="34"/>
      <c r="BZ258" s="34"/>
      <c r="CA258" s="34"/>
      <c r="CB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</row>
    <row r="259" ht="15.75" customHeight="1">
      <c r="B259" s="34"/>
      <c r="E259" s="34"/>
      <c r="F259" s="34"/>
      <c r="G259" s="34"/>
      <c r="H259" s="34"/>
      <c r="I259" s="34"/>
      <c r="J259" s="34"/>
      <c r="K259" s="34"/>
      <c r="L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AA259" s="34"/>
      <c r="AB259" s="34"/>
      <c r="AC259" s="34"/>
      <c r="AD259" s="34"/>
      <c r="AE259" s="34"/>
      <c r="AF259" s="34"/>
      <c r="AG259" s="34"/>
      <c r="AH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I259" s="34"/>
      <c r="BJ259" s="34"/>
      <c r="BK259" s="34"/>
      <c r="BL259" s="34"/>
      <c r="BM259" s="34"/>
      <c r="BN259" s="34"/>
      <c r="BO259" s="34"/>
      <c r="BP259" s="34"/>
      <c r="BY259" s="34"/>
      <c r="BZ259" s="34"/>
      <c r="CA259" s="34"/>
      <c r="CB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</row>
    <row r="260" ht="15.75" customHeight="1">
      <c r="B260" s="34"/>
      <c r="E260" s="34"/>
      <c r="F260" s="34"/>
      <c r="G260" s="34"/>
      <c r="H260" s="34"/>
      <c r="I260" s="34"/>
      <c r="J260" s="34"/>
      <c r="K260" s="34"/>
      <c r="L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AA260" s="34"/>
      <c r="AB260" s="34"/>
      <c r="AC260" s="34"/>
      <c r="AD260" s="34"/>
      <c r="AE260" s="34"/>
      <c r="AF260" s="34"/>
      <c r="AG260" s="34"/>
      <c r="AH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I260" s="34"/>
      <c r="BJ260" s="34"/>
      <c r="BK260" s="34"/>
      <c r="BL260" s="34"/>
      <c r="BM260" s="34"/>
      <c r="BN260" s="34"/>
      <c r="BO260" s="34"/>
      <c r="BP260" s="34"/>
      <c r="BY260" s="34"/>
      <c r="BZ260" s="34"/>
      <c r="CA260" s="34"/>
      <c r="CB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</row>
    <row r="261" ht="15.75" customHeight="1">
      <c r="B261" s="34"/>
      <c r="E261" s="34"/>
      <c r="F261" s="34"/>
      <c r="G261" s="34"/>
      <c r="H261" s="34"/>
      <c r="I261" s="34"/>
      <c r="J261" s="34"/>
      <c r="K261" s="34"/>
      <c r="L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AA261" s="34"/>
      <c r="AB261" s="34"/>
      <c r="AC261" s="34"/>
      <c r="AD261" s="34"/>
      <c r="AE261" s="34"/>
      <c r="AF261" s="34"/>
      <c r="AG261" s="34"/>
      <c r="AH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I261" s="34"/>
      <c r="BJ261" s="34"/>
      <c r="BK261" s="34"/>
      <c r="BL261" s="34"/>
      <c r="BM261" s="34"/>
      <c r="BN261" s="34"/>
      <c r="BO261" s="34"/>
      <c r="BP261" s="34"/>
      <c r="BY261" s="34"/>
      <c r="BZ261" s="34"/>
      <c r="CA261" s="34"/>
      <c r="CB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</row>
    <row r="262" ht="15.75" customHeight="1">
      <c r="B262" s="34"/>
      <c r="E262" s="34"/>
      <c r="F262" s="34"/>
      <c r="G262" s="34"/>
      <c r="H262" s="34"/>
      <c r="I262" s="34"/>
      <c r="J262" s="34"/>
      <c r="K262" s="34"/>
      <c r="L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AA262" s="34"/>
      <c r="AB262" s="34"/>
      <c r="AC262" s="34"/>
      <c r="AD262" s="34"/>
      <c r="AE262" s="34"/>
      <c r="AF262" s="34"/>
      <c r="AG262" s="34"/>
      <c r="AH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I262" s="34"/>
      <c r="BJ262" s="34"/>
      <c r="BK262" s="34"/>
      <c r="BL262" s="34"/>
      <c r="BM262" s="34"/>
      <c r="BN262" s="34"/>
      <c r="BO262" s="34"/>
      <c r="BP262" s="34"/>
      <c r="BY262" s="34"/>
      <c r="BZ262" s="34"/>
      <c r="CA262" s="34"/>
      <c r="CB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</row>
    <row r="263" ht="15.75" customHeight="1">
      <c r="B263" s="34"/>
      <c r="E263" s="34"/>
      <c r="F263" s="34"/>
      <c r="G263" s="34"/>
      <c r="H263" s="34"/>
      <c r="I263" s="34"/>
      <c r="J263" s="34"/>
      <c r="K263" s="34"/>
      <c r="L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AA263" s="34"/>
      <c r="AB263" s="34"/>
      <c r="AC263" s="34"/>
      <c r="AD263" s="34"/>
      <c r="AE263" s="34"/>
      <c r="AF263" s="34"/>
      <c r="AG263" s="34"/>
      <c r="AH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I263" s="34"/>
      <c r="BJ263" s="34"/>
      <c r="BK263" s="34"/>
      <c r="BL263" s="34"/>
      <c r="BM263" s="34"/>
      <c r="BN263" s="34"/>
      <c r="BO263" s="34"/>
      <c r="BP263" s="34"/>
      <c r="BY263" s="34"/>
      <c r="BZ263" s="34"/>
      <c r="CA263" s="34"/>
      <c r="CB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</row>
    <row r="264" ht="15.75" customHeight="1">
      <c r="B264" s="34"/>
      <c r="E264" s="34"/>
      <c r="F264" s="34"/>
      <c r="G264" s="34"/>
      <c r="H264" s="34"/>
      <c r="I264" s="34"/>
      <c r="J264" s="34"/>
      <c r="K264" s="34"/>
      <c r="L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AA264" s="34"/>
      <c r="AB264" s="34"/>
      <c r="AC264" s="34"/>
      <c r="AD264" s="34"/>
      <c r="AE264" s="34"/>
      <c r="AF264" s="34"/>
      <c r="AG264" s="34"/>
      <c r="AH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I264" s="34"/>
      <c r="BJ264" s="34"/>
      <c r="BK264" s="34"/>
      <c r="BL264" s="34"/>
      <c r="BM264" s="34"/>
      <c r="BN264" s="34"/>
      <c r="BO264" s="34"/>
      <c r="BP264" s="34"/>
      <c r="BY264" s="34"/>
      <c r="BZ264" s="34"/>
      <c r="CA264" s="34"/>
      <c r="CB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</row>
    <row r="265" ht="15.75" customHeight="1">
      <c r="B265" s="34"/>
      <c r="E265" s="34"/>
      <c r="F265" s="34"/>
      <c r="G265" s="34"/>
      <c r="H265" s="34"/>
      <c r="I265" s="34"/>
      <c r="J265" s="34"/>
      <c r="K265" s="34"/>
      <c r="L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AA265" s="34"/>
      <c r="AB265" s="34"/>
      <c r="AC265" s="34"/>
      <c r="AD265" s="34"/>
      <c r="AE265" s="34"/>
      <c r="AF265" s="34"/>
      <c r="AG265" s="34"/>
      <c r="AH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I265" s="34"/>
      <c r="BJ265" s="34"/>
      <c r="BK265" s="34"/>
      <c r="BL265" s="34"/>
      <c r="BM265" s="34"/>
      <c r="BN265" s="34"/>
      <c r="BO265" s="34"/>
      <c r="BP265" s="34"/>
      <c r="BY265" s="34"/>
      <c r="BZ265" s="34"/>
      <c r="CA265" s="34"/>
      <c r="CB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</row>
    <row r="266" ht="15.75" customHeight="1">
      <c r="B266" s="34"/>
      <c r="E266" s="34"/>
      <c r="F266" s="34"/>
      <c r="G266" s="34"/>
      <c r="H266" s="34"/>
      <c r="I266" s="34"/>
      <c r="J266" s="34"/>
      <c r="K266" s="34"/>
      <c r="L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AA266" s="34"/>
      <c r="AB266" s="34"/>
      <c r="AC266" s="34"/>
      <c r="AD266" s="34"/>
      <c r="AE266" s="34"/>
      <c r="AF266" s="34"/>
      <c r="AG266" s="34"/>
      <c r="AH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I266" s="34"/>
      <c r="BJ266" s="34"/>
      <c r="BK266" s="34"/>
      <c r="BL266" s="34"/>
      <c r="BM266" s="34"/>
      <c r="BN266" s="34"/>
      <c r="BO266" s="34"/>
      <c r="BP266" s="34"/>
      <c r="BY266" s="34"/>
      <c r="BZ266" s="34"/>
      <c r="CA266" s="34"/>
      <c r="CB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</row>
    <row r="267" ht="15.75" customHeight="1">
      <c r="B267" s="34"/>
      <c r="E267" s="34"/>
      <c r="F267" s="34"/>
      <c r="G267" s="34"/>
      <c r="H267" s="34"/>
      <c r="I267" s="34"/>
      <c r="J267" s="34"/>
      <c r="K267" s="34"/>
      <c r="L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AA267" s="34"/>
      <c r="AB267" s="34"/>
      <c r="AC267" s="34"/>
      <c r="AD267" s="34"/>
      <c r="AE267" s="34"/>
      <c r="AF267" s="34"/>
      <c r="AG267" s="34"/>
      <c r="AH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I267" s="34"/>
      <c r="BJ267" s="34"/>
      <c r="BK267" s="34"/>
      <c r="BL267" s="34"/>
      <c r="BM267" s="34"/>
      <c r="BN267" s="34"/>
      <c r="BO267" s="34"/>
      <c r="BP267" s="34"/>
      <c r="BY267" s="34"/>
      <c r="BZ267" s="34"/>
      <c r="CA267" s="34"/>
      <c r="CB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</row>
    <row r="268" ht="15.75" customHeight="1">
      <c r="B268" s="34"/>
      <c r="E268" s="34"/>
      <c r="F268" s="34"/>
      <c r="G268" s="34"/>
      <c r="H268" s="34"/>
      <c r="I268" s="34"/>
      <c r="J268" s="34"/>
      <c r="K268" s="34"/>
      <c r="L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AA268" s="34"/>
      <c r="AB268" s="34"/>
      <c r="AC268" s="34"/>
      <c r="AD268" s="34"/>
      <c r="AE268" s="34"/>
      <c r="AF268" s="34"/>
      <c r="AG268" s="34"/>
      <c r="AH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I268" s="34"/>
      <c r="BJ268" s="34"/>
      <c r="BK268" s="34"/>
      <c r="BL268" s="34"/>
      <c r="BM268" s="34"/>
      <c r="BN268" s="34"/>
      <c r="BO268" s="34"/>
      <c r="BP268" s="34"/>
      <c r="BY268" s="34"/>
      <c r="BZ268" s="34"/>
      <c r="CA268" s="34"/>
      <c r="CB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</row>
    <row r="269" ht="15.75" customHeight="1">
      <c r="B269" s="34"/>
      <c r="E269" s="34"/>
      <c r="F269" s="34"/>
      <c r="G269" s="34"/>
      <c r="H269" s="34"/>
      <c r="I269" s="34"/>
      <c r="J269" s="34"/>
      <c r="K269" s="34"/>
      <c r="L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AA269" s="34"/>
      <c r="AB269" s="34"/>
      <c r="AC269" s="34"/>
      <c r="AD269" s="34"/>
      <c r="AE269" s="34"/>
      <c r="AF269" s="34"/>
      <c r="AG269" s="34"/>
      <c r="AH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I269" s="34"/>
      <c r="BJ269" s="34"/>
      <c r="BK269" s="34"/>
      <c r="BL269" s="34"/>
      <c r="BM269" s="34"/>
      <c r="BN269" s="34"/>
      <c r="BO269" s="34"/>
      <c r="BP269" s="34"/>
      <c r="BY269" s="34"/>
      <c r="BZ269" s="34"/>
      <c r="CA269" s="34"/>
      <c r="CB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</row>
    <row r="270" ht="15.75" customHeight="1">
      <c r="B270" s="34"/>
      <c r="E270" s="34"/>
      <c r="F270" s="34"/>
      <c r="G270" s="34"/>
      <c r="H270" s="34"/>
      <c r="I270" s="34"/>
      <c r="J270" s="34"/>
      <c r="K270" s="34"/>
      <c r="L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AA270" s="34"/>
      <c r="AB270" s="34"/>
      <c r="AC270" s="34"/>
      <c r="AD270" s="34"/>
      <c r="AE270" s="34"/>
      <c r="AF270" s="34"/>
      <c r="AG270" s="34"/>
      <c r="AH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I270" s="34"/>
      <c r="BJ270" s="34"/>
      <c r="BK270" s="34"/>
      <c r="BL270" s="34"/>
      <c r="BM270" s="34"/>
      <c r="BN270" s="34"/>
      <c r="BO270" s="34"/>
      <c r="BP270" s="34"/>
      <c r="BY270" s="34"/>
      <c r="BZ270" s="34"/>
      <c r="CA270" s="34"/>
      <c r="CB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</row>
    <row r="271" ht="15.75" customHeight="1">
      <c r="B271" s="34"/>
      <c r="E271" s="34"/>
      <c r="F271" s="34"/>
      <c r="G271" s="34"/>
      <c r="H271" s="34"/>
      <c r="I271" s="34"/>
      <c r="J271" s="34"/>
      <c r="K271" s="34"/>
      <c r="L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AA271" s="34"/>
      <c r="AB271" s="34"/>
      <c r="AC271" s="34"/>
      <c r="AD271" s="34"/>
      <c r="AE271" s="34"/>
      <c r="AF271" s="34"/>
      <c r="AG271" s="34"/>
      <c r="AH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I271" s="34"/>
      <c r="BJ271" s="34"/>
      <c r="BK271" s="34"/>
      <c r="BL271" s="34"/>
      <c r="BM271" s="34"/>
      <c r="BN271" s="34"/>
      <c r="BO271" s="34"/>
      <c r="BP271" s="34"/>
      <c r="BY271" s="34"/>
      <c r="BZ271" s="34"/>
      <c r="CA271" s="34"/>
      <c r="CB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</row>
    <row r="272" ht="15.75" customHeight="1">
      <c r="B272" s="34"/>
      <c r="E272" s="34"/>
      <c r="F272" s="34"/>
      <c r="G272" s="34"/>
      <c r="H272" s="34"/>
      <c r="I272" s="34"/>
      <c r="J272" s="34"/>
      <c r="K272" s="34"/>
      <c r="L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AA272" s="34"/>
      <c r="AB272" s="34"/>
      <c r="AC272" s="34"/>
      <c r="AD272" s="34"/>
      <c r="AE272" s="34"/>
      <c r="AF272" s="34"/>
      <c r="AG272" s="34"/>
      <c r="AH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I272" s="34"/>
      <c r="BJ272" s="34"/>
      <c r="BK272" s="34"/>
      <c r="BL272" s="34"/>
      <c r="BM272" s="34"/>
      <c r="BN272" s="34"/>
      <c r="BO272" s="34"/>
      <c r="BP272" s="34"/>
      <c r="BY272" s="34"/>
      <c r="BZ272" s="34"/>
      <c r="CA272" s="34"/>
      <c r="CB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</row>
    <row r="273" ht="15.75" customHeight="1">
      <c r="B273" s="34"/>
      <c r="E273" s="34"/>
      <c r="F273" s="34"/>
      <c r="G273" s="34"/>
      <c r="H273" s="34"/>
      <c r="I273" s="34"/>
      <c r="J273" s="34"/>
      <c r="K273" s="34"/>
      <c r="L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AA273" s="34"/>
      <c r="AB273" s="34"/>
      <c r="AC273" s="34"/>
      <c r="AD273" s="34"/>
      <c r="AE273" s="34"/>
      <c r="AF273" s="34"/>
      <c r="AG273" s="34"/>
      <c r="AH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I273" s="34"/>
      <c r="BJ273" s="34"/>
      <c r="BK273" s="34"/>
      <c r="BL273" s="34"/>
      <c r="BM273" s="34"/>
      <c r="BN273" s="34"/>
      <c r="BO273" s="34"/>
      <c r="BP273" s="34"/>
      <c r="BY273" s="34"/>
      <c r="BZ273" s="34"/>
      <c r="CA273" s="34"/>
      <c r="CB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</row>
    <row r="274" ht="15.75" customHeight="1">
      <c r="B274" s="34"/>
      <c r="E274" s="34"/>
      <c r="F274" s="34"/>
      <c r="G274" s="34"/>
      <c r="H274" s="34"/>
      <c r="I274" s="34"/>
      <c r="J274" s="34"/>
      <c r="K274" s="34"/>
      <c r="L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AA274" s="34"/>
      <c r="AB274" s="34"/>
      <c r="AC274" s="34"/>
      <c r="AD274" s="34"/>
      <c r="AE274" s="34"/>
      <c r="AF274" s="34"/>
      <c r="AG274" s="34"/>
      <c r="AH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I274" s="34"/>
      <c r="BJ274" s="34"/>
      <c r="BK274" s="34"/>
      <c r="BL274" s="34"/>
      <c r="BM274" s="34"/>
      <c r="BN274" s="34"/>
      <c r="BO274" s="34"/>
      <c r="BP274" s="34"/>
      <c r="BY274" s="34"/>
      <c r="BZ274" s="34"/>
      <c r="CA274" s="34"/>
      <c r="CB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</row>
    <row r="275" ht="15.75" customHeight="1">
      <c r="B275" s="34"/>
      <c r="E275" s="34"/>
      <c r="F275" s="34"/>
      <c r="G275" s="34"/>
      <c r="H275" s="34"/>
      <c r="I275" s="34"/>
      <c r="J275" s="34"/>
      <c r="K275" s="34"/>
      <c r="L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AA275" s="34"/>
      <c r="AB275" s="34"/>
      <c r="AC275" s="34"/>
      <c r="AD275" s="34"/>
      <c r="AE275" s="34"/>
      <c r="AF275" s="34"/>
      <c r="AG275" s="34"/>
      <c r="AH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I275" s="34"/>
      <c r="BJ275" s="34"/>
      <c r="BK275" s="34"/>
      <c r="BL275" s="34"/>
      <c r="BM275" s="34"/>
      <c r="BN275" s="34"/>
      <c r="BO275" s="34"/>
      <c r="BP275" s="34"/>
      <c r="BY275" s="34"/>
      <c r="BZ275" s="34"/>
      <c r="CA275" s="34"/>
      <c r="CB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</row>
    <row r="276" ht="15.75" customHeight="1">
      <c r="B276" s="34"/>
      <c r="E276" s="34"/>
      <c r="F276" s="34"/>
      <c r="G276" s="34"/>
      <c r="H276" s="34"/>
      <c r="I276" s="34"/>
      <c r="J276" s="34"/>
      <c r="K276" s="34"/>
      <c r="L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AA276" s="34"/>
      <c r="AB276" s="34"/>
      <c r="AC276" s="34"/>
      <c r="AD276" s="34"/>
      <c r="AE276" s="34"/>
      <c r="AF276" s="34"/>
      <c r="AG276" s="34"/>
      <c r="AH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I276" s="34"/>
      <c r="BJ276" s="34"/>
      <c r="BK276" s="34"/>
      <c r="BL276" s="34"/>
      <c r="BM276" s="34"/>
      <c r="BN276" s="34"/>
      <c r="BO276" s="34"/>
      <c r="BP276" s="34"/>
      <c r="BY276" s="34"/>
      <c r="BZ276" s="34"/>
      <c r="CA276" s="34"/>
      <c r="CB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</row>
    <row r="277" ht="15.75" customHeight="1">
      <c r="B277" s="34"/>
      <c r="E277" s="34"/>
      <c r="F277" s="34"/>
      <c r="G277" s="34"/>
      <c r="H277" s="34"/>
      <c r="I277" s="34"/>
      <c r="J277" s="34"/>
      <c r="K277" s="34"/>
      <c r="L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AA277" s="34"/>
      <c r="AB277" s="34"/>
      <c r="AC277" s="34"/>
      <c r="AD277" s="34"/>
      <c r="AE277" s="34"/>
      <c r="AF277" s="34"/>
      <c r="AG277" s="34"/>
      <c r="AH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I277" s="34"/>
      <c r="BJ277" s="34"/>
      <c r="BK277" s="34"/>
      <c r="BL277" s="34"/>
      <c r="BM277" s="34"/>
      <c r="BN277" s="34"/>
      <c r="BO277" s="34"/>
      <c r="BP277" s="34"/>
      <c r="BY277" s="34"/>
      <c r="BZ277" s="34"/>
      <c r="CA277" s="34"/>
      <c r="CB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</row>
    <row r="278" ht="15.75" customHeight="1">
      <c r="B278" s="34"/>
      <c r="E278" s="34"/>
      <c r="F278" s="34"/>
      <c r="G278" s="34"/>
      <c r="H278" s="34"/>
      <c r="I278" s="34"/>
      <c r="J278" s="34"/>
      <c r="K278" s="34"/>
      <c r="L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AA278" s="34"/>
      <c r="AB278" s="34"/>
      <c r="AC278" s="34"/>
      <c r="AD278" s="34"/>
      <c r="AE278" s="34"/>
      <c r="AF278" s="34"/>
      <c r="AG278" s="34"/>
      <c r="AH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I278" s="34"/>
      <c r="BJ278" s="34"/>
      <c r="BK278" s="34"/>
      <c r="BL278" s="34"/>
      <c r="BM278" s="34"/>
      <c r="BN278" s="34"/>
      <c r="BO278" s="34"/>
      <c r="BP278" s="34"/>
      <c r="BY278" s="34"/>
      <c r="BZ278" s="34"/>
      <c r="CA278" s="34"/>
      <c r="CB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</row>
    <row r="279" ht="15.75" customHeight="1">
      <c r="B279" s="34"/>
      <c r="E279" s="34"/>
      <c r="F279" s="34"/>
      <c r="G279" s="34"/>
      <c r="H279" s="34"/>
      <c r="I279" s="34"/>
      <c r="J279" s="34"/>
      <c r="K279" s="34"/>
      <c r="L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AA279" s="34"/>
      <c r="AB279" s="34"/>
      <c r="AC279" s="34"/>
      <c r="AD279" s="34"/>
      <c r="AE279" s="34"/>
      <c r="AF279" s="34"/>
      <c r="AG279" s="34"/>
      <c r="AH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I279" s="34"/>
      <c r="BJ279" s="34"/>
      <c r="BK279" s="34"/>
      <c r="BL279" s="34"/>
      <c r="BM279" s="34"/>
      <c r="BN279" s="34"/>
      <c r="BO279" s="34"/>
      <c r="BP279" s="34"/>
      <c r="BY279" s="34"/>
      <c r="BZ279" s="34"/>
      <c r="CA279" s="34"/>
      <c r="CB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</row>
    <row r="280" ht="15.75" customHeight="1">
      <c r="B280" s="34"/>
      <c r="E280" s="34"/>
      <c r="F280" s="34"/>
      <c r="G280" s="34"/>
      <c r="H280" s="34"/>
      <c r="I280" s="34"/>
      <c r="J280" s="34"/>
      <c r="K280" s="34"/>
      <c r="L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AA280" s="34"/>
      <c r="AB280" s="34"/>
      <c r="AC280" s="34"/>
      <c r="AD280" s="34"/>
      <c r="AE280" s="34"/>
      <c r="AF280" s="34"/>
      <c r="AG280" s="34"/>
      <c r="AH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I280" s="34"/>
      <c r="BJ280" s="34"/>
      <c r="BK280" s="34"/>
      <c r="BL280" s="34"/>
      <c r="BM280" s="34"/>
      <c r="BN280" s="34"/>
      <c r="BO280" s="34"/>
      <c r="BP280" s="34"/>
      <c r="BY280" s="34"/>
      <c r="BZ280" s="34"/>
      <c r="CA280" s="34"/>
      <c r="CB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</row>
    <row r="281" ht="15.75" customHeight="1">
      <c r="B281" s="34"/>
      <c r="E281" s="34"/>
      <c r="F281" s="34"/>
      <c r="G281" s="34"/>
      <c r="H281" s="34"/>
      <c r="I281" s="34"/>
      <c r="J281" s="34"/>
      <c r="K281" s="34"/>
      <c r="L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AA281" s="34"/>
      <c r="AB281" s="34"/>
      <c r="AC281" s="34"/>
      <c r="AD281" s="34"/>
      <c r="AE281" s="34"/>
      <c r="AF281" s="34"/>
      <c r="AG281" s="34"/>
      <c r="AH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I281" s="34"/>
      <c r="BJ281" s="34"/>
      <c r="BK281" s="34"/>
      <c r="BL281" s="34"/>
      <c r="BM281" s="34"/>
      <c r="BN281" s="34"/>
      <c r="BO281" s="34"/>
      <c r="BP281" s="34"/>
      <c r="BY281" s="34"/>
      <c r="BZ281" s="34"/>
      <c r="CA281" s="34"/>
      <c r="CB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</row>
    <row r="282" ht="15.75" customHeight="1">
      <c r="B282" s="34"/>
      <c r="E282" s="34"/>
      <c r="F282" s="34"/>
      <c r="G282" s="34"/>
      <c r="H282" s="34"/>
      <c r="I282" s="34"/>
      <c r="J282" s="34"/>
      <c r="K282" s="34"/>
      <c r="L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AA282" s="34"/>
      <c r="AB282" s="34"/>
      <c r="AC282" s="34"/>
      <c r="AD282" s="34"/>
      <c r="AE282" s="34"/>
      <c r="AF282" s="34"/>
      <c r="AG282" s="34"/>
      <c r="AH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I282" s="34"/>
      <c r="BJ282" s="34"/>
      <c r="BK282" s="34"/>
      <c r="BL282" s="34"/>
      <c r="BM282" s="34"/>
      <c r="BN282" s="34"/>
      <c r="BO282" s="34"/>
      <c r="BP282" s="34"/>
      <c r="BY282" s="34"/>
      <c r="BZ282" s="34"/>
      <c r="CA282" s="34"/>
      <c r="CB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</row>
    <row r="283" ht="15.75" customHeight="1">
      <c r="B283" s="34"/>
      <c r="E283" s="34"/>
      <c r="F283" s="34"/>
      <c r="G283" s="34"/>
      <c r="H283" s="34"/>
      <c r="I283" s="34"/>
      <c r="J283" s="34"/>
      <c r="K283" s="34"/>
      <c r="L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AA283" s="34"/>
      <c r="AB283" s="34"/>
      <c r="AC283" s="34"/>
      <c r="AD283" s="34"/>
      <c r="AE283" s="34"/>
      <c r="AF283" s="34"/>
      <c r="AG283" s="34"/>
      <c r="AH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I283" s="34"/>
      <c r="BJ283" s="34"/>
      <c r="BK283" s="34"/>
      <c r="BL283" s="34"/>
      <c r="BM283" s="34"/>
      <c r="BN283" s="34"/>
      <c r="BO283" s="34"/>
      <c r="BP283" s="34"/>
      <c r="BY283" s="34"/>
      <c r="BZ283" s="34"/>
      <c r="CA283" s="34"/>
      <c r="CB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</row>
    <row r="284" ht="15.75" customHeight="1">
      <c r="B284" s="34"/>
      <c r="E284" s="34"/>
      <c r="F284" s="34"/>
      <c r="G284" s="34"/>
      <c r="H284" s="34"/>
      <c r="I284" s="34"/>
      <c r="J284" s="34"/>
      <c r="K284" s="34"/>
      <c r="L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AA284" s="34"/>
      <c r="AB284" s="34"/>
      <c r="AC284" s="34"/>
      <c r="AD284" s="34"/>
      <c r="AE284" s="34"/>
      <c r="AF284" s="34"/>
      <c r="AG284" s="34"/>
      <c r="AH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I284" s="34"/>
      <c r="BJ284" s="34"/>
      <c r="BK284" s="34"/>
      <c r="BL284" s="34"/>
      <c r="BM284" s="34"/>
      <c r="BN284" s="34"/>
      <c r="BO284" s="34"/>
      <c r="BP284" s="34"/>
      <c r="BY284" s="34"/>
      <c r="BZ284" s="34"/>
      <c r="CA284" s="34"/>
      <c r="CB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</row>
    <row r="285" ht="15.75" customHeight="1">
      <c r="B285" s="34"/>
      <c r="E285" s="34"/>
      <c r="F285" s="34"/>
      <c r="G285" s="34"/>
      <c r="H285" s="34"/>
      <c r="I285" s="34"/>
      <c r="J285" s="34"/>
      <c r="K285" s="34"/>
      <c r="L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AA285" s="34"/>
      <c r="AB285" s="34"/>
      <c r="AC285" s="34"/>
      <c r="AD285" s="34"/>
      <c r="AE285" s="34"/>
      <c r="AF285" s="34"/>
      <c r="AG285" s="34"/>
      <c r="AH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I285" s="34"/>
      <c r="BJ285" s="34"/>
      <c r="BK285" s="34"/>
      <c r="BL285" s="34"/>
      <c r="BM285" s="34"/>
      <c r="BN285" s="34"/>
      <c r="BO285" s="34"/>
      <c r="BP285" s="34"/>
      <c r="BY285" s="34"/>
      <c r="BZ285" s="34"/>
      <c r="CA285" s="34"/>
      <c r="CB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</row>
    <row r="286" ht="15.75" customHeight="1">
      <c r="B286" s="34"/>
      <c r="E286" s="34"/>
      <c r="F286" s="34"/>
      <c r="G286" s="34"/>
      <c r="H286" s="34"/>
      <c r="I286" s="34"/>
      <c r="J286" s="34"/>
      <c r="K286" s="34"/>
      <c r="L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AA286" s="34"/>
      <c r="AB286" s="34"/>
      <c r="AC286" s="34"/>
      <c r="AD286" s="34"/>
      <c r="AE286" s="34"/>
      <c r="AF286" s="34"/>
      <c r="AG286" s="34"/>
      <c r="AH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I286" s="34"/>
      <c r="BJ286" s="34"/>
      <c r="BK286" s="34"/>
      <c r="BL286" s="34"/>
      <c r="BM286" s="34"/>
      <c r="BN286" s="34"/>
      <c r="BO286" s="34"/>
      <c r="BP286" s="34"/>
      <c r="BY286" s="34"/>
      <c r="BZ286" s="34"/>
      <c r="CA286" s="34"/>
      <c r="CB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</row>
    <row r="287" ht="15.75" customHeight="1">
      <c r="B287" s="34"/>
      <c r="E287" s="34"/>
      <c r="F287" s="34"/>
      <c r="G287" s="34"/>
      <c r="H287" s="34"/>
      <c r="I287" s="34"/>
      <c r="J287" s="34"/>
      <c r="K287" s="34"/>
      <c r="L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AA287" s="34"/>
      <c r="AB287" s="34"/>
      <c r="AC287" s="34"/>
      <c r="AD287" s="34"/>
      <c r="AE287" s="34"/>
      <c r="AF287" s="34"/>
      <c r="AG287" s="34"/>
      <c r="AH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I287" s="34"/>
      <c r="BJ287" s="34"/>
      <c r="BK287" s="34"/>
      <c r="BL287" s="34"/>
      <c r="BM287" s="34"/>
      <c r="BN287" s="34"/>
      <c r="BO287" s="34"/>
      <c r="BP287" s="34"/>
      <c r="BY287" s="34"/>
      <c r="BZ287" s="34"/>
      <c r="CA287" s="34"/>
      <c r="CB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</row>
    <row r="288" ht="15.75" customHeight="1">
      <c r="B288" s="34"/>
      <c r="E288" s="34"/>
      <c r="F288" s="34"/>
      <c r="G288" s="34"/>
      <c r="H288" s="34"/>
      <c r="I288" s="34"/>
      <c r="J288" s="34"/>
      <c r="K288" s="34"/>
      <c r="L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AA288" s="34"/>
      <c r="AB288" s="34"/>
      <c r="AC288" s="34"/>
      <c r="AD288" s="34"/>
      <c r="AE288" s="34"/>
      <c r="AF288" s="34"/>
      <c r="AG288" s="34"/>
      <c r="AH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I288" s="34"/>
      <c r="BJ288" s="34"/>
      <c r="BK288" s="34"/>
      <c r="BL288" s="34"/>
      <c r="BM288" s="34"/>
      <c r="BN288" s="34"/>
      <c r="BO288" s="34"/>
      <c r="BP288" s="34"/>
      <c r="BY288" s="34"/>
      <c r="BZ288" s="34"/>
      <c r="CA288" s="34"/>
      <c r="CB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</row>
    <row r="289" ht="15.75" customHeight="1">
      <c r="B289" s="34"/>
      <c r="E289" s="34"/>
      <c r="F289" s="34"/>
      <c r="G289" s="34"/>
      <c r="H289" s="34"/>
      <c r="I289" s="34"/>
      <c r="J289" s="34"/>
      <c r="K289" s="34"/>
      <c r="L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AA289" s="34"/>
      <c r="AB289" s="34"/>
      <c r="AC289" s="34"/>
      <c r="AD289" s="34"/>
      <c r="AE289" s="34"/>
      <c r="AF289" s="34"/>
      <c r="AG289" s="34"/>
      <c r="AH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I289" s="34"/>
      <c r="BJ289" s="34"/>
      <c r="BK289" s="34"/>
      <c r="BL289" s="34"/>
      <c r="BM289" s="34"/>
      <c r="BN289" s="34"/>
      <c r="BO289" s="34"/>
      <c r="BP289" s="34"/>
      <c r="BY289" s="34"/>
      <c r="BZ289" s="34"/>
      <c r="CA289" s="34"/>
      <c r="CB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</row>
    <row r="290" ht="15.75" customHeight="1">
      <c r="B290" s="34"/>
      <c r="E290" s="34"/>
      <c r="F290" s="34"/>
      <c r="G290" s="34"/>
      <c r="H290" s="34"/>
      <c r="I290" s="34"/>
      <c r="J290" s="34"/>
      <c r="K290" s="34"/>
      <c r="L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AA290" s="34"/>
      <c r="AB290" s="34"/>
      <c r="AC290" s="34"/>
      <c r="AD290" s="34"/>
      <c r="AE290" s="34"/>
      <c r="AF290" s="34"/>
      <c r="AG290" s="34"/>
      <c r="AH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I290" s="34"/>
      <c r="BJ290" s="34"/>
      <c r="BK290" s="34"/>
      <c r="BL290" s="34"/>
      <c r="BM290" s="34"/>
      <c r="BN290" s="34"/>
      <c r="BO290" s="34"/>
      <c r="BP290" s="34"/>
      <c r="BY290" s="34"/>
      <c r="BZ290" s="34"/>
      <c r="CA290" s="34"/>
      <c r="CB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</row>
    <row r="291" ht="15.75" customHeight="1">
      <c r="B291" s="34"/>
      <c r="E291" s="34"/>
      <c r="F291" s="34"/>
      <c r="G291" s="34"/>
      <c r="H291" s="34"/>
      <c r="I291" s="34"/>
      <c r="J291" s="34"/>
      <c r="K291" s="34"/>
      <c r="L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AA291" s="34"/>
      <c r="AB291" s="34"/>
      <c r="AC291" s="34"/>
      <c r="AD291" s="34"/>
      <c r="AE291" s="34"/>
      <c r="AF291" s="34"/>
      <c r="AG291" s="34"/>
      <c r="AH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I291" s="34"/>
      <c r="BJ291" s="34"/>
      <c r="BK291" s="34"/>
      <c r="BL291" s="34"/>
      <c r="BM291" s="34"/>
      <c r="BN291" s="34"/>
      <c r="BO291" s="34"/>
      <c r="BP291" s="34"/>
      <c r="BY291" s="34"/>
      <c r="BZ291" s="34"/>
      <c r="CA291" s="34"/>
      <c r="CB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</row>
    <row r="292" ht="15.75" customHeight="1">
      <c r="B292" s="34"/>
      <c r="E292" s="34"/>
      <c r="F292" s="34"/>
      <c r="G292" s="34"/>
      <c r="H292" s="34"/>
      <c r="I292" s="34"/>
      <c r="J292" s="34"/>
      <c r="K292" s="34"/>
      <c r="L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AA292" s="34"/>
      <c r="AB292" s="34"/>
      <c r="AC292" s="34"/>
      <c r="AD292" s="34"/>
      <c r="AE292" s="34"/>
      <c r="AF292" s="34"/>
      <c r="AG292" s="34"/>
      <c r="AH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I292" s="34"/>
      <c r="BJ292" s="34"/>
      <c r="BK292" s="34"/>
      <c r="BL292" s="34"/>
      <c r="BM292" s="34"/>
      <c r="BN292" s="34"/>
      <c r="BO292" s="34"/>
      <c r="BP292" s="34"/>
      <c r="BY292" s="34"/>
      <c r="BZ292" s="34"/>
      <c r="CA292" s="34"/>
      <c r="CB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</row>
    <row r="293" ht="15.75" customHeight="1">
      <c r="B293" s="34"/>
      <c r="E293" s="34"/>
      <c r="F293" s="34"/>
      <c r="G293" s="34"/>
      <c r="H293" s="34"/>
      <c r="I293" s="34"/>
      <c r="J293" s="34"/>
      <c r="K293" s="34"/>
      <c r="L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AA293" s="34"/>
      <c r="AB293" s="34"/>
      <c r="AC293" s="34"/>
      <c r="AD293" s="34"/>
      <c r="AE293" s="34"/>
      <c r="AF293" s="34"/>
      <c r="AG293" s="34"/>
      <c r="AH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I293" s="34"/>
      <c r="BJ293" s="34"/>
      <c r="BK293" s="34"/>
      <c r="BL293" s="34"/>
      <c r="BM293" s="34"/>
      <c r="BN293" s="34"/>
      <c r="BO293" s="34"/>
      <c r="BP293" s="34"/>
      <c r="BY293" s="34"/>
      <c r="BZ293" s="34"/>
      <c r="CA293" s="34"/>
      <c r="CB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</row>
    <row r="294" ht="15.75" customHeight="1">
      <c r="B294" s="34"/>
      <c r="E294" s="34"/>
      <c r="F294" s="34"/>
      <c r="G294" s="34"/>
      <c r="H294" s="34"/>
      <c r="I294" s="34"/>
      <c r="J294" s="34"/>
      <c r="K294" s="34"/>
      <c r="L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AA294" s="34"/>
      <c r="AB294" s="34"/>
      <c r="AC294" s="34"/>
      <c r="AD294" s="34"/>
      <c r="AE294" s="34"/>
      <c r="AF294" s="34"/>
      <c r="AG294" s="34"/>
      <c r="AH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I294" s="34"/>
      <c r="BJ294" s="34"/>
      <c r="BK294" s="34"/>
      <c r="BL294" s="34"/>
      <c r="BM294" s="34"/>
      <c r="BN294" s="34"/>
      <c r="BO294" s="34"/>
      <c r="BP294" s="34"/>
      <c r="BY294" s="34"/>
      <c r="BZ294" s="34"/>
      <c r="CA294" s="34"/>
      <c r="CB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</row>
    <row r="295" ht="15.75" customHeight="1">
      <c r="B295" s="34"/>
      <c r="E295" s="34"/>
      <c r="F295" s="34"/>
      <c r="G295" s="34"/>
      <c r="H295" s="34"/>
      <c r="I295" s="34"/>
      <c r="J295" s="34"/>
      <c r="K295" s="34"/>
      <c r="L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AA295" s="34"/>
      <c r="AB295" s="34"/>
      <c r="AC295" s="34"/>
      <c r="AD295" s="34"/>
      <c r="AE295" s="34"/>
      <c r="AF295" s="34"/>
      <c r="AG295" s="34"/>
      <c r="AH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I295" s="34"/>
      <c r="BJ295" s="34"/>
      <c r="BK295" s="34"/>
      <c r="BL295" s="34"/>
      <c r="BM295" s="34"/>
      <c r="BN295" s="34"/>
      <c r="BO295" s="34"/>
      <c r="BP295" s="34"/>
      <c r="BY295" s="34"/>
      <c r="BZ295" s="34"/>
      <c r="CA295" s="34"/>
      <c r="CB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</row>
    <row r="296" ht="15.75" customHeight="1">
      <c r="B296" s="34"/>
      <c r="E296" s="34"/>
      <c r="F296" s="34"/>
      <c r="G296" s="34"/>
      <c r="H296" s="34"/>
      <c r="I296" s="34"/>
      <c r="J296" s="34"/>
      <c r="K296" s="34"/>
      <c r="L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AA296" s="34"/>
      <c r="AB296" s="34"/>
      <c r="AC296" s="34"/>
      <c r="AD296" s="34"/>
      <c r="AE296" s="34"/>
      <c r="AF296" s="34"/>
      <c r="AG296" s="34"/>
      <c r="AH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I296" s="34"/>
      <c r="BJ296" s="34"/>
      <c r="BK296" s="34"/>
      <c r="BL296" s="34"/>
      <c r="BM296" s="34"/>
      <c r="BN296" s="34"/>
      <c r="BO296" s="34"/>
      <c r="BP296" s="34"/>
      <c r="BY296" s="34"/>
      <c r="BZ296" s="34"/>
      <c r="CA296" s="34"/>
      <c r="CB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</row>
    <row r="297" ht="15.75" customHeight="1">
      <c r="B297" s="34"/>
      <c r="E297" s="34"/>
      <c r="F297" s="34"/>
      <c r="G297" s="34"/>
      <c r="H297" s="34"/>
      <c r="I297" s="34"/>
      <c r="J297" s="34"/>
      <c r="K297" s="34"/>
      <c r="L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AA297" s="34"/>
      <c r="AB297" s="34"/>
      <c r="AC297" s="34"/>
      <c r="AD297" s="34"/>
      <c r="AE297" s="34"/>
      <c r="AF297" s="34"/>
      <c r="AG297" s="34"/>
      <c r="AH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I297" s="34"/>
      <c r="BJ297" s="34"/>
      <c r="BK297" s="34"/>
      <c r="BL297" s="34"/>
      <c r="BM297" s="34"/>
      <c r="BN297" s="34"/>
      <c r="BO297" s="34"/>
      <c r="BP297" s="34"/>
      <c r="BY297" s="34"/>
      <c r="BZ297" s="34"/>
      <c r="CA297" s="34"/>
      <c r="CB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</row>
    <row r="298" ht="15.75" customHeight="1">
      <c r="B298" s="34"/>
      <c r="E298" s="34"/>
      <c r="F298" s="34"/>
      <c r="G298" s="34"/>
      <c r="H298" s="34"/>
      <c r="I298" s="34"/>
      <c r="J298" s="34"/>
      <c r="K298" s="34"/>
      <c r="L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AA298" s="34"/>
      <c r="AB298" s="34"/>
      <c r="AC298" s="34"/>
      <c r="AD298" s="34"/>
      <c r="AE298" s="34"/>
      <c r="AF298" s="34"/>
      <c r="AG298" s="34"/>
      <c r="AH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I298" s="34"/>
      <c r="BJ298" s="34"/>
      <c r="BK298" s="34"/>
      <c r="BL298" s="34"/>
      <c r="BM298" s="34"/>
      <c r="BN298" s="34"/>
      <c r="BO298" s="34"/>
      <c r="BP298" s="34"/>
      <c r="BY298" s="34"/>
      <c r="BZ298" s="34"/>
      <c r="CA298" s="34"/>
      <c r="CB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</row>
    <row r="299" ht="15.75" customHeight="1">
      <c r="B299" s="34"/>
      <c r="E299" s="34"/>
      <c r="F299" s="34"/>
      <c r="G299" s="34"/>
      <c r="H299" s="34"/>
      <c r="I299" s="34"/>
      <c r="J299" s="34"/>
      <c r="K299" s="34"/>
      <c r="L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AA299" s="34"/>
      <c r="AB299" s="34"/>
      <c r="AC299" s="34"/>
      <c r="AD299" s="34"/>
      <c r="AE299" s="34"/>
      <c r="AF299" s="34"/>
      <c r="AG299" s="34"/>
      <c r="AH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I299" s="34"/>
      <c r="BJ299" s="34"/>
      <c r="BK299" s="34"/>
      <c r="BL299" s="34"/>
      <c r="BM299" s="34"/>
      <c r="BN299" s="34"/>
      <c r="BO299" s="34"/>
      <c r="BP299" s="34"/>
      <c r="BY299" s="34"/>
      <c r="BZ299" s="34"/>
      <c r="CA299" s="34"/>
      <c r="CB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</row>
    <row r="300" ht="15.75" customHeight="1">
      <c r="B300" s="34"/>
      <c r="E300" s="34"/>
      <c r="F300" s="34"/>
      <c r="G300" s="34"/>
      <c r="H300" s="34"/>
      <c r="I300" s="34"/>
      <c r="J300" s="34"/>
      <c r="K300" s="34"/>
      <c r="L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AA300" s="34"/>
      <c r="AB300" s="34"/>
      <c r="AC300" s="34"/>
      <c r="AD300" s="34"/>
      <c r="AE300" s="34"/>
      <c r="AF300" s="34"/>
      <c r="AG300" s="34"/>
      <c r="AH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I300" s="34"/>
      <c r="BJ300" s="34"/>
      <c r="BK300" s="34"/>
      <c r="BL300" s="34"/>
      <c r="BM300" s="34"/>
      <c r="BN300" s="34"/>
      <c r="BO300" s="34"/>
      <c r="BP300" s="34"/>
      <c r="BY300" s="34"/>
      <c r="BZ300" s="34"/>
      <c r="CA300" s="34"/>
      <c r="CB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</row>
    <row r="301" ht="15.75" customHeight="1">
      <c r="B301" s="34"/>
      <c r="E301" s="34"/>
      <c r="F301" s="34"/>
      <c r="G301" s="34"/>
      <c r="H301" s="34"/>
      <c r="I301" s="34"/>
      <c r="J301" s="34"/>
      <c r="K301" s="34"/>
      <c r="L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AA301" s="34"/>
      <c r="AB301" s="34"/>
      <c r="AC301" s="34"/>
      <c r="AD301" s="34"/>
      <c r="AE301" s="34"/>
      <c r="AF301" s="34"/>
      <c r="AG301" s="34"/>
      <c r="AH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I301" s="34"/>
      <c r="BJ301" s="34"/>
      <c r="BK301" s="34"/>
      <c r="BL301" s="34"/>
      <c r="BM301" s="34"/>
      <c r="BN301" s="34"/>
      <c r="BO301" s="34"/>
      <c r="BP301" s="34"/>
      <c r="BY301" s="34"/>
      <c r="BZ301" s="34"/>
      <c r="CA301" s="34"/>
      <c r="CB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</row>
    <row r="302" ht="15.75" customHeight="1">
      <c r="B302" s="34"/>
      <c r="E302" s="34"/>
      <c r="F302" s="34"/>
      <c r="G302" s="34"/>
      <c r="H302" s="34"/>
      <c r="I302" s="34"/>
      <c r="J302" s="34"/>
      <c r="K302" s="34"/>
      <c r="L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AA302" s="34"/>
      <c r="AB302" s="34"/>
      <c r="AC302" s="34"/>
      <c r="AD302" s="34"/>
      <c r="AE302" s="34"/>
      <c r="AF302" s="34"/>
      <c r="AG302" s="34"/>
      <c r="AH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I302" s="34"/>
      <c r="BJ302" s="34"/>
      <c r="BK302" s="34"/>
      <c r="BL302" s="34"/>
      <c r="BM302" s="34"/>
      <c r="BN302" s="34"/>
      <c r="BO302" s="34"/>
      <c r="BP302" s="34"/>
      <c r="BY302" s="34"/>
      <c r="BZ302" s="34"/>
      <c r="CA302" s="34"/>
      <c r="CB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</row>
    <row r="303" ht="15.75" customHeight="1">
      <c r="B303" s="34"/>
      <c r="E303" s="34"/>
      <c r="F303" s="34"/>
      <c r="G303" s="34"/>
      <c r="H303" s="34"/>
      <c r="I303" s="34"/>
      <c r="J303" s="34"/>
      <c r="K303" s="34"/>
      <c r="L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AA303" s="34"/>
      <c r="AB303" s="34"/>
      <c r="AC303" s="34"/>
      <c r="AD303" s="34"/>
      <c r="AE303" s="34"/>
      <c r="AF303" s="34"/>
      <c r="AG303" s="34"/>
      <c r="AH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I303" s="34"/>
      <c r="BJ303" s="34"/>
      <c r="BK303" s="34"/>
      <c r="BL303" s="34"/>
      <c r="BM303" s="34"/>
      <c r="BN303" s="34"/>
      <c r="BO303" s="34"/>
      <c r="BP303" s="34"/>
      <c r="BY303" s="34"/>
      <c r="BZ303" s="34"/>
      <c r="CA303" s="34"/>
      <c r="CB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</row>
    <row r="304" ht="15.75" customHeight="1">
      <c r="B304" s="34"/>
      <c r="E304" s="34"/>
      <c r="F304" s="34"/>
      <c r="G304" s="34"/>
      <c r="H304" s="34"/>
      <c r="I304" s="34"/>
      <c r="J304" s="34"/>
      <c r="K304" s="34"/>
      <c r="L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AA304" s="34"/>
      <c r="AB304" s="34"/>
      <c r="AC304" s="34"/>
      <c r="AD304" s="34"/>
      <c r="AE304" s="34"/>
      <c r="AF304" s="34"/>
      <c r="AG304" s="34"/>
      <c r="AH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I304" s="34"/>
      <c r="BJ304" s="34"/>
      <c r="BK304" s="34"/>
      <c r="BL304" s="34"/>
      <c r="BM304" s="34"/>
      <c r="BN304" s="34"/>
      <c r="BO304" s="34"/>
      <c r="BP304" s="34"/>
      <c r="BY304" s="34"/>
      <c r="BZ304" s="34"/>
      <c r="CA304" s="34"/>
      <c r="CB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</row>
    <row r="305" ht="15.75" customHeight="1">
      <c r="B305" s="34"/>
      <c r="E305" s="34"/>
      <c r="F305" s="34"/>
      <c r="G305" s="34"/>
      <c r="H305" s="34"/>
      <c r="I305" s="34"/>
      <c r="J305" s="34"/>
      <c r="K305" s="34"/>
      <c r="L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AA305" s="34"/>
      <c r="AB305" s="34"/>
      <c r="AC305" s="34"/>
      <c r="AD305" s="34"/>
      <c r="AE305" s="34"/>
      <c r="AF305" s="34"/>
      <c r="AG305" s="34"/>
      <c r="AH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I305" s="34"/>
      <c r="BJ305" s="34"/>
      <c r="BK305" s="34"/>
      <c r="BL305" s="34"/>
      <c r="BM305" s="34"/>
      <c r="BN305" s="34"/>
      <c r="BO305" s="34"/>
      <c r="BP305" s="34"/>
      <c r="BY305" s="34"/>
      <c r="BZ305" s="34"/>
      <c r="CA305" s="34"/>
      <c r="CB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</row>
    <row r="306" ht="15.75" customHeight="1">
      <c r="B306" s="34"/>
      <c r="E306" s="34"/>
      <c r="F306" s="34"/>
      <c r="G306" s="34"/>
      <c r="H306" s="34"/>
      <c r="I306" s="34"/>
      <c r="J306" s="34"/>
      <c r="K306" s="34"/>
      <c r="L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AA306" s="34"/>
      <c r="AB306" s="34"/>
      <c r="AC306" s="34"/>
      <c r="AD306" s="34"/>
      <c r="AE306" s="34"/>
      <c r="AF306" s="34"/>
      <c r="AG306" s="34"/>
      <c r="AH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I306" s="34"/>
      <c r="BJ306" s="34"/>
      <c r="BK306" s="34"/>
      <c r="BL306" s="34"/>
      <c r="BM306" s="34"/>
      <c r="BN306" s="34"/>
      <c r="BO306" s="34"/>
      <c r="BP306" s="34"/>
      <c r="BY306" s="34"/>
      <c r="BZ306" s="34"/>
      <c r="CA306" s="34"/>
      <c r="CB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</row>
    <row r="307" ht="15.75" customHeight="1">
      <c r="B307" s="34"/>
      <c r="E307" s="34"/>
      <c r="F307" s="34"/>
      <c r="G307" s="34"/>
      <c r="H307" s="34"/>
      <c r="I307" s="34"/>
      <c r="J307" s="34"/>
      <c r="K307" s="34"/>
      <c r="L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AA307" s="34"/>
      <c r="AB307" s="34"/>
      <c r="AC307" s="34"/>
      <c r="AD307" s="34"/>
      <c r="AE307" s="34"/>
      <c r="AF307" s="34"/>
      <c r="AG307" s="34"/>
      <c r="AH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I307" s="34"/>
      <c r="BJ307" s="34"/>
      <c r="BK307" s="34"/>
      <c r="BL307" s="34"/>
      <c r="BM307" s="34"/>
      <c r="BN307" s="34"/>
      <c r="BO307" s="34"/>
      <c r="BP307" s="34"/>
      <c r="BY307" s="34"/>
      <c r="BZ307" s="34"/>
      <c r="CA307" s="34"/>
      <c r="CB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</row>
    <row r="308" ht="15.75" customHeight="1">
      <c r="B308" s="34"/>
      <c r="E308" s="34"/>
      <c r="F308" s="34"/>
      <c r="G308" s="34"/>
      <c r="H308" s="34"/>
      <c r="I308" s="34"/>
      <c r="J308" s="34"/>
      <c r="K308" s="34"/>
      <c r="L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AA308" s="34"/>
      <c r="AB308" s="34"/>
      <c r="AC308" s="34"/>
      <c r="AD308" s="34"/>
      <c r="AE308" s="34"/>
      <c r="AF308" s="34"/>
      <c r="AG308" s="34"/>
      <c r="AH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I308" s="34"/>
      <c r="BJ308" s="34"/>
      <c r="BK308" s="34"/>
      <c r="BL308" s="34"/>
      <c r="BM308" s="34"/>
      <c r="BN308" s="34"/>
      <c r="BO308" s="34"/>
      <c r="BP308" s="34"/>
      <c r="BY308" s="34"/>
      <c r="BZ308" s="34"/>
      <c r="CA308" s="34"/>
      <c r="CB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</row>
    <row r="309" ht="15.75" customHeight="1">
      <c r="B309" s="34"/>
      <c r="E309" s="34"/>
      <c r="F309" s="34"/>
      <c r="G309" s="34"/>
      <c r="H309" s="34"/>
      <c r="I309" s="34"/>
      <c r="J309" s="34"/>
      <c r="K309" s="34"/>
      <c r="L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AA309" s="34"/>
      <c r="AB309" s="34"/>
      <c r="AC309" s="34"/>
      <c r="AD309" s="34"/>
      <c r="AE309" s="34"/>
      <c r="AF309" s="34"/>
      <c r="AG309" s="34"/>
      <c r="AH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I309" s="34"/>
      <c r="BJ309" s="34"/>
      <c r="BK309" s="34"/>
      <c r="BL309" s="34"/>
      <c r="BM309" s="34"/>
      <c r="BN309" s="34"/>
      <c r="BO309" s="34"/>
      <c r="BP309" s="34"/>
      <c r="BY309" s="34"/>
      <c r="BZ309" s="34"/>
      <c r="CA309" s="34"/>
      <c r="CB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</row>
    <row r="310" ht="15.75" customHeight="1">
      <c r="B310" s="34"/>
      <c r="E310" s="34"/>
      <c r="F310" s="34"/>
      <c r="G310" s="34"/>
      <c r="H310" s="34"/>
      <c r="I310" s="34"/>
      <c r="J310" s="34"/>
      <c r="K310" s="34"/>
      <c r="L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AA310" s="34"/>
      <c r="AB310" s="34"/>
      <c r="AC310" s="34"/>
      <c r="AD310" s="34"/>
      <c r="AE310" s="34"/>
      <c r="AF310" s="34"/>
      <c r="AG310" s="34"/>
      <c r="AH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I310" s="34"/>
      <c r="BJ310" s="34"/>
      <c r="BK310" s="34"/>
      <c r="BL310" s="34"/>
      <c r="BM310" s="34"/>
      <c r="BN310" s="34"/>
      <c r="BO310" s="34"/>
      <c r="BP310" s="34"/>
      <c r="BY310" s="34"/>
      <c r="BZ310" s="34"/>
      <c r="CA310" s="34"/>
      <c r="CB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</row>
    <row r="311" ht="15.75" customHeight="1">
      <c r="B311" s="34"/>
      <c r="E311" s="34"/>
      <c r="F311" s="34"/>
      <c r="G311" s="34"/>
      <c r="H311" s="34"/>
      <c r="I311" s="34"/>
      <c r="J311" s="34"/>
      <c r="K311" s="34"/>
      <c r="L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AA311" s="34"/>
      <c r="AB311" s="34"/>
      <c r="AC311" s="34"/>
      <c r="AD311" s="34"/>
      <c r="AE311" s="34"/>
      <c r="AF311" s="34"/>
      <c r="AG311" s="34"/>
      <c r="AH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I311" s="34"/>
      <c r="BJ311" s="34"/>
      <c r="BK311" s="34"/>
      <c r="BL311" s="34"/>
      <c r="BM311" s="34"/>
      <c r="BN311" s="34"/>
      <c r="BO311" s="34"/>
      <c r="BP311" s="34"/>
      <c r="BY311" s="34"/>
      <c r="BZ311" s="34"/>
      <c r="CA311" s="34"/>
      <c r="CB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</row>
    <row r="312" ht="15.75" customHeight="1">
      <c r="B312" s="34"/>
      <c r="E312" s="34"/>
      <c r="F312" s="34"/>
      <c r="G312" s="34"/>
      <c r="H312" s="34"/>
      <c r="I312" s="34"/>
      <c r="J312" s="34"/>
      <c r="K312" s="34"/>
      <c r="L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AA312" s="34"/>
      <c r="AB312" s="34"/>
      <c r="AC312" s="34"/>
      <c r="AD312" s="34"/>
      <c r="AE312" s="34"/>
      <c r="AF312" s="34"/>
      <c r="AG312" s="34"/>
      <c r="AH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I312" s="34"/>
      <c r="BJ312" s="34"/>
      <c r="BK312" s="34"/>
      <c r="BL312" s="34"/>
      <c r="BM312" s="34"/>
      <c r="BN312" s="34"/>
      <c r="BO312" s="34"/>
      <c r="BP312" s="34"/>
      <c r="BY312" s="34"/>
      <c r="BZ312" s="34"/>
      <c r="CA312" s="34"/>
      <c r="CB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</row>
    <row r="313" ht="15.75" customHeight="1">
      <c r="B313" s="34"/>
      <c r="E313" s="34"/>
      <c r="F313" s="34"/>
      <c r="G313" s="34"/>
      <c r="H313" s="34"/>
      <c r="I313" s="34"/>
      <c r="J313" s="34"/>
      <c r="K313" s="34"/>
      <c r="L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AA313" s="34"/>
      <c r="AB313" s="34"/>
      <c r="AC313" s="34"/>
      <c r="AD313" s="34"/>
      <c r="AE313" s="34"/>
      <c r="AF313" s="34"/>
      <c r="AG313" s="34"/>
      <c r="AH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I313" s="34"/>
      <c r="BJ313" s="34"/>
      <c r="BK313" s="34"/>
      <c r="BL313" s="34"/>
      <c r="BM313" s="34"/>
      <c r="BN313" s="34"/>
      <c r="BO313" s="34"/>
      <c r="BP313" s="34"/>
      <c r="BY313" s="34"/>
      <c r="BZ313" s="34"/>
      <c r="CA313" s="34"/>
      <c r="CB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</row>
    <row r="314" ht="15.75" customHeight="1">
      <c r="B314" s="34"/>
      <c r="E314" s="34"/>
      <c r="F314" s="34"/>
      <c r="G314" s="34"/>
      <c r="H314" s="34"/>
      <c r="I314" s="34"/>
      <c r="J314" s="34"/>
      <c r="K314" s="34"/>
      <c r="L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AA314" s="34"/>
      <c r="AB314" s="34"/>
      <c r="AC314" s="34"/>
      <c r="AD314" s="34"/>
      <c r="AE314" s="34"/>
      <c r="AF314" s="34"/>
      <c r="AG314" s="34"/>
      <c r="AH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I314" s="34"/>
      <c r="BJ314" s="34"/>
      <c r="BK314" s="34"/>
      <c r="BL314" s="34"/>
      <c r="BM314" s="34"/>
      <c r="BN314" s="34"/>
      <c r="BO314" s="34"/>
      <c r="BP314" s="34"/>
      <c r="BY314" s="34"/>
      <c r="BZ314" s="34"/>
      <c r="CA314" s="34"/>
      <c r="CB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</row>
    <row r="315" ht="15.75" customHeight="1">
      <c r="B315" s="34"/>
      <c r="E315" s="34"/>
      <c r="F315" s="34"/>
      <c r="G315" s="34"/>
      <c r="H315" s="34"/>
      <c r="I315" s="34"/>
      <c r="J315" s="34"/>
      <c r="K315" s="34"/>
      <c r="L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AA315" s="34"/>
      <c r="AB315" s="34"/>
      <c r="AC315" s="34"/>
      <c r="AD315" s="34"/>
      <c r="AE315" s="34"/>
      <c r="AF315" s="34"/>
      <c r="AG315" s="34"/>
      <c r="AH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I315" s="34"/>
      <c r="BJ315" s="34"/>
      <c r="BK315" s="34"/>
      <c r="BL315" s="34"/>
      <c r="BM315" s="34"/>
      <c r="BN315" s="34"/>
      <c r="BO315" s="34"/>
      <c r="BP315" s="34"/>
      <c r="BY315" s="34"/>
      <c r="BZ315" s="34"/>
      <c r="CA315" s="34"/>
      <c r="CB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</row>
    <row r="316" ht="15.75" customHeight="1">
      <c r="B316" s="34"/>
      <c r="E316" s="34"/>
      <c r="F316" s="34"/>
      <c r="G316" s="34"/>
      <c r="H316" s="34"/>
      <c r="I316" s="34"/>
      <c r="J316" s="34"/>
      <c r="K316" s="34"/>
      <c r="L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AA316" s="34"/>
      <c r="AB316" s="34"/>
      <c r="AC316" s="34"/>
      <c r="AD316" s="34"/>
      <c r="AE316" s="34"/>
      <c r="AF316" s="34"/>
      <c r="AG316" s="34"/>
      <c r="AH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I316" s="34"/>
      <c r="BJ316" s="34"/>
      <c r="BK316" s="34"/>
      <c r="BL316" s="34"/>
      <c r="BM316" s="34"/>
      <c r="BN316" s="34"/>
      <c r="BO316" s="34"/>
      <c r="BP316" s="34"/>
      <c r="BY316" s="34"/>
      <c r="BZ316" s="34"/>
      <c r="CA316" s="34"/>
      <c r="CB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</row>
    <row r="317" ht="15.75" customHeight="1">
      <c r="B317" s="34"/>
      <c r="E317" s="34"/>
      <c r="F317" s="34"/>
      <c r="G317" s="34"/>
      <c r="H317" s="34"/>
      <c r="I317" s="34"/>
      <c r="J317" s="34"/>
      <c r="K317" s="34"/>
      <c r="L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AA317" s="34"/>
      <c r="AB317" s="34"/>
      <c r="AC317" s="34"/>
      <c r="AD317" s="34"/>
      <c r="AE317" s="34"/>
      <c r="AF317" s="34"/>
      <c r="AG317" s="34"/>
      <c r="AH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I317" s="34"/>
      <c r="BJ317" s="34"/>
      <c r="BK317" s="34"/>
      <c r="BL317" s="34"/>
      <c r="BM317" s="34"/>
      <c r="BN317" s="34"/>
      <c r="BO317" s="34"/>
      <c r="BP317" s="34"/>
      <c r="BY317" s="34"/>
      <c r="BZ317" s="34"/>
      <c r="CA317" s="34"/>
      <c r="CB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</row>
    <row r="318" ht="15.75" customHeight="1">
      <c r="B318" s="34"/>
      <c r="E318" s="34"/>
      <c r="F318" s="34"/>
      <c r="G318" s="34"/>
      <c r="H318" s="34"/>
      <c r="I318" s="34"/>
      <c r="J318" s="34"/>
      <c r="K318" s="34"/>
      <c r="L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AA318" s="34"/>
      <c r="AB318" s="34"/>
      <c r="AC318" s="34"/>
      <c r="AD318" s="34"/>
      <c r="AE318" s="34"/>
      <c r="AF318" s="34"/>
      <c r="AG318" s="34"/>
      <c r="AH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I318" s="34"/>
      <c r="BJ318" s="34"/>
      <c r="BK318" s="34"/>
      <c r="BL318" s="34"/>
      <c r="BM318" s="34"/>
      <c r="BN318" s="34"/>
      <c r="BO318" s="34"/>
      <c r="BP318" s="34"/>
      <c r="BY318" s="34"/>
      <c r="BZ318" s="34"/>
      <c r="CA318" s="34"/>
      <c r="CB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</row>
    <row r="319" ht="15.75" customHeight="1">
      <c r="B319" s="34"/>
      <c r="E319" s="34"/>
      <c r="F319" s="34"/>
      <c r="G319" s="34"/>
      <c r="H319" s="34"/>
      <c r="I319" s="34"/>
      <c r="J319" s="34"/>
      <c r="K319" s="34"/>
      <c r="L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AA319" s="34"/>
      <c r="AB319" s="34"/>
      <c r="AC319" s="34"/>
      <c r="AD319" s="34"/>
      <c r="AE319" s="34"/>
      <c r="AF319" s="34"/>
      <c r="AG319" s="34"/>
      <c r="AH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I319" s="34"/>
      <c r="BJ319" s="34"/>
      <c r="BK319" s="34"/>
      <c r="BL319" s="34"/>
      <c r="BM319" s="34"/>
      <c r="BN319" s="34"/>
      <c r="BO319" s="34"/>
      <c r="BP319" s="34"/>
      <c r="BY319" s="34"/>
      <c r="BZ319" s="34"/>
      <c r="CA319" s="34"/>
      <c r="CB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</row>
    <row r="320" ht="15.75" customHeight="1">
      <c r="B320" s="34"/>
      <c r="E320" s="34"/>
      <c r="F320" s="34"/>
      <c r="G320" s="34"/>
      <c r="H320" s="34"/>
      <c r="I320" s="34"/>
      <c r="J320" s="34"/>
      <c r="K320" s="34"/>
      <c r="L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AA320" s="34"/>
      <c r="AB320" s="34"/>
      <c r="AC320" s="34"/>
      <c r="AD320" s="34"/>
      <c r="AE320" s="34"/>
      <c r="AF320" s="34"/>
      <c r="AG320" s="34"/>
      <c r="AH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I320" s="34"/>
      <c r="BJ320" s="34"/>
      <c r="BK320" s="34"/>
      <c r="BL320" s="34"/>
      <c r="BM320" s="34"/>
      <c r="BN320" s="34"/>
      <c r="BO320" s="34"/>
      <c r="BP320" s="34"/>
      <c r="BY320" s="34"/>
      <c r="BZ320" s="34"/>
      <c r="CA320" s="34"/>
      <c r="CB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</row>
    <row r="321" ht="15.75" customHeight="1">
      <c r="B321" s="34"/>
      <c r="E321" s="34"/>
      <c r="F321" s="34"/>
      <c r="G321" s="34"/>
      <c r="H321" s="34"/>
      <c r="I321" s="34"/>
      <c r="J321" s="34"/>
      <c r="K321" s="34"/>
      <c r="L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AA321" s="34"/>
      <c r="AB321" s="34"/>
      <c r="AC321" s="34"/>
      <c r="AD321" s="34"/>
      <c r="AE321" s="34"/>
      <c r="AF321" s="34"/>
      <c r="AG321" s="34"/>
      <c r="AH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I321" s="34"/>
      <c r="BJ321" s="34"/>
      <c r="BK321" s="34"/>
      <c r="BL321" s="34"/>
      <c r="BM321" s="34"/>
      <c r="BN321" s="34"/>
      <c r="BO321" s="34"/>
      <c r="BP321" s="34"/>
      <c r="BY321" s="34"/>
      <c r="BZ321" s="34"/>
      <c r="CA321" s="34"/>
      <c r="CB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</row>
    <row r="322" ht="15.75" customHeight="1">
      <c r="B322" s="34"/>
      <c r="E322" s="34"/>
      <c r="F322" s="34"/>
      <c r="G322" s="34"/>
      <c r="H322" s="34"/>
      <c r="I322" s="34"/>
      <c r="J322" s="34"/>
      <c r="K322" s="34"/>
      <c r="L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AA322" s="34"/>
      <c r="AB322" s="34"/>
      <c r="AC322" s="34"/>
      <c r="AD322" s="34"/>
      <c r="AE322" s="34"/>
      <c r="AF322" s="34"/>
      <c r="AG322" s="34"/>
      <c r="AH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I322" s="34"/>
      <c r="BJ322" s="34"/>
      <c r="BK322" s="34"/>
      <c r="BL322" s="34"/>
      <c r="BM322" s="34"/>
      <c r="BN322" s="34"/>
      <c r="BO322" s="34"/>
      <c r="BP322" s="34"/>
      <c r="BY322" s="34"/>
      <c r="BZ322" s="34"/>
      <c r="CA322" s="34"/>
      <c r="CB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</row>
    <row r="323" ht="15.75" customHeight="1">
      <c r="B323" s="34"/>
      <c r="E323" s="34"/>
      <c r="F323" s="34"/>
      <c r="G323" s="34"/>
      <c r="H323" s="34"/>
      <c r="I323" s="34"/>
      <c r="J323" s="34"/>
      <c r="K323" s="34"/>
      <c r="L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AA323" s="34"/>
      <c r="AB323" s="34"/>
      <c r="AC323" s="34"/>
      <c r="AD323" s="34"/>
      <c r="AE323" s="34"/>
      <c r="AF323" s="34"/>
      <c r="AG323" s="34"/>
      <c r="AH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I323" s="34"/>
      <c r="BJ323" s="34"/>
      <c r="BK323" s="34"/>
      <c r="BL323" s="34"/>
      <c r="BM323" s="34"/>
      <c r="BN323" s="34"/>
      <c r="BO323" s="34"/>
      <c r="BP323" s="34"/>
      <c r="BY323" s="34"/>
      <c r="BZ323" s="34"/>
      <c r="CA323" s="34"/>
      <c r="CB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</row>
    <row r="324" ht="15.75" customHeight="1">
      <c r="B324" s="34"/>
      <c r="E324" s="34"/>
      <c r="F324" s="34"/>
      <c r="G324" s="34"/>
      <c r="H324" s="34"/>
      <c r="I324" s="34"/>
      <c r="J324" s="34"/>
      <c r="K324" s="34"/>
      <c r="L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AA324" s="34"/>
      <c r="AB324" s="34"/>
      <c r="AC324" s="34"/>
      <c r="AD324" s="34"/>
      <c r="AE324" s="34"/>
      <c r="AF324" s="34"/>
      <c r="AG324" s="34"/>
      <c r="AH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I324" s="34"/>
      <c r="BJ324" s="34"/>
      <c r="BK324" s="34"/>
      <c r="BL324" s="34"/>
      <c r="BM324" s="34"/>
      <c r="BN324" s="34"/>
      <c r="BO324" s="34"/>
      <c r="BP324" s="34"/>
      <c r="BY324" s="34"/>
      <c r="BZ324" s="34"/>
      <c r="CA324" s="34"/>
      <c r="CB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</row>
    <row r="325" ht="15.75" customHeight="1">
      <c r="B325" s="34"/>
      <c r="E325" s="34"/>
      <c r="F325" s="34"/>
      <c r="G325" s="34"/>
      <c r="H325" s="34"/>
      <c r="I325" s="34"/>
      <c r="J325" s="34"/>
      <c r="K325" s="34"/>
      <c r="L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AA325" s="34"/>
      <c r="AB325" s="34"/>
      <c r="AC325" s="34"/>
      <c r="AD325" s="34"/>
      <c r="AE325" s="34"/>
      <c r="AF325" s="34"/>
      <c r="AG325" s="34"/>
      <c r="AH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I325" s="34"/>
      <c r="BJ325" s="34"/>
      <c r="BK325" s="34"/>
      <c r="BL325" s="34"/>
      <c r="BM325" s="34"/>
      <c r="BN325" s="34"/>
      <c r="BO325" s="34"/>
      <c r="BP325" s="34"/>
      <c r="BY325" s="34"/>
      <c r="BZ325" s="34"/>
      <c r="CA325" s="34"/>
      <c r="CB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</row>
    <row r="326" ht="15.75" customHeight="1">
      <c r="B326" s="34"/>
      <c r="E326" s="34"/>
      <c r="F326" s="34"/>
      <c r="G326" s="34"/>
      <c r="H326" s="34"/>
      <c r="I326" s="34"/>
      <c r="J326" s="34"/>
      <c r="K326" s="34"/>
      <c r="L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AA326" s="34"/>
      <c r="AB326" s="34"/>
      <c r="AC326" s="34"/>
      <c r="AD326" s="34"/>
      <c r="AE326" s="34"/>
      <c r="AF326" s="34"/>
      <c r="AG326" s="34"/>
      <c r="AH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I326" s="34"/>
      <c r="BJ326" s="34"/>
      <c r="BK326" s="34"/>
      <c r="BL326" s="34"/>
      <c r="BM326" s="34"/>
      <c r="BN326" s="34"/>
      <c r="BO326" s="34"/>
      <c r="BP326" s="34"/>
      <c r="BY326" s="34"/>
      <c r="BZ326" s="34"/>
      <c r="CA326" s="34"/>
      <c r="CB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</row>
    <row r="327" ht="15.75" customHeight="1">
      <c r="B327" s="34"/>
      <c r="E327" s="34"/>
      <c r="F327" s="34"/>
      <c r="G327" s="34"/>
      <c r="H327" s="34"/>
      <c r="I327" s="34"/>
      <c r="J327" s="34"/>
      <c r="K327" s="34"/>
      <c r="L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AA327" s="34"/>
      <c r="AB327" s="34"/>
      <c r="AC327" s="34"/>
      <c r="AD327" s="34"/>
      <c r="AE327" s="34"/>
      <c r="AF327" s="34"/>
      <c r="AG327" s="34"/>
      <c r="AH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I327" s="34"/>
      <c r="BJ327" s="34"/>
      <c r="BK327" s="34"/>
      <c r="BL327" s="34"/>
      <c r="BM327" s="34"/>
      <c r="BN327" s="34"/>
      <c r="BO327" s="34"/>
      <c r="BP327" s="34"/>
      <c r="BY327" s="34"/>
      <c r="BZ327" s="34"/>
      <c r="CA327" s="34"/>
      <c r="CB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</row>
    <row r="328" ht="15.75" customHeight="1">
      <c r="B328" s="34"/>
      <c r="E328" s="34"/>
      <c r="F328" s="34"/>
      <c r="G328" s="34"/>
      <c r="H328" s="34"/>
      <c r="I328" s="34"/>
      <c r="J328" s="34"/>
      <c r="K328" s="34"/>
      <c r="L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AA328" s="34"/>
      <c r="AB328" s="34"/>
      <c r="AC328" s="34"/>
      <c r="AD328" s="34"/>
      <c r="AE328" s="34"/>
      <c r="AF328" s="34"/>
      <c r="AG328" s="34"/>
      <c r="AH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I328" s="34"/>
      <c r="BJ328" s="34"/>
      <c r="BK328" s="34"/>
      <c r="BL328" s="34"/>
      <c r="BM328" s="34"/>
      <c r="BN328" s="34"/>
      <c r="BO328" s="34"/>
      <c r="BP328" s="34"/>
      <c r="BY328" s="34"/>
      <c r="BZ328" s="34"/>
      <c r="CA328" s="34"/>
      <c r="CB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</row>
    <row r="329" ht="15.75" customHeight="1">
      <c r="B329" s="34"/>
      <c r="E329" s="34"/>
      <c r="F329" s="34"/>
      <c r="G329" s="34"/>
      <c r="H329" s="34"/>
      <c r="I329" s="34"/>
      <c r="J329" s="34"/>
      <c r="K329" s="34"/>
      <c r="L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AA329" s="34"/>
      <c r="AB329" s="34"/>
      <c r="AC329" s="34"/>
      <c r="AD329" s="34"/>
      <c r="AE329" s="34"/>
      <c r="AF329" s="34"/>
      <c r="AG329" s="34"/>
      <c r="AH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I329" s="34"/>
      <c r="BJ329" s="34"/>
      <c r="BK329" s="34"/>
      <c r="BL329" s="34"/>
      <c r="BM329" s="34"/>
      <c r="BN329" s="34"/>
      <c r="BO329" s="34"/>
      <c r="BP329" s="34"/>
      <c r="BY329" s="34"/>
      <c r="BZ329" s="34"/>
      <c r="CA329" s="34"/>
      <c r="CB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</row>
    <row r="330" ht="15.75" customHeight="1">
      <c r="B330" s="34"/>
      <c r="E330" s="34"/>
      <c r="F330" s="34"/>
      <c r="G330" s="34"/>
      <c r="H330" s="34"/>
      <c r="I330" s="34"/>
      <c r="J330" s="34"/>
      <c r="K330" s="34"/>
      <c r="L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AA330" s="34"/>
      <c r="AB330" s="34"/>
      <c r="AC330" s="34"/>
      <c r="AD330" s="34"/>
      <c r="AE330" s="34"/>
      <c r="AF330" s="34"/>
      <c r="AG330" s="34"/>
      <c r="AH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I330" s="34"/>
      <c r="BJ330" s="34"/>
      <c r="BK330" s="34"/>
      <c r="BL330" s="34"/>
      <c r="BM330" s="34"/>
      <c r="BN330" s="34"/>
      <c r="BO330" s="34"/>
      <c r="BP330" s="34"/>
      <c r="BY330" s="34"/>
      <c r="BZ330" s="34"/>
      <c r="CA330" s="34"/>
      <c r="CB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</row>
    <row r="331" ht="15.75" customHeight="1">
      <c r="B331" s="34"/>
      <c r="E331" s="34"/>
      <c r="F331" s="34"/>
      <c r="G331" s="34"/>
      <c r="H331" s="34"/>
      <c r="I331" s="34"/>
      <c r="J331" s="34"/>
      <c r="K331" s="34"/>
      <c r="L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AA331" s="34"/>
      <c r="AB331" s="34"/>
      <c r="AC331" s="34"/>
      <c r="AD331" s="34"/>
      <c r="AE331" s="34"/>
      <c r="AF331" s="34"/>
      <c r="AG331" s="34"/>
      <c r="AH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I331" s="34"/>
      <c r="BJ331" s="34"/>
      <c r="BK331" s="34"/>
      <c r="BL331" s="34"/>
      <c r="BM331" s="34"/>
      <c r="BN331" s="34"/>
      <c r="BO331" s="34"/>
      <c r="BP331" s="34"/>
      <c r="BY331" s="34"/>
      <c r="BZ331" s="34"/>
      <c r="CA331" s="34"/>
      <c r="CB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</row>
    <row r="332" ht="15.75" customHeight="1">
      <c r="B332" s="34"/>
      <c r="E332" s="34"/>
      <c r="F332" s="34"/>
      <c r="G332" s="34"/>
      <c r="H332" s="34"/>
      <c r="I332" s="34"/>
      <c r="J332" s="34"/>
      <c r="K332" s="34"/>
      <c r="L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AA332" s="34"/>
      <c r="AB332" s="34"/>
      <c r="AC332" s="34"/>
      <c r="AD332" s="34"/>
      <c r="AE332" s="34"/>
      <c r="AF332" s="34"/>
      <c r="AG332" s="34"/>
      <c r="AH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I332" s="34"/>
      <c r="BJ332" s="34"/>
      <c r="BK332" s="34"/>
      <c r="BL332" s="34"/>
      <c r="BM332" s="34"/>
      <c r="BN332" s="34"/>
      <c r="BO332" s="34"/>
      <c r="BP332" s="34"/>
      <c r="BY332" s="34"/>
      <c r="BZ332" s="34"/>
      <c r="CA332" s="34"/>
      <c r="CB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</row>
    <row r="333" ht="15.75" customHeight="1">
      <c r="B333" s="34"/>
      <c r="E333" s="34"/>
      <c r="F333" s="34"/>
      <c r="G333" s="34"/>
      <c r="H333" s="34"/>
      <c r="I333" s="34"/>
      <c r="J333" s="34"/>
      <c r="K333" s="34"/>
      <c r="L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AA333" s="34"/>
      <c r="AB333" s="34"/>
      <c r="AC333" s="34"/>
      <c r="AD333" s="34"/>
      <c r="AE333" s="34"/>
      <c r="AF333" s="34"/>
      <c r="AG333" s="34"/>
      <c r="AH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I333" s="34"/>
      <c r="BJ333" s="34"/>
      <c r="BK333" s="34"/>
      <c r="BL333" s="34"/>
      <c r="BM333" s="34"/>
      <c r="BN333" s="34"/>
      <c r="BO333" s="34"/>
      <c r="BP333" s="34"/>
      <c r="BY333" s="34"/>
      <c r="BZ333" s="34"/>
      <c r="CA333" s="34"/>
      <c r="CB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</row>
    <row r="334" ht="15.75" customHeight="1">
      <c r="B334" s="34"/>
      <c r="E334" s="34"/>
      <c r="F334" s="34"/>
      <c r="G334" s="34"/>
      <c r="H334" s="34"/>
      <c r="I334" s="34"/>
      <c r="J334" s="34"/>
      <c r="K334" s="34"/>
      <c r="L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AA334" s="34"/>
      <c r="AB334" s="34"/>
      <c r="AC334" s="34"/>
      <c r="AD334" s="34"/>
      <c r="AE334" s="34"/>
      <c r="AF334" s="34"/>
      <c r="AG334" s="34"/>
      <c r="AH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I334" s="34"/>
      <c r="BJ334" s="34"/>
      <c r="BK334" s="34"/>
      <c r="BL334" s="34"/>
      <c r="BM334" s="34"/>
      <c r="BN334" s="34"/>
      <c r="BO334" s="34"/>
      <c r="BP334" s="34"/>
      <c r="BY334" s="34"/>
      <c r="BZ334" s="34"/>
      <c r="CA334" s="34"/>
      <c r="CB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</row>
    <row r="335" ht="15.75" customHeight="1">
      <c r="B335" s="34"/>
      <c r="E335" s="34"/>
      <c r="F335" s="34"/>
      <c r="G335" s="34"/>
      <c r="H335" s="34"/>
      <c r="I335" s="34"/>
      <c r="J335" s="34"/>
      <c r="K335" s="34"/>
      <c r="L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AA335" s="34"/>
      <c r="AB335" s="34"/>
      <c r="AC335" s="34"/>
      <c r="AD335" s="34"/>
      <c r="AE335" s="34"/>
      <c r="AF335" s="34"/>
      <c r="AG335" s="34"/>
      <c r="AH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I335" s="34"/>
      <c r="BJ335" s="34"/>
      <c r="BK335" s="34"/>
      <c r="BL335" s="34"/>
      <c r="BM335" s="34"/>
      <c r="BN335" s="34"/>
      <c r="BO335" s="34"/>
      <c r="BP335" s="34"/>
      <c r="BY335" s="34"/>
      <c r="BZ335" s="34"/>
      <c r="CA335" s="34"/>
      <c r="CB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</row>
    <row r="336" ht="15.75" customHeight="1">
      <c r="B336" s="34"/>
      <c r="E336" s="34"/>
      <c r="F336" s="34"/>
      <c r="G336" s="34"/>
      <c r="H336" s="34"/>
      <c r="I336" s="34"/>
      <c r="J336" s="34"/>
      <c r="K336" s="34"/>
      <c r="L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AA336" s="34"/>
      <c r="AB336" s="34"/>
      <c r="AC336" s="34"/>
      <c r="AD336" s="34"/>
      <c r="AE336" s="34"/>
      <c r="AF336" s="34"/>
      <c r="AG336" s="34"/>
      <c r="AH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I336" s="34"/>
      <c r="BJ336" s="34"/>
      <c r="BK336" s="34"/>
      <c r="BL336" s="34"/>
      <c r="BM336" s="34"/>
      <c r="BN336" s="34"/>
      <c r="BO336" s="34"/>
      <c r="BP336" s="34"/>
      <c r="BY336" s="34"/>
      <c r="BZ336" s="34"/>
      <c r="CA336" s="34"/>
      <c r="CB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</row>
    <row r="337" ht="15.75" customHeight="1">
      <c r="B337" s="34"/>
      <c r="E337" s="34"/>
      <c r="F337" s="34"/>
      <c r="G337" s="34"/>
      <c r="H337" s="34"/>
      <c r="I337" s="34"/>
      <c r="J337" s="34"/>
      <c r="K337" s="34"/>
      <c r="L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AA337" s="34"/>
      <c r="AB337" s="34"/>
      <c r="AC337" s="34"/>
      <c r="AD337" s="34"/>
      <c r="AE337" s="34"/>
      <c r="AF337" s="34"/>
      <c r="AG337" s="34"/>
      <c r="AH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I337" s="34"/>
      <c r="BJ337" s="34"/>
      <c r="BK337" s="34"/>
      <c r="BL337" s="34"/>
      <c r="BM337" s="34"/>
      <c r="BN337" s="34"/>
      <c r="BO337" s="34"/>
      <c r="BP337" s="34"/>
      <c r="BY337" s="34"/>
      <c r="BZ337" s="34"/>
      <c r="CA337" s="34"/>
      <c r="CB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</row>
    <row r="338" ht="15.75" customHeight="1">
      <c r="B338" s="34"/>
      <c r="E338" s="34"/>
      <c r="F338" s="34"/>
      <c r="G338" s="34"/>
      <c r="H338" s="34"/>
      <c r="I338" s="34"/>
      <c r="J338" s="34"/>
      <c r="K338" s="34"/>
      <c r="L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AA338" s="34"/>
      <c r="AB338" s="34"/>
      <c r="AC338" s="34"/>
      <c r="AD338" s="34"/>
      <c r="AE338" s="34"/>
      <c r="AF338" s="34"/>
      <c r="AG338" s="34"/>
      <c r="AH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I338" s="34"/>
      <c r="BJ338" s="34"/>
      <c r="BK338" s="34"/>
      <c r="BL338" s="34"/>
      <c r="BM338" s="34"/>
      <c r="BN338" s="34"/>
      <c r="BO338" s="34"/>
      <c r="BP338" s="34"/>
      <c r="BY338" s="34"/>
      <c r="BZ338" s="34"/>
      <c r="CA338" s="34"/>
      <c r="CB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</row>
    <row r="339" ht="15.75" customHeight="1">
      <c r="B339" s="34"/>
      <c r="E339" s="34"/>
      <c r="F339" s="34"/>
      <c r="G339" s="34"/>
      <c r="H339" s="34"/>
      <c r="I339" s="34"/>
      <c r="J339" s="34"/>
      <c r="K339" s="34"/>
      <c r="L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AA339" s="34"/>
      <c r="AB339" s="34"/>
      <c r="AC339" s="34"/>
      <c r="AD339" s="34"/>
      <c r="AE339" s="34"/>
      <c r="AF339" s="34"/>
      <c r="AG339" s="34"/>
      <c r="AH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I339" s="34"/>
      <c r="BJ339" s="34"/>
      <c r="BK339" s="34"/>
      <c r="BL339" s="34"/>
      <c r="BM339" s="34"/>
      <c r="BN339" s="34"/>
      <c r="BO339" s="34"/>
      <c r="BP339" s="34"/>
      <c r="BY339" s="34"/>
      <c r="BZ339" s="34"/>
      <c r="CA339" s="34"/>
      <c r="CB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</row>
    <row r="340" ht="15.75" customHeight="1">
      <c r="B340" s="34"/>
      <c r="E340" s="34"/>
      <c r="F340" s="34"/>
      <c r="G340" s="34"/>
      <c r="H340" s="34"/>
      <c r="I340" s="34"/>
      <c r="J340" s="34"/>
      <c r="K340" s="34"/>
      <c r="L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AA340" s="34"/>
      <c r="AB340" s="34"/>
      <c r="AC340" s="34"/>
      <c r="AD340" s="34"/>
      <c r="AE340" s="34"/>
      <c r="AF340" s="34"/>
      <c r="AG340" s="34"/>
      <c r="AH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I340" s="34"/>
      <c r="BJ340" s="34"/>
      <c r="BK340" s="34"/>
      <c r="BL340" s="34"/>
      <c r="BM340" s="34"/>
      <c r="BN340" s="34"/>
      <c r="BO340" s="34"/>
      <c r="BP340" s="34"/>
      <c r="BY340" s="34"/>
      <c r="BZ340" s="34"/>
      <c r="CA340" s="34"/>
      <c r="CB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</row>
    <row r="341" ht="15.75" customHeight="1">
      <c r="B341" s="34"/>
      <c r="E341" s="34"/>
      <c r="F341" s="34"/>
      <c r="G341" s="34"/>
      <c r="H341" s="34"/>
      <c r="I341" s="34"/>
      <c r="J341" s="34"/>
      <c r="K341" s="34"/>
      <c r="L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AA341" s="34"/>
      <c r="AB341" s="34"/>
      <c r="AC341" s="34"/>
      <c r="AD341" s="34"/>
      <c r="AE341" s="34"/>
      <c r="AF341" s="34"/>
      <c r="AG341" s="34"/>
      <c r="AH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I341" s="34"/>
      <c r="BJ341" s="34"/>
      <c r="BK341" s="34"/>
      <c r="BL341" s="34"/>
      <c r="BM341" s="34"/>
      <c r="BN341" s="34"/>
      <c r="BO341" s="34"/>
      <c r="BP341" s="34"/>
      <c r="BY341" s="34"/>
      <c r="BZ341" s="34"/>
      <c r="CA341" s="34"/>
      <c r="CB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</row>
    <row r="342" ht="15.75" customHeight="1">
      <c r="B342" s="34"/>
      <c r="E342" s="34"/>
      <c r="F342" s="34"/>
      <c r="G342" s="34"/>
      <c r="H342" s="34"/>
      <c r="I342" s="34"/>
      <c r="J342" s="34"/>
      <c r="K342" s="34"/>
      <c r="L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AA342" s="34"/>
      <c r="AB342" s="34"/>
      <c r="AC342" s="34"/>
      <c r="AD342" s="34"/>
      <c r="AE342" s="34"/>
      <c r="AF342" s="34"/>
      <c r="AG342" s="34"/>
      <c r="AH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I342" s="34"/>
      <c r="BJ342" s="34"/>
      <c r="BK342" s="34"/>
      <c r="BL342" s="34"/>
      <c r="BM342" s="34"/>
      <c r="BN342" s="34"/>
      <c r="BO342" s="34"/>
      <c r="BP342" s="34"/>
      <c r="BY342" s="34"/>
      <c r="BZ342" s="34"/>
      <c r="CA342" s="34"/>
      <c r="CB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</row>
    <row r="343" ht="15.75" customHeight="1">
      <c r="B343" s="34"/>
      <c r="E343" s="34"/>
      <c r="F343" s="34"/>
      <c r="G343" s="34"/>
      <c r="H343" s="34"/>
      <c r="I343" s="34"/>
      <c r="J343" s="34"/>
      <c r="K343" s="34"/>
      <c r="L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AA343" s="34"/>
      <c r="AB343" s="34"/>
      <c r="AC343" s="34"/>
      <c r="AD343" s="34"/>
      <c r="AE343" s="34"/>
      <c r="AF343" s="34"/>
      <c r="AG343" s="34"/>
      <c r="AH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I343" s="34"/>
      <c r="BJ343" s="34"/>
      <c r="BK343" s="34"/>
      <c r="BL343" s="34"/>
      <c r="BM343" s="34"/>
      <c r="BN343" s="34"/>
      <c r="BO343" s="34"/>
      <c r="BP343" s="34"/>
      <c r="BY343" s="34"/>
      <c r="BZ343" s="34"/>
      <c r="CA343" s="34"/>
      <c r="CB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</row>
    <row r="344" ht="15.75" customHeight="1">
      <c r="B344" s="34"/>
      <c r="E344" s="34"/>
      <c r="F344" s="34"/>
      <c r="G344" s="34"/>
      <c r="H344" s="34"/>
      <c r="I344" s="34"/>
      <c r="J344" s="34"/>
      <c r="K344" s="34"/>
      <c r="L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AA344" s="34"/>
      <c r="AB344" s="34"/>
      <c r="AC344" s="34"/>
      <c r="AD344" s="34"/>
      <c r="AE344" s="34"/>
      <c r="AF344" s="34"/>
      <c r="AG344" s="34"/>
      <c r="AH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I344" s="34"/>
      <c r="BJ344" s="34"/>
      <c r="BK344" s="34"/>
      <c r="BL344" s="34"/>
      <c r="BM344" s="34"/>
      <c r="BN344" s="34"/>
      <c r="BO344" s="34"/>
      <c r="BP344" s="34"/>
      <c r="BY344" s="34"/>
      <c r="BZ344" s="34"/>
      <c r="CA344" s="34"/>
      <c r="CB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</row>
    <row r="345" ht="15.75" customHeight="1">
      <c r="B345" s="34"/>
      <c r="E345" s="34"/>
      <c r="F345" s="34"/>
      <c r="G345" s="34"/>
      <c r="H345" s="34"/>
      <c r="I345" s="34"/>
      <c r="J345" s="34"/>
      <c r="K345" s="34"/>
      <c r="L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AA345" s="34"/>
      <c r="AB345" s="34"/>
      <c r="AC345" s="34"/>
      <c r="AD345" s="34"/>
      <c r="AE345" s="34"/>
      <c r="AF345" s="34"/>
      <c r="AG345" s="34"/>
      <c r="AH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I345" s="34"/>
      <c r="BJ345" s="34"/>
      <c r="BK345" s="34"/>
      <c r="BL345" s="34"/>
      <c r="BM345" s="34"/>
      <c r="BN345" s="34"/>
      <c r="BO345" s="34"/>
      <c r="BP345" s="34"/>
      <c r="BY345" s="34"/>
      <c r="BZ345" s="34"/>
      <c r="CA345" s="34"/>
      <c r="CB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</row>
    <row r="346" ht="15.75" customHeight="1">
      <c r="B346" s="34"/>
      <c r="E346" s="34"/>
      <c r="F346" s="34"/>
      <c r="G346" s="34"/>
      <c r="H346" s="34"/>
      <c r="I346" s="34"/>
      <c r="J346" s="34"/>
      <c r="K346" s="34"/>
      <c r="L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AA346" s="34"/>
      <c r="AB346" s="34"/>
      <c r="AC346" s="34"/>
      <c r="AD346" s="34"/>
      <c r="AE346" s="34"/>
      <c r="AF346" s="34"/>
      <c r="AG346" s="34"/>
      <c r="AH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I346" s="34"/>
      <c r="BJ346" s="34"/>
      <c r="BK346" s="34"/>
      <c r="BL346" s="34"/>
      <c r="BM346" s="34"/>
      <c r="BN346" s="34"/>
      <c r="BO346" s="34"/>
      <c r="BP346" s="34"/>
      <c r="BY346" s="34"/>
      <c r="BZ346" s="34"/>
      <c r="CA346" s="34"/>
      <c r="CB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</row>
    <row r="347" ht="15.75" customHeight="1">
      <c r="B347" s="34"/>
      <c r="E347" s="34"/>
      <c r="F347" s="34"/>
      <c r="G347" s="34"/>
      <c r="H347" s="34"/>
      <c r="I347" s="34"/>
      <c r="J347" s="34"/>
      <c r="K347" s="34"/>
      <c r="L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AA347" s="34"/>
      <c r="AB347" s="34"/>
      <c r="AC347" s="34"/>
      <c r="AD347" s="34"/>
      <c r="AE347" s="34"/>
      <c r="AF347" s="34"/>
      <c r="AG347" s="34"/>
      <c r="AH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I347" s="34"/>
      <c r="BJ347" s="34"/>
      <c r="BK347" s="34"/>
      <c r="BL347" s="34"/>
      <c r="BM347" s="34"/>
      <c r="BN347" s="34"/>
      <c r="BO347" s="34"/>
      <c r="BP347" s="34"/>
      <c r="BY347" s="34"/>
      <c r="BZ347" s="34"/>
      <c r="CA347" s="34"/>
      <c r="CB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</row>
    <row r="348" ht="15.75" customHeight="1">
      <c r="B348" s="34"/>
      <c r="E348" s="34"/>
      <c r="F348" s="34"/>
      <c r="G348" s="34"/>
      <c r="H348" s="34"/>
      <c r="I348" s="34"/>
      <c r="J348" s="34"/>
      <c r="K348" s="34"/>
      <c r="L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AA348" s="34"/>
      <c r="AB348" s="34"/>
      <c r="AC348" s="34"/>
      <c r="AD348" s="34"/>
      <c r="AE348" s="34"/>
      <c r="AF348" s="34"/>
      <c r="AG348" s="34"/>
      <c r="AH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I348" s="34"/>
      <c r="BJ348" s="34"/>
      <c r="BK348" s="34"/>
      <c r="BL348" s="34"/>
      <c r="BM348" s="34"/>
      <c r="BN348" s="34"/>
      <c r="BO348" s="34"/>
      <c r="BP348" s="34"/>
      <c r="BY348" s="34"/>
      <c r="BZ348" s="34"/>
      <c r="CA348" s="34"/>
      <c r="CB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</row>
    <row r="349" ht="15.75" customHeight="1">
      <c r="B349" s="34"/>
      <c r="E349" s="34"/>
      <c r="F349" s="34"/>
      <c r="G349" s="34"/>
      <c r="H349" s="34"/>
      <c r="I349" s="34"/>
      <c r="J349" s="34"/>
      <c r="K349" s="34"/>
      <c r="L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AA349" s="34"/>
      <c r="AB349" s="34"/>
      <c r="AC349" s="34"/>
      <c r="AD349" s="34"/>
      <c r="AE349" s="34"/>
      <c r="AF349" s="34"/>
      <c r="AG349" s="34"/>
      <c r="AH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I349" s="34"/>
      <c r="BJ349" s="34"/>
      <c r="BK349" s="34"/>
      <c r="BL349" s="34"/>
      <c r="BM349" s="34"/>
      <c r="BN349" s="34"/>
      <c r="BO349" s="34"/>
      <c r="BP349" s="34"/>
      <c r="BY349" s="34"/>
      <c r="BZ349" s="34"/>
      <c r="CA349" s="34"/>
      <c r="CB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</row>
    <row r="350" ht="15.75" customHeight="1">
      <c r="B350" s="34"/>
      <c r="E350" s="34"/>
      <c r="F350" s="34"/>
      <c r="G350" s="34"/>
      <c r="H350" s="34"/>
      <c r="I350" s="34"/>
      <c r="J350" s="34"/>
      <c r="K350" s="34"/>
      <c r="L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AA350" s="34"/>
      <c r="AB350" s="34"/>
      <c r="AC350" s="34"/>
      <c r="AD350" s="34"/>
      <c r="AE350" s="34"/>
      <c r="AF350" s="34"/>
      <c r="AG350" s="34"/>
      <c r="AH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I350" s="34"/>
      <c r="BJ350" s="34"/>
      <c r="BK350" s="34"/>
      <c r="BL350" s="34"/>
      <c r="BM350" s="34"/>
      <c r="BN350" s="34"/>
      <c r="BO350" s="34"/>
      <c r="BP350" s="34"/>
      <c r="BY350" s="34"/>
      <c r="BZ350" s="34"/>
      <c r="CA350" s="34"/>
      <c r="CB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</row>
    <row r="351" ht="15.75" customHeight="1">
      <c r="B351" s="34"/>
      <c r="E351" s="34"/>
      <c r="F351" s="34"/>
      <c r="G351" s="34"/>
      <c r="H351" s="34"/>
      <c r="I351" s="34"/>
      <c r="J351" s="34"/>
      <c r="K351" s="34"/>
      <c r="L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AA351" s="34"/>
      <c r="AB351" s="34"/>
      <c r="AC351" s="34"/>
      <c r="AD351" s="34"/>
      <c r="AE351" s="34"/>
      <c r="AF351" s="34"/>
      <c r="AG351" s="34"/>
      <c r="AH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I351" s="34"/>
      <c r="BJ351" s="34"/>
      <c r="BK351" s="34"/>
      <c r="BL351" s="34"/>
      <c r="BM351" s="34"/>
      <c r="BN351" s="34"/>
      <c r="BO351" s="34"/>
      <c r="BP351" s="34"/>
      <c r="BY351" s="34"/>
      <c r="BZ351" s="34"/>
      <c r="CA351" s="34"/>
      <c r="CB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</row>
    <row r="352" ht="15.75" customHeight="1">
      <c r="B352" s="34"/>
      <c r="E352" s="34"/>
      <c r="F352" s="34"/>
      <c r="G352" s="34"/>
      <c r="H352" s="34"/>
      <c r="I352" s="34"/>
      <c r="J352" s="34"/>
      <c r="K352" s="34"/>
      <c r="L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AA352" s="34"/>
      <c r="AB352" s="34"/>
      <c r="AC352" s="34"/>
      <c r="AD352" s="34"/>
      <c r="AE352" s="34"/>
      <c r="AF352" s="34"/>
      <c r="AG352" s="34"/>
      <c r="AH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I352" s="34"/>
      <c r="BJ352" s="34"/>
      <c r="BK352" s="34"/>
      <c r="BL352" s="34"/>
      <c r="BM352" s="34"/>
      <c r="BN352" s="34"/>
      <c r="BO352" s="34"/>
      <c r="BP352" s="34"/>
      <c r="BY352" s="34"/>
      <c r="BZ352" s="34"/>
      <c r="CA352" s="34"/>
      <c r="CB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</row>
    <row r="353" ht="15.75" customHeight="1">
      <c r="B353" s="34"/>
      <c r="E353" s="34"/>
      <c r="F353" s="34"/>
      <c r="G353" s="34"/>
      <c r="H353" s="34"/>
      <c r="I353" s="34"/>
      <c r="J353" s="34"/>
      <c r="K353" s="34"/>
      <c r="L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AA353" s="34"/>
      <c r="AB353" s="34"/>
      <c r="AC353" s="34"/>
      <c r="AD353" s="34"/>
      <c r="AE353" s="34"/>
      <c r="AF353" s="34"/>
      <c r="AG353" s="34"/>
      <c r="AH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I353" s="34"/>
      <c r="BJ353" s="34"/>
      <c r="BK353" s="34"/>
      <c r="BL353" s="34"/>
      <c r="BM353" s="34"/>
      <c r="BN353" s="34"/>
      <c r="BO353" s="34"/>
      <c r="BP353" s="34"/>
      <c r="BY353" s="34"/>
      <c r="BZ353" s="34"/>
      <c r="CA353" s="34"/>
      <c r="CB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</row>
    <row r="354" ht="15.75" customHeight="1">
      <c r="B354" s="34"/>
      <c r="E354" s="34"/>
      <c r="F354" s="34"/>
      <c r="G354" s="34"/>
      <c r="H354" s="34"/>
      <c r="I354" s="34"/>
      <c r="J354" s="34"/>
      <c r="K354" s="34"/>
      <c r="L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AA354" s="34"/>
      <c r="AB354" s="34"/>
      <c r="AC354" s="34"/>
      <c r="AD354" s="34"/>
      <c r="AE354" s="34"/>
      <c r="AF354" s="34"/>
      <c r="AG354" s="34"/>
      <c r="AH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I354" s="34"/>
      <c r="BJ354" s="34"/>
      <c r="BK354" s="34"/>
      <c r="BL354" s="34"/>
      <c r="BM354" s="34"/>
      <c r="BN354" s="34"/>
      <c r="BO354" s="34"/>
      <c r="BP354" s="34"/>
      <c r="BY354" s="34"/>
      <c r="BZ354" s="34"/>
      <c r="CA354" s="34"/>
      <c r="CB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</row>
    <row r="355" ht="15.75" customHeight="1">
      <c r="B355" s="34"/>
      <c r="E355" s="34"/>
      <c r="F355" s="34"/>
      <c r="G355" s="34"/>
      <c r="H355" s="34"/>
      <c r="I355" s="34"/>
      <c r="J355" s="34"/>
      <c r="K355" s="34"/>
      <c r="L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AA355" s="34"/>
      <c r="AB355" s="34"/>
      <c r="AC355" s="34"/>
      <c r="AD355" s="34"/>
      <c r="AE355" s="34"/>
      <c r="AF355" s="34"/>
      <c r="AG355" s="34"/>
      <c r="AH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I355" s="34"/>
      <c r="BJ355" s="34"/>
      <c r="BK355" s="34"/>
      <c r="BL355" s="34"/>
      <c r="BM355" s="34"/>
      <c r="BN355" s="34"/>
      <c r="BO355" s="34"/>
      <c r="BP355" s="34"/>
      <c r="BY355" s="34"/>
      <c r="BZ355" s="34"/>
      <c r="CA355" s="34"/>
      <c r="CB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</row>
    <row r="356" ht="15.75" customHeight="1">
      <c r="B356" s="34"/>
      <c r="E356" s="34"/>
      <c r="F356" s="34"/>
      <c r="G356" s="34"/>
      <c r="H356" s="34"/>
      <c r="I356" s="34"/>
      <c r="J356" s="34"/>
      <c r="K356" s="34"/>
      <c r="L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AA356" s="34"/>
      <c r="AB356" s="34"/>
      <c r="AC356" s="34"/>
      <c r="AD356" s="34"/>
      <c r="AE356" s="34"/>
      <c r="AF356" s="34"/>
      <c r="AG356" s="34"/>
      <c r="AH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I356" s="34"/>
      <c r="BJ356" s="34"/>
      <c r="BK356" s="34"/>
      <c r="BL356" s="34"/>
      <c r="BM356" s="34"/>
      <c r="BN356" s="34"/>
      <c r="BO356" s="34"/>
      <c r="BP356" s="34"/>
      <c r="BY356" s="34"/>
      <c r="BZ356" s="34"/>
      <c r="CA356" s="34"/>
      <c r="CB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</row>
    <row r="357" ht="15.75" customHeight="1">
      <c r="B357" s="34"/>
      <c r="E357" s="34"/>
      <c r="F357" s="34"/>
      <c r="G357" s="34"/>
      <c r="H357" s="34"/>
      <c r="I357" s="34"/>
      <c r="J357" s="34"/>
      <c r="K357" s="34"/>
      <c r="L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AA357" s="34"/>
      <c r="AB357" s="34"/>
      <c r="AC357" s="34"/>
      <c r="AD357" s="34"/>
      <c r="AE357" s="34"/>
      <c r="AF357" s="34"/>
      <c r="AG357" s="34"/>
      <c r="AH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I357" s="34"/>
      <c r="BJ357" s="34"/>
      <c r="BK357" s="34"/>
      <c r="BL357" s="34"/>
      <c r="BM357" s="34"/>
      <c r="BN357" s="34"/>
      <c r="BO357" s="34"/>
      <c r="BP357" s="34"/>
      <c r="BY357" s="34"/>
      <c r="BZ357" s="34"/>
      <c r="CA357" s="34"/>
      <c r="CB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</row>
    <row r="358" ht="15.75" customHeight="1">
      <c r="B358" s="34"/>
      <c r="E358" s="34"/>
      <c r="F358" s="34"/>
      <c r="G358" s="34"/>
      <c r="H358" s="34"/>
      <c r="I358" s="34"/>
      <c r="J358" s="34"/>
      <c r="K358" s="34"/>
      <c r="L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AA358" s="34"/>
      <c r="AB358" s="34"/>
      <c r="AC358" s="34"/>
      <c r="AD358" s="34"/>
      <c r="AE358" s="34"/>
      <c r="AF358" s="34"/>
      <c r="AG358" s="34"/>
      <c r="AH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I358" s="34"/>
      <c r="BJ358" s="34"/>
      <c r="BK358" s="34"/>
      <c r="BL358" s="34"/>
      <c r="BM358" s="34"/>
      <c r="BN358" s="34"/>
      <c r="BO358" s="34"/>
      <c r="BP358" s="34"/>
      <c r="BY358" s="34"/>
      <c r="BZ358" s="34"/>
      <c r="CA358" s="34"/>
      <c r="CB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</row>
    <row r="359" ht="15.75" customHeight="1">
      <c r="B359" s="34"/>
      <c r="E359" s="34"/>
      <c r="F359" s="34"/>
      <c r="G359" s="34"/>
      <c r="H359" s="34"/>
      <c r="I359" s="34"/>
      <c r="J359" s="34"/>
      <c r="K359" s="34"/>
      <c r="L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AA359" s="34"/>
      <c r="AB359" s="34"/>
      <c r="AC359" s="34"/>
      <c r="AD359" s="34"/>
      <c r="AE359" s="34"/>
      <c r="AF359" s="34"/>
      <c r="AG359" s="34"/>
      <c r="AH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I359" s="34"/>
      <c r="BJ359" s="34"/>
      <c r="BK359" s="34"/>
      <c r="BL359" s="34"/>
      <c r="BM359" s="34"/>
      <c r="BN359" s="34"/>
      <c r="BO359" s="34"/>
      <c r="BP359" s="34"/>
      <c r="BY359" s="34"/>
      <c r="BZ359" s="34"/>
      <c r="CA359" s="34"/>
      <c r="CB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</row>
    <row r="360" ht="15.75" customHeight="1">
      <c r="B360" s="34"/>
      <c r="E360" s="34"/>
      <c r="F360" s="34"/>
      <c r="G360" s="34"/>
      <c r="H360" s="34"/>
      <c r="I360" s="34"/>
      <c r="J360" s="34"/>
      <c r="K360" s="34"/>
      <c r="L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AA360" s="34"/>
      <c r="AB360" s="34"/>
      <c r="AC360" s="34"/>
      <c r="AD360" s="34"/>
      <c r="AE360" s="34"/>
      <c r="AF360" s="34"/>
      <c r="AG360" s="34"/>
      <c r="AH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I360" s="34"/>
      <c r="BJ360" s="34"/>
      <c r="BK360" s="34"/>
      <c r="BL360" s="34"/>
      <c r="BM360" s="34"/>
      <c r="BN360" s="34"/>
      <c r="BO360" s="34"/>
      <c r="BP360" s="34"/>
      <c r="BY360" s="34"/>
      <c r="BZ360" s="34"/>
      <c r="CA360" s="34"/>
      <c r="CB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</row>
    <row r="361" ht="15.75" customHeight="1">
      <c r="B361" s="34"/>
      <c r="E361" s="34"/>
      <c r="F361" s="34"/>
      <c r="G361" s="34"/>
      <c r="H361" s="34"/>
      <c r="I361" s="34"/>
      <c r="J361" s="34"/>
      <c r="K361" s="34"/>
      <c r="L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AA361" s="34"/>
      <c r="AB361" s="34"/>
      <c r="AC361" s="34"/>
      <c r="AD361" s="34"/>
      <c r="AE361" s="34"/>
      <c r="AF361" s="34"/>
      <c r="AG361" s="34"/>
      <c r="AH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I361" s="34"/>
      <c r="BJ361" s="34"/>
      <c r="BK361" s="34"/>
      <c r="BL361" s="34"/>
      <c r="BM361" s="34"/>
      <c r="BN361" s="34"/>
      <c r="BO361" s="34"/>
      <c r="BP361" s="34"/>
      <c r="BY361" s="34"/>
      <c r="BZ361" s="34"/>
      <c r="CA361" s="34"/>
      <c r="CB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</row>
    <row r="362" ht="15.75" customHeight="1">
      <c r="B362" s="34"/>
      <c r="E362" s="34"/>
      <c r="F362" s="34"/>
      <c r="G362" s="34"/>
      <c r="H362" s="34"/>
      <c r="I362" s="34"/>
      <c r="J362" s="34"/>
      <c r="K362" s="34"/>
      <c r="L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AA362" s="34"/>
      <c r="AB362" s="34"/>
      <c r="AC362" s="34"/>
      <c r="AD362" s="34"/>
      <c r="AE362" s="34"/>
      <c r="AF362" s="34"/>
      <c r="AG362" s="34"/>
      <c r="AH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I362" s="34"/>
      <c r="BJ362" s="34"/>
      <c r="BK362" s="34"/>
      <c r="BL362" s="34"/>
      <c r="BM362" s="34"/>
      <c r="BN362" s="34"/>
      <c r="BO362" s="34"/>
      <c r="BP362" s="34"/>
      <c r="BY362" s="34"/>
      <c r="BZ362" s="34"/>
      <c r="CA362" s="34"/>
      <c r="CB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</row>
    <row r="363" ht="15.75" customHeight="1">
      <c r="B363" s="34"/>
      <c r="E363" s="34"/>
      <c r="F363" s="34"/>
      <c r="G363" s="34"/>
      <c r="H363" s="34"/>
      <c r="I363" s="34"/>
      <c r="J363" s="34"/>
      <c r="K363" s="34"/>
      <c r="L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AA363" s="34"/>
      <c r="AB363" s="34"/>
      <c r="AC363" s="34"/>
      <c r="AD363" s="34"/>
      <c r="AE363" s="34"/>
      <c r="AF363" s="34"/>
      <c r="AG363" s="34"/>
      <c r="AH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I363" s="34"/>
      <c r="BJ363" s="34"/>
      <c r="BK363" s="34"/>
      <c r="BL363" s="34"/>
      <c r="BM363" s="34"/>
      <c r="BN363" s="34"/>
      <c r="BO363" s="34"/>
      <c r="BP363" s="34"/>
      <c r="BY363" s="34"/>
      <c r="BZ363" s="34"/>
      <c r="CA363" s="34"/>
      <c r="CB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</row>
    <row r="364" ht="15.75" customHeight="1">
      <c r="B364" s="34"/>
      <c r="E364" s="34"/>
      <c r="F364" s="34"/>
      <c r="G364" s="34"/>
      <c r="H364" s="34"/>
      <c r="I364" s="34"/>
      <c r="J364" s="34"/>
      <c r="K364" s="34"/>
      <c r="L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AA364" s="34"/>
      <c r="AB364" s="34"/>
      <c r="AC364" s="34"/>
      <c r="AD364" s="34"/>
      <c r="AE364" s="34"/>
      <c r="AF364" s="34"/>
      <c r="AG364" s="34"/>
      <c r="AH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I364" s="34"/>
      <c r="BJ364" s="34"/>
      <c r="BK364" s="34"/>
      <c r="BL364" s="34"/>
      <c r="BM364" s="34"/>
      <c r="BN364" s="34"/>
      <c r="BO364" s="34"/>
      <c r="BP364" s="34"/>
      <c r="BY364" s="34"/>
      <c r="BZ364" s="34"/>
      <c r="CA364" s="34"/>
      <c r="CB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</row>
    <row r="365" ht="15.75" customHeight="1">
      <c r="B365" s="34"/>
      <c r="E365" s="34"/>
      <c r="F365" s="34"/>
      <c r="G365" s="34"/>
      <c r="H365" s="34"/>
      <c r="I365" s="34"/>
      <c r="J365" s="34"/>
      <c r="K365" s="34"/>
      <c r="L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AA365" s="34"/>
      <c r="AB365" s="34"/>
      <c r="AC365" s="34"/>
      <c r="AD365" s="34"/>
      <c r="AE365" s="34"/>
      <c r="AF365" s="34"/>
      <c r="AG365" s="34"/>
      <c r="AH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I365" s="34"/>
      <c r="BJ365" s="34"/>
      <c r="BK365" s="34"/>
      <c r="BL365" s="34"/>
      <c r="BM365" s="34"/>
      <c r="BN365" s="34"/>
      <c r="BO365" s="34"/>
      <c r="BP365" s="34"/>
      <c r="BY365" s="34"/>
      <c r="BZ365" s="34"/>
      <c r="CA365" s="34"/>
      <c r="CB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</row>
    <row r="366" ht="15.75" customHeight="1">
      <c r="B366" s="34"/>
      <c r="E366" s="34"/>
      <c r="F366" s="34"/>
      <c r="G366" s="34"/>
      <c r="H366" s="34"/>
      <c r="I366" s="34"/>
      <c r="J366" s="34"/>
      <c r="K366" s="34"/>
      <c r="L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AA366" s="34"/>
      <c r="AB366" s="34"/>
      <c r="AC366" s="34"/>
      <c r="AD366" s="34"/>
      <c r="AE366" s="34"/>
      <c r="AF366" s="34"/>
      <c r="AG366" s="34"/>
      <c r="AH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I366" s="34"/>
      <c r="BJ366" s="34"/>
      <c r="BK366" s="34"/>
      <c r="BL366" s="34"/>
      <c r="BM366" s="34"/>
      <c r="BN366" s="34"/>
      <c r="BO366" s="34"/>
      <c r="BP366" s="34"/>
      <c r="BY366" s="34"/>
      <c r="BZ366" s="34"/>
      <c r="CA366" s="34"/>
      <c r="CB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</row>
    <row r="367" ht="15.75" customHeight="1">
      <c r="B367" s="34"/>
      <c r="E367" s="34"/>
      <c r="F367" s="34"/>
      <c r="G367" s="34"/>
      <c r="H367" s="34"/>
      <c r="I367" s="34"/>
      <c r="J367" s="34"/>
      <c r="K367" s="34"/>
      <c r="L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AA367" s="34"/>
      <c r="AB367" s="34"/>
      <c r="AC367" s="34"/>
      <c r="AD367" s="34"/>
      <c r="AE367" s="34"/>
      <c r="AF367" s="34"/>
      <c r="AG367" s="34"/>
      <c r="AH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I367" s="34"/>
      <c r="BJ367" s="34"/>
      <c r="BK367" s="34"/>
      <c r="BL367" s="34"/>
      <c r="BM367" s="34"/>
      <c r="BN367" s="34"/>
      <c r="BO367" s="34"/>
      <c r="BP367" s="34"/>
      <c r="BY367" s="34"/>
      <c r="BZ367" s="34"/>
      <c r="CA367" s="34"/>
      <c r="CB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</row>
    <row r="368" ht="15.75" customHeight="1">
      <c r="B368" s="34"/>
      <c r="E368" s="34"/>
      <c r="F368" s="34"/>
      <c r="G368" s="34"/>
      <c r="H368" s="34"/>
      <c r="I368" s="34"/>
      <c r="J368" s="34"/>
      <c r="K368" s="34"/>
      <c r="L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AA368" s="34"/>
      <c r="AB368" s="34"/>
      <c r="AC368" s="34"/>
      <c r="AD368" s="34"/>
      <c r="AE368" s="34"/>
      <c r="AF368" s="34"/>
      <c r="AG368" s="34"/>
      <c r="AH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I368" s="34"/>
      <c r="BJ368" s="34"/>
      <c r="BK368" s="34"/>
      <c r="BL368" s="34"/>
      <c r="BM368" s="34"/>
      <c r="BN368" s="34"/>
      <c r="BO368" s="34"/>
      <c r="BP368" s="34"/>
      <c r="BY368" s="34"/>
      <c r="BZ368" s="34"/>
      <c r="CA368" s="34"/>
      <c r="CB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</row>
    <row r="369" ht="15.75" customHeight="1">
      <c r="B369" s="34"/>
      <c r="E369" s="34"/>
      <c r="F369" s="34"/>
      <c r="G369" s="34"/>
      <c r="H369" s="34"/>
      <c r="I369" s="34"/>
      <c r="J369" s="34"/>
      <c r="K369" s="34"/>
      <c r="L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AA369" s="34"/>
      <c r="AB369" s="34"/>
      <c r="AC369" s="34"/>
      <c r="AD369" s="34"/>
      <c r="AE369" s="34"/>
      <c r="AF369" s="34"/>
      <c r="AG369" s="34"/>
      <c r="AH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I369" s="34"/>
      <c r="BJ369" s="34"/>
      <c r="BK369" s="34"/>
      <c r="BL369" s="34"/>
      <c r="BM369" s="34"/>
      <c r="BN369" s="34"/>
      <c r="BO369" s="34"/>
      <c r="BP369" s="34"/>
      <c r="BY369" s="34"/>
      <c r="BZ369" s="34"/>
      <c r="CA369" s="34"/>
      <c r="CB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</row>
    <row r="370" ht="15.75" customHeight="1">
      <c r="B370" s="34"/>
      <c r="E370" s="34"/>
      <c r="F370" s="34"/>
      <c r="G370" s="34"/>
      <c r="H370" s="34"/>
      <c r="I370" s="34"/>
      <c r="J370" s="34"/>
      <c r="K370" s="34"/>
      <c r="L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AA370" s="34"/>
      <c r="AB370" s="34"/>
      <c r="AC370" s="34"/>
      <c r="AD370" s="34"/>
      <c r="AE370" s="34"/>
      <c r="AF370" s="34"/>
      <c r="AG370" s="34"/>
      <c r="AH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I370" s="34"/>
      <c r="BJ370" s="34"/>
      <c r="BK370" s="34"/>
      <c r="BL370" s="34"/>
      <c r="BM370" s="34"/>
      <c r="BN370" s="34"/>
      <c r="BO370" s="34"/>
      <c r="BP370" s="34"/>
      <c r="BY370" s="34"/>
      <c r="BZ370" s="34"/>
      <c r="CA370" s="34"/>
      <c r="CB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</row>
    <row r="371" ht="15.75" customHeight="1">
      <c r="B371" s="34"/>
      <c r="E371" s="34"/>
      <c r="F371" s="34"/>
      <c r="G371" s="34"/>
      <c r="H371" s="34"/>
      <c r="I371" s="34"/>
      <c r="J371" s="34"/>
      <c r="K371" s="34"/>
      <c r="L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AA371" s="34"/>
      <c r="AB371" s="34"/>
      <c r="AC371" s="34"/>
      <c r="AD371" s="34"/>
      <c r="AE371" s="34"/>
      <c r="AF371" s="34"/>
      <c r="AG371" s="34"/>
      <c r="AH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I371" s="34"/>
      <c r="BJ371" s="34"/>
      <c r="BK371" s="34"/>
      <c r="BL371" s="34"/>
      <c r="BM371" s="34"/>
      <c r="BN371" s="34"/>
      <c r="BO371" s="34"/>
      <c r="BP371" s="34"/>
      <c r="BY371" s="34"/>
      <c r="BZ371" s="34"/>
      <c r="CA371" s="34"/>
      <c r="CB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</row>
    <row r="372" ht="15.75" customHeight="1">
      <c r="B372" s="34"/>
      <c r="E372" s="34"/>
      <c r="F372" s="34"/>
      <c r="G372" s="34"/>
      <c r="H372" s="34"/>
      <c r="I372" s="34"/>
      <c r="J372" s="34"/>
      <c r="K372" s="34"/>
      <c r="L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AA372" s="34"/>
      <c r="AB372" s="34"/>
      <c r="AC372" s="34"/>
      <c r="AD372" s="34"/>
      <c r="AE372" s="34"/>
      <c r="AF372" s="34"/>
      <c r="AG372" s="34"/>
      <c r="AH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I372" s="34"/>
      <c r="BJ372" s="34"/>
      <c r="BK372" s="34"/>
      <c r="BL372" s="34"/>
      <c r="BM372" s="34"/>
      <c r="BN372" s="34"/>
      <c r="BO372" s="34"/>
      <c r="BP372" s="34"/>
      <c r="BY372" s="34"/>
      <c r="BZ372" s="34"/>
      <c r="CA372" s="34"/>
      <c r="CB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</row>
    <row r="373" ht="15.75" customHeight="1">
      <c r="B373" s="34"/>
      <c r="E373" s="34"/>
      <c r="F373" s="34"/>
      <c r="G373" s="34"/>
      <c r="H373" s="34"/>
      <c r="I373" s="34"/>
      <c r="J373" s="34"/>
      <c r="K373" s="34"/>
      <c r="L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AA373" s="34"/>
      <c r="AB373" s="34"/>
      <c r="AC373" s="34"/>
      <c r="AD373" s="34"/>
      <c r="AE373" s="34"/>
      <c r="AF373" s="34"/>
      <c r="AG373" s="34"/>
      <c r="AH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I373" s="34"/>
      <c r="BJ373" s="34"/>
      <c r="BK373" s="34"/>
      <c r="BL373" s="34"/>
      <c r="BM373" s="34"/>
      <c r="BN373" s="34"/>
      <c r="BO373" s="34"/>
      <c r="BP373" s="34"/>
      <c r="BY373" s="34"/>
      <c r="BZ373" s="34"/>
      <c r="CA373" s="34"/>
      <c r="CB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</row>
    <row r="374" ht="15.75" customHeight="1">
      <c r="B374" s="34"/>
      <c r="E374" s="34"/>
      <c r="F374" s="34"/>
      <c r="G374" s="34"/>
      <c r="H374" s="34"/>
      <c r="I374" s="34"/>
      <c r="J374" s="34"/>
      <c r="K374" s="34"/>
      <c r="L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AA374" s="34"/>
      <c r="AB374" s="34"/>
      <c r="AC374" s="34"/>
      <c r="AD374" s="34"/>
      <c r="AE374" s="34"/>
      <c r="AF374" s="34"/>
      <c r="AG374" s="34"/>
      <c r="AH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I374" s="34"/>
      <c r="BJ374" s="34"/>
      <c r="BK374" s="34"/>
      <c r="BL374" s="34"/>
      <c r="BM374" s="34"/>
      <c r="BN374" s="34"/>
      <c r="BO374" s="34"/>
      <c r="BP374" s="34"/>
      <c r="BY374" s="34"/>
      <c r="BZ374" s="34"/>
      <c r="CA374" s="34"/>
      <c r="CB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</row>
    <row r="375" ht="15.75" customHeight="1">
      <c r="B375" s="34"/>
      <c r="E375" s="34"/>
      <c r="F375" s="34"/>
      <c r="G375" s="34"/>
      <c r="H375" s="34"/>
      <c r="I375" s="34"/>
      <c r="J375" s="34"/>
      <c r="K375" s="34"/>
      <c r="L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AA375" s="34"/>
      <c r="AB375" s="34"/>
      <c r="AC375" s="34"/>
      <c r="AD375" s="34"/>
      <c r="AE375" s="34"/>
      <c r="AF375" s="34"/>
      <c r="AG375" s="34"/>
      <c r="AH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I375" s="34"/>
      <c r="BJ375" s="34"/>
      <c r="BK375" s="34"/>
      <c r="BL375" s="34"/>
      <c r="BM375" s="34"/>
      <c r="BN375" s="34"/>
      <c r="BO375" s="34"/>
      <c r="BP375" s="34"/>
      <c r="BY375" s="34"/>
      <c r="BZ375" s="34"/>
      <c r="CA375" s="34"/>
      <c r="CB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</row>
    <row r="376" ht="15.75" customHeight="1">
      <c r="B376" s="34"/>
      <c r="E376" s="34"/>
      <c r="F376" s="34"/>
      <c r="G376" s="34"/>
      <c r="H376" s="34"/>
      <c r="I376" s="34"/>
      <c r="J376" s="34"/>
      <c r="K376" s="34"/>
      <c r="L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AA376" s="34"/>
      <c r="AB376" s="34"/>
      <c r="AC376" s="34"/>
      <c r="AD376" s="34"/>
      <c r="AE376" s="34"/>
      <c r="AF376" s="34"/>
      <c r="AG376" s="34"/>
      <c r="AH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I376" s="34"/>
      <c r="BJ376" s="34"/>
      <c r="BK376" s="34"/>
      <c r="BL376" s="34"/>
      <c r="BM376" s="34"/>
      <c r="BN376" s="34"/>
      <c r="BO376" s="34"/>
      <c r="BP376" s="34"/>
      <c r="BY376" s="34"/>
      <c r="BZ376" s="34"/>
      <c r="CA376" s="34"/>
      <c r="CB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</row>
    <row r="377" ht="15.75" customHeight="1">
      <c r="B377" s="34"/>
      <c r="E377" s="34"/>
      <c r="F377" s="34"/>
      <c r="G377" s="34"/>
      <c r="H377" s="34"/>
      <c r="I377" s="34"/>
      <c r="J377" s="34"/>
      <c r="K377" s="34"/>
      <c r="L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AA377" s="34"/>
      <c r="AB377" s="34"/>
      <c r="AC377" s="34"/>
      <c r="AD377" s="34"/>
      <c r="AE377" s="34"/>
      <c r="AF377" s="34"/>
      <c r="AG377" s="34"/>
      <c r="AH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I377" s="34"/>
      <c r="BJ377" s="34"/>
      <c r="BK377" s="34"/>
      <c r="BL377" s="34"/>
      <c r="BM377" s="34"/>
      <c r="BN377" s="34"/>
      <c r="BO377" s="34"/>
      <c r="BP377" s="34"/>
      <c r="BY377" s="34"/>
      <c r="BZ377" s="34"/>
      <c r="CA377" s="34"/>
      <c r="CB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</row>
    <row r="378" ht="15.75" customHeight="1">
      <c r="B378" s="34"/>
      <c r="E378" s="34"/>
      <c r="F378" s="34"/>
      <c r="G378" s="34"/>
      <c r="H378" s="34"/>
      <c r="I378" s="34"/>
      <c r="J378" s="34"/>
      <c r="K378" s="34"/>
      <c r="L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AA378" s="34"/>
      <c r="AB378" s="34"/>
      <c r="AC378" s="34"/>
      <c r="AD378" s="34"/>
      <c r="AE378" s="34"/>
      <c r="AF378" s="34"/>
      <c r="AG378" s="34"/>
      <c r="AH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I378" s="34"/>
      <c r="BJ378" s="34"/>
      <c r="BK378" s="34"/>
      <c r="BL378" s="34"/>
      <c r="BM378" s="34"/>
      <c r="BN378" s="34"/>
      <c r="BO378" s="34"/>
      <c r="BP378" s="34"/>
      <c r="BY378" s="34"/>
      <c r="BZ378" s="34"/>
      <c r="CA378" s="34"/>
      <c r="CB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</row>
    <row r="379" ht="15.75" customHeight="1">
      <c r="B379" s="34"/>
      <c r="E379" s="34"/>
      <c r="F379" s="34"/>
      <c r="G379" s="34"/>
      <c r="H379" s="34"/>
      <c r="I379" s="34"/>
      <c r="J379" s="34"/>
      <c r="K379" s="34"/>
      <c r="L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AA379" s="34"/>
      <c r="AB379" s="34"/>
      <c r="AC379" s="34"/>
      <c r="AD379" s="34"/>
      <c r="AE379" s="34"/>
      <c r="AF379" s="34"/>
      <c r="AG379" s="34"/>
      <c r="AH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I379" s="34"/>
      <c r="BJ379" s="34"/>
      <c r="BK379" s="34"/>
      <c r="BL379" s="34"/>
      <c r="BM379" s="34"/>
      <c r="BN379" s="34"/>
      <c r="BO379" s="34"/>
      <c r="BP379" s="34"/>
      <c r="BY379" s="34"/>
      <c r="BZ379" s="34"/>
      <c r="CA379" s="34"/>
      <c r="CB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</row>
    <row r="380" ht="15.75" customHeight="1">
      <c r="B380" s="34"/>
      <c r="E380" s="34"/>
      <c r="F380" s="34"/>
      <c r="G380" s="34"/>
      <c r="H380" s="34"/>
      <c r="I380" s="34"/>
      <c r="J380" s="34"/>
      <c r="K380" s="34"/>
      <c r="L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AA380" s="34"/>
      <c r="AB380" s="34"/>
      <c r="AC380" s="34"/>
      <c r="AD380" s="34"/>
      <c r="AE380" s="34"/>
      <c r="AF380" s="34"/>
      <c r="AG380" s="34"/>
      <c r="AH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I380" s="34"/>
      <c r="BJ380" s="34"/>
      <c r="BK380" s="34"/>
      <c r="BL380" s="34"/>
      <c r="BM380" s="34"/>
      <c r="BN380" s="34"/>
      <c r="BO380" s="34"/>
      <c r="BP380" s="34"/>
      <c r="BY380" s="34"/>
      <c r="BZ380" s="34"/>
      <c r="CA380" s="34"/>
      <c r="CB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</row>
    <row r="381" ht="15.75" customHeight="1">
      <c r="B381" s="34"/>
      <c r="E381" s="34"/>
      <c r="F381" s="34"/>
      <c r="G381" s="34"/>
      <c r="H381" s="34"/>
      <c r="I381" s="34"/>
      <c r="J381" s="34"/>
      <c r="K381" s="34"/>
      <c r="L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AA381" s="34"/>
      <c r="AB381" s="34"/>
      <c r="AC381" s="34"/>
      <c r="AD381" s="34"/>
      <c r="AE381" s="34"/>
      <c r="AF381" s="34"/>
      <c r="AG381" s="34"/>
      <c r="AH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I381" s="34"/>
      <c r="BJ381" s="34"/>
      <c r="BK381" s="34"/>
      <c r="BL381" s="34"/>
      <c r="BM381" s="34"/>
      <c r="BN381" s="34"/>
      <c r="BO381" s="34"/>
      <c r="BP381" s="34"/>
      <c r="BY381" s="34"/>
      <c r="BZ381" s="34"/>
      <c r="CA381" s="34"/>
      <c r="CB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</row>
    <row r="382" ht="15.75" customHeight="1">
      <c r="B382" s="34"/>
      <c r="E382" s="34"/>
      <c r="F382" s="34"/>
      <c r="G382" s="34"/>
      <c r="H382" s="34"/>
      <c r="I382" s="34"/>
      <c r="J382" s="34"/>
      <c r="K382" s="34"/>
      <c r="L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AA382" s="34"/>
      <c r="AB382" s="34"/>
      <c r="AC382" s="34"/>
      <c r="AD382" s="34"/>
      <c r="AE382" s="34"/>
      <c r="AF382" s="34"/>
      <c r="AG382" s="34"/>
      <c r="AH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I382" s="34"/>
      <c r="BJ382" s="34"/>
      <c r="BK382" s="34"/>
      <c r="BL382" s="34"/>
      <c r="BM382" s="34"/>
      <c r="BN382" s="34"/>
      <c r="BO382" s="34"/>
      <c r="BP382" s="34"/>
      <c r="BY382" s="34"/>
      <c r="BZ382" s="34"/>
      <c r="CA382" s="34"/>
      <c r="CB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</row>
    <row r="383" ht="15.75" customHeight="1">
      <c r="B383" s="34"/>
      <c r="E383" s="34"/>
      <c r="F383" s="34"/>
      <c r="G383" s="34"/>
      <c r="H383" s="34"/>
      <c r="I383" s="34"/>
      <c r="J383" s="34"/>
      <c r="K383" s="34"/>
      <c r="L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AA383" s="34"/>
      <c r="AB383" s="34"/>
      <c r="AC383" s="34"/>
      <c r="AD383" s="34"/>
      <c r="AE383" s="34"/>
      <c r="AF383" s="34"/>
      <c r="AG383" s="34"/>
      <c r="AH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I383" s="34"/>
      <c r="BJ383" s="34"/>
      <c r="BK383" s="34"/>
      <c r="BL383" s="34"/>
      <c r="BM383" s="34"/>
      <c r="BN383" s="34"/>
      <c r="BO383" s="34"/>
      <c r="BP383" s="34"/>
      <c r="BY383" s="34"/>
      <c r="BZ383" s="34"/>
      <c r="CA383" s="34"/>
      <c r="CB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</row>
    <row r="384" ht="15.75" customHeight="1">
      <c r="B384" s="34"/>
      <c r="E384" s="34"/>
      <c r="F384" s="34"/>
      <c r="G384" s="34"/>
      <c r="H384" s="34"/>
      <c r="I384" s="34"/>
      <c r="J384" s="34"/>
      <c r="K384" s="34"/>
      <c r="L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AA384" s="34"/>
      <c r="AB384" s="34"/>
      <c r="AC384" s="34"/>
      <c r="AD384" s="34"/>
      <c r="AE384" s="34"/>
      <c r="AF384" s="34"/>
      <c r="AG384" s="34"/>
      <c r="AH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I384" s="34"/>
      <c r="BJ384" s="34"/>
      <c r="BK384" s="34"/>
      <c r="BL384" s="34"/>
      <c r="BM384" s="34"/>
      <c r="BN384" s="34"/>
      <c r="BO384" s="34"/>
      <c r="BP384" s="34"/>
      <c r="BY384" s="34"/>
      <c r="BZ384" s="34"/>
      <c r="CA384" s="34"/>
      <c r="CB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</row>
    <row r="385" ht="15.75" customHeight="1">
      <c r="B385" s="34"/>
      <c r="E385" s="34"/>
      <c r="F385" s="34"/>
      <c r="G385" s="34"/>
      <c r="H385" s="34"/>
      <c r="I385" s="34"/>
      <c r="J385" s="34"/>
      <c r="K385" s="34"/>
      <c r="L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AA385" s="34"/>
      <c r="AB385" s="34"/>
      <c r="AC385" s="34"/>
      <c r="AD385" s="34"/>
      <c r="AE385" s="34"/>
      <c r="AF385" s="34"/>
      <c r="AG385" s="34"/>
      <c r="AH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I385" s="34"/>
      <c r="BJ385" s="34"/>
      <c r="BK385" s="34"/>
      <c r="BL385" s="34"/>
      <c r="BM385" s="34"/>
      <c r="BN385" s="34"/>
      <c r="BO385" s="34"/>
      <c r="BP385" s="34"/>
      <c r="BY385" s="34"/>
      <c r="BZ385" s="34"/>
      <c r="CA385" s="34"/>
      <c r="CB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</row>
    <row r="386" ht="15.75" customHeight="1">
      <c r="B386" s="34"/>
      <c r="E386" s="34"/>
      <c r="F386" s="34"/>
      <c r="G386" s="34"/>
      <c r="H386" s="34"/>
      <c r="I386" s="34"/>
      <c r="J386" s="34"/>
      <c r="K386" s="34"/>
      <c r="L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AA386" s="34"/>
      <c r="AB386" s="34"/>
      <c r="AC386" s="34"/>
      <c r="AD386" s="34"/>
      <c r="AE386" s="34"/>
      <c r="AF386" s="34"/>
      <c r="AG386" s="34"/>
      <c r="AH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I386" s="34"/>
      <c r="BJ386" s="34"/>
      <c r="BK386" s="34"/>
      <c r="BL386" s="34"/>
      <c r="BM386" s="34"/>
      <c r="BN386" s="34"/>
      <c r="BO386" s="34"/>
      <c r="BP386" s="34"/>
      <c r="BY386" s="34"/>
      <c r="BZ386" s="34"/>
      <c r="CA386" s="34"/>
      <c r="CB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</row>
    <row r="387" ht="15.75" customHeight="1">
      <c r="B387" s="34"/>
      <c r="E387" s="34"/>
      <c r="F387" s="34"/>
      <c r="G387" s="34"/>
      <c r="H387" s="34"/>
      <c r="I387" s="34"/>
      <c r="J387" s="34"/>
      <c r="K387" s="34"/>
      <c r="L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AA387" s="34"/>
      <c r="AB387" s="34"/>
      <c r="AC387" s="34"/>
      <c r="AD387" s="34"/>
      <c r="AE387" s="34"/>
      <c r="AF387" s="34"/>
      <c r="AG387" s="34"/>
      <c r="AH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I387" s="34"/>
      <c r="BJ387" s="34"/>
      <c r="BK387" s="34"/>
      <c r="BL387" s="34"/>
      <c r="BM387" s="34"/>
      <c r="BN387" s="34"/>
      <c r="BO387" s="34"/>
      <c r="BP387" s="34"/>
      <c r="BY387" s="34"/>
      <c r="BZ387" s="34"/>
      <c r="CA387" s="34"/>
      <c r="CB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</row>
    <row r="388" ht="15.75" customHeight="1">
      <c r="B388" s="34"/>
      <c r="E388" s="34"/>
      <c r="F388" s="34"/>
      <c r="G388" s="34"/>
      <c r="H388" s="34"/>
      <c r="I388" s="34"/>
      <c r="J388" s="34"/>
      <c r="K388" s="34"/>
      <c r="L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AA388" s="34"/>
      <c r="AB388" s="34"/>
      <c r="AC388" s="34"/>
      <c r="AD388" s="34"/>
      <c r="AE388" s="34"/>
      <c r="AF388" s="34"/>
      <c r="AG388" s="34"/>
      <c r="AH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I388" s="34"/>
      <c r="BJ388" s="34"/>
      <c r="BK388" s="34"/>
      <c r="BL388" s="34"/>
      <c r="BM388" s="34"/>
      <c r="BN388" s="34"/>
      <c r="BO388" s="34"/>
      <c r="BP388" s="34"/>
      <c r="BY388" s="34"/>
      <c r="BZ388" s="34"/>
      <c r="CA388" s="34"/>
      <c r="CB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</row>
    <row r="389" ht="15.75" customHeight="1">
      <c r="B389" s="34"/>
      <c r="E389" s="34"/>
      <c r="F389" s="34"/>
      <c r="G389" s="34"/>
      <c r="H389" s="34"/>
      <c r="I389" s="34"/>
      <c r="J389" s="34"/>
      <c r="K389" s="34"/>
      <c r="L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AA389" s="34"/>
      <c r="AB389" s="34"/>
      <c r="AC389" s="34"/>
      <c r="AD389" s="34"/>
      <c r="AE389" s="34"/>
      <c r="AF389" s="34"/>
      <c r="AG389" s="34"/>
      <c r="AH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I389" s="34"/>
      <c r="BJ389" s="34"/>
      <c r="BK389" s="34"/>
      <c r="BL389" s="34"/>
      <c r="BM389" s="34"/>
      <c r="BN389" s="34"/>
      <c r="BO389" s="34"/>
      <c r="BP389" s="34"/>
      <c r="BY389" s="34"/>
      <c r="BZ389" s="34"/>
      <c r="CA389" s="34"/>
      <c r="CB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</row>
    <row r="390" ht="15.75" customHeight="1">
      <c r="B390" s="34"/>
      <c r="E390" s="34"/>
      <c r="F390" s="34"/>
      <c r="G390" s="34"/>
      <c r="H390" s="34"/>
      <c r="I390" s="34"/>
      <c r="J390" s="34"/>
      <c r="K390" s="34"/>
      <c r="L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AA390" s="34"/>
      <c r="AB390" s="34"/>
      <c r="AC390" s="34"/>
      <c r="AD390" s="34"/>
      <c r="AE390" s="34"/>
      <c r="AF390" s="34"/>
      <c r="AG390" s="34"/>
      <c r="AH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I390" s="34"/>
      <c r="BJ390" s="34"/>
      <c r="BK390" s="34"/>
      <c r="BL390" s="34"/>
      <c r="BM390" s="34"/>
      <c r="BN390" s="34"/>
      <c r="BO390" s="34"/>
      <c r="BP390" s="34"/>
      <c r="BY390" s="34"/>
      <c r="BZ390" s="34"/>
      <c r="CA390" s="34"/>
      <c r="CB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</row>
    <row r="391" ht="15.75" customHeight="1">
      <c r="B391" s="34"/>
      <c r="E391" s="34"/>
      <c r="F391" s="34"/>
      <c r="G391" s="34"/>
      <c r="H391" s="34"/>
      <c r="I391" s="34"/>
      <c r="J391" s="34"/>
      <c r="K391" s="34"/>
      <c r="L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AA391" s="34"/>
      <c r="AB391" s="34"/>
      <c r="AC391" s="34"/>
      <c r="AD391" s="34"/>
      <c r="AE391" s="34"/>
      <c r="AF391" s="34"/>
      <c r="AG391" s="34"/>
      <c r="AH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I391" s="34"/>
      <c r="BJ391" s="34"/>
      <c r="BK391" s="34"/>
      <c r="BL391" s="34"/>
      <c r="BM391" s="34"/>
      <c r="BN391" s="34"/>
      <c r="BO391" s="34"/>
      <c r="BP391" s="34"/>
      <c r="BY391" s="34"/>
      <c r="BZ391" s="34"/>
      <c r="CA391" s="34"/>
      <c r="CB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</row>
    <row r="392" ht="15.75" customHeight="1">
      <c r="B392" s="34"/>
      <c r="E392" s="34"/>
      <c r="F392" s="34"/>
      <c r="G392" s="34"/>
      <c r="H392" s="34"/>
      <c r="I392" s="34"/>
      <c r="J392" s="34"/>
      <c r="K392" s="34"/>
      <c r="L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AA392" s="34"/>
      <c r="AB392" s="34"/>
      <c r="AC392" s="34"/>
      <c r="AD392" s="34"/>
      <c r="AE392" s="34"/>
      <c r="AF392" s="34"/>
      <c r="AG392" s="34"/>
      <c r="AH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I392" s="34"/>
      <c r="BJ392" s="34"/>
      <c r="BK392" s="34"/>
      <c r="BL392" s="34"/>
      <c r="BM392" s="34"/>
      <c r="BN392" s="34"/>
      <c r="BO392" s="34"/>
      <c r="BP392" s="34"/>
      <c r="BY392" s="34"/>
      <c r="BZ392" s="34"/>
      <c r="CA392" s="34"/>
      <c r="CB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</row>
    <row r="393" ht="15.75" customHeight="1">
      <c r="B393" s="34"/>
      <c r="E393" s="34"/>
      <c r="F393" s="34"/>
      <c r="G393" s="34"/>
      <c r="H393" s="34"/>
      <c r="I393" s="34"/>
      <c r="J393" s="34"/>
      <c r="K393" s="34"/>
      <c r="L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AA393" s="34"/>
      <c r="AB393" s="34"/>
      <c r="AC393" s="34"/>
      <c r="AD393" s="34"/>
      <c r="AE393" s="34"/>
      <c r="AF393" s="34"/>
      <c r="AG393" s="34"/>
      <c r="AH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I393" s="34"/>
      <c r="BJ393" s="34"/>
      <c r="BK393" s="34"/>
      <c r="BL393" s="34"/>
      <c r="BM393" s="34"/>
      <c r="BN393" s="34"/>
      <c r="BO393" s="34"/>
      <c r="BP393" s="34"/>
      <c r="BY393" s="34"/>
      <c r="BZ393" s="34"/>
      <c r="CA393" s="34"/>
      <c r="CB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</row>
    <row r="394" ht="15.75" customHeight="1">
      <c r="B394" s="34"/>
      <c r="E394" s="34"/>
      <c r="F394" s="34"/>
      <c r="G394" s="34"/>
      <c r="H394" s="34"/>
      <c r="I394" s="34"/>
      <c r="J394" s="34"/>
      <c r="K394" s="34"/>
      <c r="L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AA394" s="34"/>
      <c r="AB394" s="34"/>
      <c r="AC394" s="34"/>
      <c r="AD394" s="34"/>
      <c r="AE394" s="34"/>
      <c r="AF394" s="34"/>
      <c r="AG394" s="34"/>
      <c r="AH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I394" s="34"/>
      <c r="BJ394" s="34"/>
      <c r="BK394" s="34"/>
      <c r="BL394" s="34"/>
      <c r="BM394" s="34"/>
      <c r="BN394" s="34"/>
      <c r="BO394" s="34"/>
      <c r="BP394" s="34"/>
      <c r="BY394" s="34"/>
      <c r="BZ394" s="34"/>
      <c r="CA394" s="34"/>
      <c r="CB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</row>
    <row r="395" ht="15.75" customHeight="1">
      <c r="B395" s="34"/>
      <c r="E395" s="34"/>
      <c r="F395" s="34"/>
      <c r="G395" s="34"/>
      <c r="H395" s="34"/>
      <c r="I395" s="34"/>
      <c r="J395" s="34"/>
      <c r="K395" s="34"/>
      <c r="L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AA395" s="34"/>
      <c r="AB395" s="34"/>
      <c r="AC395" s="34"/>
      <c r="AD395" s="34"/>
      <c r="AE395" s="34"/>
      <c r="AF395" s="34"/>
      <c r="AG395" s="34"/>
      <c r="AH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I395" s="34"/>
      <c r="BJ395" s="34"/>
      <c r="BK395" s="34"/>
      <c r="BL395" s="34"/>
      <c r="BM395" s="34"/>
      <c r="BN395" s="34"/>
      <c r="BO395" s="34"/>
      <c r="BP395" s="34"/>
      <c r="BY395" s="34"/>
      <c r="BZ395" s="34"/>
      <c r="CA395" s="34"/>
      <c r="CB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</row>
    <row r="396" ht="15.75" customHeight="1">
      <c r="B396" s="34"/>
      <c r="E396" s="34"/>
      <c r="F396" s="34"/>
      <c r="G396" s="34"/>
      <c r="H396" s="34"/>
      <c r="I396" s="34"/>
      <c r="J396" s="34"/>
      <c r="K396" s="34"/>
      <c r="L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AA396" s="34"/>
      <c r="AB396" s="34"/>
      <c r="AC396" s="34"/>
      <c r="AD396" s="34"/>
      <c r="AE396" s="34"/>
      <c r="AF396" s="34"/>
      <c r="AG396" s="34"/>
      <c r="AH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I396" s="34"/>
      <c r="BJ396" s="34"/>
      <c r="BK396" s="34"/>
      <c r="BL396" s="34"/>
      <c r="BM396" s="34"/>
      <c r="BN396" s="34"/>
      <c r="BO396" s="34"/>
      <c r="BP396" s="34"/>
      <c r="BY396" s="34"/>
      <c r="BZ396" s="34"/>
      <c r="CA396" s="34"/>
      <c r="CB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</row>
    <row r="397" ht="15.75" customHeight="1">
      <c r="B397" s="34"/>
      <c r="E397" s="34"/>
      <c r="F397" s="34"/>
      <c r="G397" s="34"/>
      <c r="H397" s="34"/>
      <c r="I397" s="34"/>
      <c r="J397" s="34"/>
      <c r="K397" s="34"/>
      <c r="L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AA397" s="34"/>
      <c r="AB397" s="34"/>
      <c r="AC397" s="34"/>
      <c r="AD397" s="34"/>
      <c r="AE397" s="34"/>
      <c r="AF397" s="34"/>
      <c r="AG397" s="34"/>
      <c r="AH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I397" s="34"/>
      <c r="BJ397" s="34"/>
      <c r="BK397" s="34"/>
      <c r="BL397" s="34"/>
      <c r="BM397" s="34"/>
      <c r="BN397" s="34"/>
      <c r="BO397" s="34"/>
      <c r="BP397" s="34"/>
      <c r="BY397" s="34"/>
      <c r="BZ397" s="34"/>
      <c r="CA397" s="34"/>
      <c r="CB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</row>
    <row r="398" ht="15.75" customHeight="1">
      <c r="B398" s="34"/>
      <c r="E398" s="34"/>
      <c r="F398" s="34"/>
      <c r="G398" s="34"/>
      <c r="H398" s="34"/>
      <c r="I398" s="34"/>
      <c r="J398" s="34"/>
      <c r="K398" s="34"/>
      <c r="L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AA398" s="34"/>
      <c r="AB398" s="34"/>
      <c r="AC398" s="34"/>
      <c r="AD398" s="34"/>
      <c r="AE398" s="34"/>
      <c r="AF398" s="34"/>
      <c r="AG398" s="34"/>
      <c r="AH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I398" s="34"/>
      <c r="BJ398" s="34"/>
      <c r="BK398" s="34"/>
      <c r="BL398" s="34"/>
      <c r="BM398" s="34"/>
      <c r="BN398" s="34"/>
      <c r="BO398" s="34"/>
      <c r="BP398" s="34"/>
      <c r="BY398" s="34"/>
      <c r="BZ398" s="34"/>
      <c r="CA398" s="34"/>
      <c r="CB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</row>
    <row r="399" ht="15.75" customHeight="1">
      <c r="B399" s="34"/>
      <c r="E399" s="34"/>
      <c r="F399" s="34"/>
      <c r="G399" s="34"/>
      <c r="H399" s="34"/>
      <c r="I399" s="34"/>
      <c r="J399" s="34"/>
      <c r="K399" s="34"/>
      <c r="L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AA399" s="34"/>
      <c r="AB399" s="34"/>
      <c r="AC399" s="34"/>
      <c r="AD399" s="34"/>
      <c r="AE399" s="34"/>
      <c r="AF399" s="34"/>
      <c r="AG399" s="34"/>
      <c r="AH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I399" s="34"/>
      <c r="BJ399" s="34"/>
      <c r="BK399" s="34"/>
      <c r="BL399" s="34"/>
      <c r="BM399" s="34"/>
      <c r="BN399" s="34"/>
      <c r="BO399" s="34"/>
      <c r="BP399" s="34"/>
      <c r="BY399" s="34"/>
      <c r="BZ399" s="34"/>
      <c r="CA399" s="34"/>
      <c r="CB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</row>
    <row r="400" ht="15.75" customHeight="1">
      <c r="B400" s="34"/>
      <c r="E400" s="34"/>
      <c r="F400" s="34"/>
      <c r="G400" s="34"/>
      <c r="H400" s="34"/>
      <c r="I400" s="34"/>
      <c r="J400" s="34"/>
      <c r="K400" s="34"/>
      <c r="L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AA400" s="34"/>
      <c r="AB400" s="34"/>
      <c r="AC400" s="34"/>
      <c r="AD400" s="34"/>
      <c r="AE400" s="34"/>
      <c r="AF400" s="34"/>
      <c r="AG400" s="34"/>
      <c r="AH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I400" s="34"/>
      <c r="BJ400" s="34"/>
      <c r="BK400" s="34"/>
      <c r="BL400" s="34"/>
      <c r="BM400" s="34"/>
      <c r="BN400" s="34"/>
      <c r="BO400" s="34"/>
      <c r="BP400" s="34"/>
      <c r="BY400" s="34"/>
      <c r="BZ400" s="34"/>
      <c r="CA400" s="34"/>
      <c r="CB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</row>
    <row r="401" ht="15.75" customHeight="1">
      <c r="B401" s="34"/>
      <c r="E401" s="34"/>
      <c r="F401" s="34"/>
      <c r="G401" s="34"/>
      <c r="H401" s="34"/>
      <c r="I401" s="34"/>
      <c r="J401" s="34"/>
      <c r="K401" s="34"/>
      <c r="L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AA401" s="34"/>
      <c r="AB401" s="34"/>
      <c r="AC401" s="34"/>
      <c r="AD401" s="34"/>
      <c r="AE401" s="34"/>
      <c r="AF401" s="34"/>
      <c r="AG401" s="34"/>
      <c r="AH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I401" s="34"/>
      <c r="BJ401" s="34"/>
      <c r="BK401" s="34"/>
      <c r="BL401" s="34"/>
      <c r="BM401" s="34"/>
      <c r="BN401" s="34"/>
      <c r="BO401" s="34"/>
      <c r="BP401" s="34"/>
      <c r="BY401" s="34"/>
      <c r="BZ401" s="34"/>
      <c r="CA401" s="34"/>
      <c r="CB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</row>
    <row r="402" ht="15.75" customHeight="1">
      <c r="B402" s="34"/>
      <c r="E402" s="34"/>
      <c r="F402" s="34"/>
      <c r="G402" s="34"/>
      <c r="H402" s="34"/>
      <c r="I402" s="34"/>
      <c r="J402" s="34"/>
      <c r="K402" s="34"/>
      <c r="L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AA402" s="34"/>
      <c r="AB402" s="34"/>
      <c r="AC402" s="34"/>
      <c r="AD402" s="34"/>
      <c r="AE402" s="34"/>
      <c r="AF402" s="34"/>
      <c r="AG402" s="34"/>
      <c r="AH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I402" s="34"/>
      <c r="BJ402" s="34"/>
      <c r="BK402" s="34"/>
      <c r="BL402" s="34"/>
      <c r="BM402" s="34"/>
      <c r="BN402" s="34"/>
      <c r="BO402" s="34"/>
      <c r="BP402" s="34"/>
      <c r="BY402" s="34"/>
      <c r="BZ402" s="34"/>
      <c r="CA402" s="34"/>
      <c r="CB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</row>
    <row r="403" ht="15.75" customHeight="1">
      <c r="B403" s="34"/>
      <c r="E403" s="34"/>
      <c r="F403" s="34"/>
      <c r="G403" s="34"/>
      <c r="H403" s="34"/>
      <c r="I403" s="34"/>
      <c r="J403" s="34"/>
      <c r="K403" s="34"/>
      <c r="L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AA403" s="34"/>
      <c r="AB403" s="34"/>
      <c r="AC403" s="34"/>
      <c r="AD403" s="34"/>
      <c r="AE403" s="34"/>
      <c r="AF403" s="34"/>
      <c r="AG403" s="34"/>
      <c r="AH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I403" s="34"/>
      <c r="BJ403" s="34"/>
      <c r="BK403" s="34"/>
      <c r="BL403" s="34"/>
      <c r="BM403" s="34"/>
      <c r="BN403" s="34"/>
      <c r="BO403" s="34"/>
      <c r="BP403" s="34"/>
      <c r="BY403" s="34"/>
      <c r="BZ403" s="34"/>
      <c r="CA403" s="34"/>
      <c r="CB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</row>
    <row r="404" ht="15.75" customHeight="1">
      <c r="B404" s="34"/>
      <c r="E404" s="34"/>
      <c r="F404" s="34"/>
      <c r="G404" s="34"/>
      <c r="H404" s="34"/>
      <c r="I404" s="34"/>
      <c r="J404" s="34"/>
      <c r="K404" s="34"/>
      <c r="L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AA404" s="34"/>
      <c r="AB404" s="34"/>
      <c r="AC404" s="34"/>
      <c r="AD404" s="34"/>
      <c r="AE404" s="34"/>
      <c r="AF404" s="34"/>
      <c r="AG404" s="34"/>
      <c r="AH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I404" s="34"/>
      <c r="BJ404" s="34"/>
      <c r="BK404" s="34"/>
      <c r="BL404" s="34"/>
      <c r="BM404" s="34"/>
      <c r="BN404" s="34"/>
      <c r="BO404" s="34"/>
      <c r="BP404" s="34"/>
      <c r="BY404" s="34"/>
      <c r="BZ404" s="34"/>
      <c r="CA404" s="34"/>
      <c r="CB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</row>
    <row r="405" ht="15.75" customHeight="1">
      <c r="B405" s="34"/>
      <c r="E405" s="34"/>
      <c r="F405" s="34"/>
      <c r="G405" s="34"/>
      <c r="H405" s="34"/>
      <c r="I405" s="34"/>
      <c r="J405" s="34"/>
      <c r="K405" s="34"/>
      <c r="L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AA405" s="34"/>
      <c r="AB405" s="34"/>
      <c r="AC405" s="34"/>
      <c r="AD405" s="34"/>
      <c r="AE405" s="34"/>
      <c r="AF405" s="34"/>
      <c r="AG405" s="34"/>
      <c r="AH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I405" s="34"/>
      <c r="BJ405" s="34"/>
      <c r="BK405" s="34"/>
      <c r="BL405" s="34"/>
      <c r="BM405" s="34"/>
      <c r="BN405" s="34"/>
      <c r="BO405" s="34"/>
      <c r="BP405" s="34"/>
      <c r="BY405" s="34"/>
      <c r="BZ405" s="34"/>
      <c r="CA405" s="34"/>
      <c r="CB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</row>
    <row r="406" ht="15.75" customHeight="1">
      <c r="B406" s="34"/>
      <c r="E406" s="34"/>
      <c r="F406" s="34"/>
      <c r="G406" s="34"/>
      <c r="H406" s="34"/>
      <c r="I406" s="34"/>
      <c r="J406" s="34"/>
      <c r="K406" s="34"/>
      <c r="L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AA406" s="34"/>
      <c r="AB406" s="34"/>
      <c r="AC406" s="34"/>
      <c r="AD406" s="34"/>
      <c r="AE406" s="34"/>
      <c r="AF406" s="34"/>
      <c r="AG406" s="34"/>
      <c r="AH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I406" s="34"/>
      <c r="BJ406" s="34"/>
      <c r="BK406" s="34"/>
      <c r="BL406" s="34"/>
      <c r="BM406" s="34"/>
      <c r="BN406" s="34"/>
      <c r="BO406" s="34"/>
      <c r="BP406" s="34"/>
      <c r="BY406" s="34"/>
      <c r="BZ406" s="34"/>
      <c r="CA406" s="34"/>
      <c r="CB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</row>
    <row r="407" ht="15.75" customHeight="1">
      <c r="B407" s="34"/>
      <c r="E407" s="34"/>
      <c r="F407" s="34"/>
      <c r="G407" s="34"/>
      <c r="H407" s="34"/>
      <c r="I407" s="34"/>
      <c r="J407" s="34"/>
      <c r="K407" s="34"/>
      <c r="L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AA407" s="34"/>
      <c r="AB407" s="34"/>
      <c r="AC407" s="34"/>
      <c r="AD407" s="34"/>
      <c r="AE407" s="34"/>
      <c r="AF407" s="34"/>
      <c r="AG407" s="34"/>
      <c r="AH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I407" s="34"/>
      <c r="BJ407" s="34"/>
      <c r="BK407" s="34"/>
      <c r="BL407" s="34"/>
      <c r="BM407" s="34"/>
      <c r="BN407" s="34"/>
      <c r="BO407" s="34"/>
      <c r="BP407" s="34"/>
      <c r="BY407" s="34"/>
      <c r="BZ407" s="34"/>
      <c r="CA407" s="34"/>
      <c r="CB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</row>
    <row r="408" ht="15.75" customHeight="1">
      <c r="B408" s="34"/>
      <c r="E408" s="34"/>
      <c r="F408" s="34"/>
      <c r="G408" s="34"/>
      <c r="H408" s="34"/>
      <c r="I408" s="34"/>
      <c r="J408" s="34"/>
      <c r="K408" s="34"/>
      <c r="L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AA408" s="34"/>
      <c r="AB408" s="34"/>
      <c r="AC408" s="34"/>
      <c r="AD408" s="34"/>
      <c r="AE408" s="34"/>
      <c r="AF408" s="34"/>
      <c r="AG408" s="34"/>
      <c r="AH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I408" s="34"/>
      <c r="BJ408" s="34"/>
      <c r="BK408" s="34"/>
      <c r="BL408" s="34"/>
      <c r="BM408" s="34"/>
      <c r="BN408" s="34"/>
      <c r="BO408" s="34"/>
      <c r="BP408" s="34"/>
      <c r="BY408" s="34"/>
      <c r="BZ408" s="34"/>
      <c r="CA408" s="34"/>
      <c r="CB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</row>
    <row r="409" ht="15.75" customHeight="1">
      <c r="B409" s="34"/>
      <c r="E409" s="34"/>
      <c r="F409" s="34"/>
      <c r="G409" s="34"/>
      <c r="H409" s="34"/>
      <c r="I409" s="34"/>
      <c r="J409" s="34"/>
      <c r="K409" s="34"/>
      <c r="L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AA409" s="34"/>
      <c r="AB409" s="34"/>
      <c r="AC409" s="34"/>
      <c r="AD409" s="34"/>
      <c r="AE409" s="34"/>
      <c r="AF409" s="34"/>
      <c r="AG409" s="34"/>
      <c r="AH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I409" s="34"/>
      <c r="BJ409" s="34"/>
      <c r="BK409" s="34"/>
      <c r="BL409" s="34"/>
      <c r="BM409" s="34"/>
      <c r="BN409" s="34"/>
      <c r="BO409" s="34"/>
      <c r="BP409" s="34"/>
      <c r="BY409" s="34"/>
      <c r="BZ409" s="34"/>
      <c r="CA409" s="34"/>
      <c r="CB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</row>
    <row r="410" ht="15.75" customHeight="1">
      <c r="B410" s="34"/>
      <c r="E410" s="34"/>
      <c r="F410" s="34"/>
      <c r="G410" s="34"/>
      <c r="H410" s="34"/>
      <c r="I410" s="34"/>
      <c r="J410" s="34"/>
      <c r="K410" s="34"/>
      <c r="L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AA410" s="34"/>
      <c r="AB410" s="34"/>
      <c r="AC410" s="34"/>
      <c r="AD410" s="34"/>
      <c r="AE410" s="34"/>
      <c r="AF410" s="34"/>
      <c r="AG410" s="34"/>
      <c r="AH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I410" s="34"/>
      <c r="BJ410" s="34"/>
      <c r="BK410" s="34"/>
      <c r="BL410" s="34"/>
      <c r="BM410" s="34"/>
      <c r="BN410" s="34"/>
      <c r="BO410" s="34"/>
      <c r="BP410" s="34"/>
      <c r="BY410" s="34"/>
      <c r="BZ410" s="34"/>
      <c r="CA410" s="34"/>
      <c r="CB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</row>
    <row r="411" ht="15.75" customHeight="1">
      <c r="B411" s="34"/>
      <c r="E411" s="34"/>
      <c r="F411" s="34"/>
      <c r="G411" s="34"/>
      <c r="H411" s="34"/>
      <c r="I411" s="34"/>
      <c r="J411" s="34"/>
      <c r="K411" s="34"/>
      <c r="L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AA411" s="34"/>
      <c r="AB411" s="34"/>
      <c r="AC411" s="34"/>
      <c r="AD411" s="34"/>
      <c r="AE411" s="34"/>
      <c r="AF411" s="34"/>
      <c r="AG411" s="34"/>
      <c r="AH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I411" s="34"/>
      <c r="BJ411" s="34"/>
      <c r="BK411" s="34"/>
      <c r="BL411" s="34"/>
      <c r="BM411" s="34"/>
      <c r="BN411" s="34"/>
      <c r="BO411" s="34"/>
      <c r="BP411" s="34"/>
      <c r="BY411" s="34"/>
      <c r="BZ411" s="34"/>
      <c r="CA411" s="34"/>
      <c r="CB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</row>
    <row r="412" ht="15.75" customHeight="1">
      <c r="B412" s="34"/>
      <c r="E412" s="34"/>
      <c r="F412" s="34"/>
      <c r="G412" s="34"/>
      <c r="H412" s="34"/>
      <c r="I412" s="34"/>
      <c r="J412" s="34"/>
      <c r="K412" s="34"/>
      <c r="L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AA412" s="34"/>
      <c r="AB412" s="34"/>
      <c r="AC412" s="34"/>
      <c r="AD412" s="34"/>
      <c r="AE412" s="34"/>
      <c r="AF412" s="34"/>
      <c r="AG412" s="34"/>
      <c r="AH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I412" s="34"/>
      <c r="BJ412" s="34"/>
      <c r="BK412" s="34"/>
      <c r="BL412" s="34"/>
      <c r="BM412" s="34"/>
      <c r="BN412" s="34"/>
      <c r="BO412" s="34"/>
      <c r="BP412" s="34"/>
      <c r="BY412" s="34"/>
      <c r="BZ412" s="34"/>
      <c r="CA412" s="34"/>
      <c r="CB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</row>
    <row r="413" ht="15.75" customHeight="1">
      <c r="B413" s="34"/>
      <c r="E413" s="34"/>
      <c r="F413" s="34"/>
      <c r="G413" s="34"/>
      <c r="H413" s="34"/>
      <c r="I413" s="34"/>
      <c r="J413" s="34"/>
      <c r="K413" s="34"/>
      <c r="L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AA413" s="34"/>
      <c r="AB413" s="34"/>
      <c r="AC413" s="34"/>
      <c r="AD413" s="34"/>
      <c r="AE413" s="34"/>
      <c r="AF413" s="34"/>
      <c r="AG413" s="34"/>
      <c r="AH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I413" s="34"/>
      <c r="BJ413" s="34"/>
      <c r="BK413" s="34"/>
      <c r="BL413" s="34"/>
      <c r="BM413" s="34"/>
      <c r="BN413" s="34"/>
      <c r="BO413" s="34"/>
      <c r="BP413" s="34"/>
      <c r="BY413" s="34"/>
      <c r="BZ413" s="34"/>
      <c r="CA413" s="34"/>
      <c r="CB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</row>
    <row r="414" ht="15.75" customHeight="1">
      <c r="B414" s="34"/>
      <c r="E414" s="34"/>
      <c r="F414" s="34"/>
      <c r="G414" s="34"/>
      <c r="H414" s="34"/>
      <c r="I414" s="34"/>
      <c r="J414" s="34"/>
      <c r="K414" s="34"/>
      <c r="L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AA414" s="34"/>
      <c r="AB414" s="34"/>
      <c r="AC414" s="34"/>
      <c r="AD414" s="34"/>
      <c r="AE414" s="34"/>
      <c r="AF414" s="34"/>
      <c r="AG414" s="34"/>
      <c r="AH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I414" s="34"/>
      <c r="BJ414" s="34"/>
      <c r="BK414" s="34"/>
      <c r="BL414" s="34"/>
      <c r="BM414" s="34"/>
      <c r="BN414" s="34"/>
      <c r="BO414" s="34"/>
      <c r="BP414" s="34"/>
      <c r="BY414" s="34"/>
      <c r="BZ414" s="34"/>
      <c r="CA414" s="34"/>
      <c r="CB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</row>
    <row r="415" ht="15.75" customHeight="1">
      <c r="B415" s="34"/>
      <c r="E415" s="34"/>
      <c r="F415" s="34"/>
      <c r="G415" s="34"/>
      <c r="H415" s="34"/>
      <c r="I415" s="34"/>
      <c r="J415" s="34"/>
      <c r="K415" s="34"/>
      <c r="L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AA415" s="34"/>
      <c r="AB415" s="34"/>
      <c r="AC415" s="34"/>
      <c r="AD415" s="34"/>
      <c r="AE415" s="34"/>
      <c r="AF415" s="34"/>
      <c r="AG415" s="34"/>
      <c r="AH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I415" s="34"/>
      <c r="BJ415" s="34"/>
      <c r="BK415" s="34"/>
      <c r="BL415" s="34"/>
      <c r="BM415" s="34"/>
      <c r="BN415" s="34"/>
      <c r="BO415" s="34"/>
      <c r="BP415" s="34"/>
      <c r="BY415" s="34"/>
      <c r="BZ415" s="34"/>
      <c r="CA415" s="34"/>
      <c r="CB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</row>
    <row r="416" ht="15.75" customHeight="1">
      <c r="B416" s="34"/>
      <c r="E416" s="34"/>
      <c r="F416" s="34"/>
      <c r="G416" s="34"/>
      <c r="H416" s="34"/>
      <c r="I416" s="34"/>
      <c r="J416" s="34"/>
      <c r="K416" s="34"/>
      <c r="L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AA416" s="34"/>
      <c r="AB416" s="34"/>
      <c r="AC416" s="34"/>
      <c r="AD416" s="34"/>
      <c r="AE416" s="34"/>
      <c r="AF416" s="34"/>
      <c r="AG416" s="34"/>
      <c r="AH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I416" s="34"/>
      <c r="BJ416" s="34"/>
      <c r="BK416" s="34"/>
      <c r="BL416" s="34"/>
      <c r="BM416" s="34"/>
      <c r="BN416" s="34"/>
      <c r="BO416" s="34"/>
      <c r="BP416" s="34"/>
      <c r="BY416" s="34"/>
      <c r="BZ416" s="34"/>
      <c r="CA416" s="34"/>
      <c r="CB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</row>
    <row r="417" ht="15.75" customHeight="1">
      <c r="B417" s="34"/>
      <c r="E417" s="34"/>
      <c r="F417" s="34"/>
      <c r="G417" s="34"/>
      <c r="H417" s="34"/>
      <c r="I417" s="34"/>
      <c r="J417" s="34"/>
      <c r="K417" s="34"/>
      <c r="L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AA417" s="34"/>
      <c r="AB417" s="34"/>
      <c r="AC417" s="34"/>
      <c r="AD417" s="34"/>
      <c r="AE417" s="34"/>
      <c r="AF417" s="34"/>
      <c r="AG417" s="34"/>
      <c r="AH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I417" s="34"/>
      <c r="BJ417" s="34"/>
      <c r="BK417" s="34"/>
      <c r="BL417" s="34"/>
      <c r="BM417" s="34"/>
      <c r="BN417" s="34"/>
      <c r="BO417" s="34"/>
      <c r="BP417" s="34"/>
      <c r="BY417" s="34"/>
      <c r="BZ417" s="34"/>
      <c r="CA417" s="34"/>
      <c r="CB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</row>
    <row r="418" ht="15.75" customHeight="1">
      <c r="B418" s="34"/>
      <c r="E418" s="34"/>
      <c r="F418" s="34"/>
      <c r="G418" s="34"/>
      <c r="H418" s="34"/>
      <c r="I418" s="34"/>
      <c r="J418" s="34"/>
      <c r="K418" s="34"/>
      <c r="L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AA418" s="34"/>
      <c r="AB418" s="34"/>
      <c r="AC418" s="34"/>
      <c r="AD418" s="34"/>
      <c r="AE418" s="34"/>
      <c r="AF418" s="34"/>
      <c r="AG418" s="34"/>
      <c r="AH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I418" s="34"/>
      <c r="BJ418" s="34"/>
      <c r="BK418" s="34"/>
      <c r="BL418" s="34"/>
      <c r="BM418" s="34"/>
      <c r="BN418" s="34"/>
      <c r="BO418" s="34"/>
      <c r="BP418" s="34"/>
      <c r="BY418" s="34"/>
      <c r="BZ418" s="34"/>
      <c r="CA418" s="34"/>
      <c r="CB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</row>
    <row r="419" ht="15.75" customHeight="1">
      <c r="B419" s="34"/>
      <c r="E419" s="34"/>
      <c r="F419" s="34"/>
      <c r="G419" s="34"/>
      <c r="H419" s="34"/>
      <c r="I419" s="34"/>
      <c r="J419" s="34"/>
      <c r="K419" s="34"/>
      <c r="L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AA419" s="34"/>
      <c r="AB419" s="34"/>
      <c r="AC419" s="34"/>
      <c r="AD419" s="34"/>
      <c r="AE419" s="34"/>
      <c r="AF419" s="34"/>
      <c r="AG419" s="34"/>
      <c r="AH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I419" s="34"/>
      <c r="BJ419" s="34"/>
      <c r="BK419" s="34"/>
      <c r="BL419" s="34"/>
      <c r="BM419" s="34"/>
      <c r="BN419" s="34"/>
      <c r="BO419" s="34"/>
      <c r="BP419" s="34"/>
      <c r="BY419" s="34"/>
      <c r="BZ419" s="34"/>
      <c r="CA419" s="34"/>
      <c r="CB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</row>
    <row r="420" ht="15.75" customHeight="1">
      <c r="B420" s="34"/>
      <c r="E420" s="34"/>
      <c r="F420" s="34"/>
      <c r="G420" s="34"/>
      <c r="H420" s="34"/>
      <c r="I420" s="34"/>
      <c r="J420" s="34"/>
      <c r="K420" s="34"/>
      <c r="L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AA420" s="34"/>
      <c r="AB420" s="34"/>
      <c r="AC420" s="34"/>
      <c r="AD420" s="34"/>
      <c r="AE420" s="34"/>
      <c r="AF420" s="34"/>
      <c r="AG420" s="34"/>
      <c r="AH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I420" s="34"/>
      <c r="BJ420" s="34"/>
      <c r="BK420" s="34"/>
      <c r="BL420" s="34"/>
      <c r="BM420" s="34"/>
      <c r="BN420" s="34"/>
      <c r="BO420" s="34"/>
      <c r="BP420" s="34"/>
      <c r="BY420" s="34"/>
      <c r="BZ420" s="34"/>
      <c r="CA420" s="34"/>
      <c r="CB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</row>
    <row r="421" ht="15.75" customHeight="1">
      <c r="B421" s="34"/>
      <c r="E421" s="34"/>
      <c r="F421" s="34"/>
      <c r="G421" s="34"/>
      <c r="H421" s="34"/>
      <c r="I421" s="34"/>
      <c r="J421" s="34"/>
      <c r="K421" s="34"/>
      <c r="L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AA421" s="34"/>
      <c r="AB421" s="34"/>
      <c r="AC421" s="34"/>
      <c r="AD421" s="34"/>
      <c r="AE421" s="34"/>
      <c r="AF421" s="34"/>
      <c r="AG421" s="34"/>
      <c r="AH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I421" s="34"/>
      <c r="BJ421" s="34"/>
      <c r="BK421" s="34"/>
      <c r="BL421" s="34"/>
      <c r="BM421" s="34"/>
      <c r="BN421" s="34"/>
      <c r="BO421" s="34"/>
      <c r="BP421" s="34"/>
      <c r="BY421" s="34"/>
      <c r="BZ421" s="34"/>
      <c r="CA421" s="34"/>
      <c r="CB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</row>
    <row r="422" ht="15.75" customHeight="1">
      <c r="B422" s="34"/>
      <c r="E422" s="34"/>
      <c r="F422" s="34"/>
      <c r="G422" s="34"/>
      <c r="H422" s="34"/>
      <c r="I422" s="34"/>
      <c r="J422" s="34"/>
      <c r="K422" s="34"/>
      <c r="L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AA422" s="34"/>
      <c r="AB422" s="34"/>
      <c r="AC422" s="34"/>
      <c r="AD422" s="34"/>
      <c r="AE422" s="34"/>
      <c r="AF422" s="34"/>
      <c r="AG422" s="34"/>
      <c r="AH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I422" s="34"/>
      <c r="BJ422" s="34"/>
      <c r="BK422" s="34"/>
      <c r="BL422" s="34"/>
      <c r="BM422" s="34"/>
      <c r="BN422" s="34"/>
      <c r="BO422" s="34"/>
      <c r="BP422" s="34"/>
      <c r="BY422" s="34"/>
      <c r="BZ422" s="34"/>
      <c r="CA422" s="34"/>
      <c r="CB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</row>
    <row r="423" ht="15.75" customHeight="1">
      <c r="B423" s="34"/>
      <c r="E423" s="34"/>
      <c r="F423" s="34"/>
      <c r="G423" s="34"/>
      <c r="H423" s="34"/>
      <c r="I423" s="34"/>
      <c r="J423" s="34"/>
      <c r="K423" s="34"/>
      <c r="L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AA423" s="34"/>
      <c r="AB423" s="34"/>
      <c r="AC423" s="34"/>
      <c r="AD423" s="34"/>
      <c r="AE423" s="34"/>
      <c r="AF423" s="34"/>
      <c r="AG423" s="34"/>
      <c r="AH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I423" s="34"/>
      <c r="BJ423" s="34"/>
      <c r="BK423" s="34"/>
      <c r="BL423" s="34"/>
      <c r="BM423" s="34"/>
      <c r="BN423" s="34"/>
      <c r="BO423" s="34"/>
      <c r="BP423" s="34"/>
      <c r="BY423" s="34"/>
      <c r="BZ423" s="34"/>
      <c r="CA423" s="34"/>
      <c r="CB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</row>
    <row r="424" ht="15.75" customHeight="1">
      <c r="B424" s="34"/>
      <c r="E424" s="34"/>
      <c r="F424" s="34"/>
      <c r="G424" s="34"/>
      <c r="H424" s="34"/>
      <c r="I424" s="34"/>
      <c r="J424" s="34"/>
      <c r="K424" s="34"/>
      <c r="L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AA424" s="34"/>
      <c r="AB424" s="34"/>
      <c r="AC424" s="34"/>
      <c r="AD424" s="34"/>
      <c r="AE424" s="34"/>
      <c r="AF424" s="34"/>
      <c r="AG424" s="34"/>
      <c r="AH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I424" s="34"/>
      <c r="BJ424" s="34"/>
      <c r="BK424" s="34"/>
      <c r="BL424" s="34"/>
      <c r="BM424" s="34"/>
      <c r="BN424" s="34"/>
      <c r="BO424" s="34"/>
      <c r="BP424" s="34"/>
      <c r="BY424" s="34"/>
      <c r="BZ424" s="34"/>
      <c r="CA424" s="34"/>
      <c r="CB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</row>
    <row r="425" ht="15.75" customHeight="1">
      <c r="B425" s="34"/>
      <c r="E425" s="34"/>
      <c r="F425" s="34"/>
      <c r="G425" s="34"/>
      <c r="H425" s="34"/>
      <c r="I425" s="34"/>
      <c r="J425" s="34"/>
      <c r="K425" s="34"/>
      <c r="L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AA425" s="34"/>
      <c r="AB425" s="34"/>
      <c r="AC425" s="34"/>
      <c r="AD425" s="34"/>
      <c r="AE425" s="34"/>
      <c r="AF425" s="34"/>
      <c r="AG425" s="34"/>
      <c r="AH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I425" s="34"/>
      <c r="BJ425" s="34"/>
      <c r="BK425" s="34"/>
      <c r="BL425" s="34"/>
      <c r="BM425" s="34"/>
      <c r="BN425" s="34"/>
      <c r="BO425" s="34"/>
      <c r="BP425" s="34"/>
      <c r="BY425" s="34"/>
      <c r="BZ425" s="34"/>
      <c r="CA425" s="34"/>
      <c r="CB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</row>
    <row r="426" ht="15.75" customHeight="1">
      <c r="B426" s="34"/>
      <c r="E426" s="34"/>
      <c r="F426" s="34"/>
      <c r="G426" s="34"/>
      <c r="H426" s="34"/>
      <c r="I426" s="34"/>
      <c r="J426" s="34"/>
      <c r="K426" s="34"/>
      <c r="L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AA426" s="34"/>
      <c r="AB426" s="34"/>
      <c r="AC426" s="34"/>
      <c r="AD426" s="34"/>
      <c r="AE426" s="34"/>
      <c r="AF426" s="34"/>
      <c r="AG426" s="34"/>
      <c r="AH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I426" s="34"/>
      <c r="BJ426" s="34"/>
      <c r="BK426" s="34"/>
      <c r="BL426" s="34"/>
      <c r="BM426" s="34"/>
      <c r="BN426" s="34"/>
      <c r="BO426" s="34"/>
      <c r="BP426" s="34"/>
      <c r="BY426" s="34"/>
      <c r="BZ426" s="34"/>
      <c r="CA426" s="34"/>
      <c r="CB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</row>
    <row r="427" ht="15.75" customHeight="1">
      <c r="B427" s="34"/>
      <c r="E427" s="34"/>
      <c r="F427" s="34"/>
      <c r="G427" s="34"/>
      <c r="H427" s="34"/>
      <c r="I427" s="34"/>
      <c r="J427" s="34"/>
      <c r="K427" s="34"/>
      <c r="L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AA427" s="34"/>
      <c r="AB427" s="34"/>
      <c r="AC427" s="34"/>
      <c r="AD427" s="34"/>
      <c r="AE427" s="34"/>
      <c r="AF427" s="34"/>
      <c r="AG427" s="34"/>
      <c r="AH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I427" s="34"/>
      <c r="BJ427" s="34"/>
      <c r="BK427" s="34"/>
      <c r="BL427" s="34"/>
      <c r="BM427" s="34"/>
      <c r="BN427" s="34"/>
      <c r="BO427" s="34"/>
      <c r="BP427" s="34"/>
      <c r="BY427" s="34"/>
      <c r="BZ427" s="34"/>
      <c r="CA427" s="34"/>
      <c r="CB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</row>
    <row r="428" ht="15.75" customHeight="1">
      <c r="B428" s="34"/>
      <c r="E428" s="34"/>
      <c r="F428" s="34"/>
      <c r="G428" s="34"/>
      <c r="H428" s="34"/>
      <c r="I428" s="34"/>
      <c r="J428" s="34"/>
      <c r="K428" s="34"/>
      <c r="L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AA428" s="34"/>
      <c r="AB428" s="34"/>
      <c r="AC428" s="34"/>
      <c r="AD428" s="34"/>
      <c r="AE428" s="34"/>
      <c r="AF428" s="34"/>
      <c r="AG428" s="34"/>
      <c r="AH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I428" s="34"/>
      <c r="BJ428" s="34"/>
      <c r="BK428" s="34"/>
      <c r="BL428" s="34"/>
      <c r="BM428" s="34"/>
      <c r="BN428" s="34"/>
      <c r="BO428" s="34"/>
      <c r="BP428" s="34"/>
      <c r="BY428" s="34"/>
      <c r="BZ428" s="34"/>
      <c r="CA428" s="34"/>
      <c r="CB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</row>
    <row r="429" ht="15.75" customHeight="1">
      <c r="B429" s="34"/>
      <c r="E429" s="34"/>
      <c r="F429" s="34"/>
      <c r="G429" s="34"/>
      <c r="H429" s="34"/>
      <c r="I429" s="34"/>
      <c r="J429" s="34"/>
      <c r="K429" s="34"/>
      <c r="L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AA429" s="34"/>
      <c r="AB429" s="34"/>
      <c r="AC429" s="34"/>
      <c r="AD429" s="34"/>
      <c r="AE429" s="34"/>
      <c r="AF429" s="34"/>
      <c r="AG429" s="34"/>
      <c r="AH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I429" s="34"/>
      <c r="BJ429" s="34"/>
      <c r="BK429" s="34"/>
      <c r="BL429" s="34"/>
      <c r="BM429" s="34"/>
      <c r="BN429" s="34"/>
      <c r="BO429" s="34"/>
      <c r="BP429" s="34"/>
      <c r="BY429" s="34"/>
      <c r="BZ429" s="34"/>
      <c r="CA429" s="34"/>
      <c r="CB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</row>
    <row r="430" ht="15.75" customHeight="1">
      <c r="B430" s="34"/>
      <c r="E430" s="34"/>
      <c r="F430" s="34"/>
      <c r="G430" s="34"/>
      <c r="H430" s="34"/>
      <c r="I430" s="34"/>
      <c r="J430" s="34"/>
      <c r="K430" s="34"/>
      <c r="L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AA430" s="34"/>
      <c r="AB430" s="34"/>
      <c r="AC430" s="34"/>
      <c r="AD430" s="34"/>
      <c r="AE430" s="34"/>
      <c r="AF430" s="34"/>
      <c r="AG430" s="34"/>
      <c r="AH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I430" s="34"/>
      <c r="BJ430" s="34"/>
      <c r="BK430" s="34"/>
      <c r="BL430" s="34"/>
      <c r="BM430" s="34"/>
      <c r="BN430" s="34"/>
      <c r="BO430" s="34"/>
      <c r="BP430" s="34"/>
      <c r="BY430" s="34"/>
      <c r="BZ430" s="34"/>
      <c r="CA430" s="34"/>
      <c r="CB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</row>
    <row r="431" ht="15.75" customHeight="1">
      <c r="B431" s="34"/>
      <c r="E431" s="34"/>
      <c r="F431" s="34"/>
      <c r="G431" s="34"/>
      <c r="H431" s="34"/>
      <c r="I431" s="34"/>
      <c r="J431" s="34"/>
      <c r="K431" s="34"/>
      <c r="L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AA431" s="34"/>
      <c r="AB431" s="34"/>
      <c r="AC431" s="34"/>
      <c r="AD431" s="34"/>
      <c r="AE431" s="34"/>
      <c r="AF431" s="34"/>
      <c r="AG431" s="34"/>
      <c r="AH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I431" s="34"/>
      <c r="BJ431" s="34"/>
      <c r="BK431" s="34"/>
      <c r="BL431" s="34"/>
      <c r="BM431" s="34"/>
      <c r="BN431" s="34"/>
      <c r="BO431" s="34"/>
      <c r="BP431" s="34"/>
      <c r="BY431" s="34"/>
      <c r="BZ431" s="34"/>
      <c r="CA431" s="34"/>
      <c r="CB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</row>
    <row r="432" ht="15.75" customHeight="1">
      <c r="B432" s="34"/>
      <c r="E432" s="34"/>
      <c r="F432" s="34"/>
      <c r="G432" s="34"/>
      <c r="H432" s="34"/>
      <c r="I432" s="34"/>
      <c r="J432" s="34"/>
      <c r="K432" s="34"/>
      <c r="L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AA432" s="34"/>
      <c r="AB432" s="34"/>
      <c r="AC432" s="34"/>
      <c r="AD432" s="34"/>
      <c r="AE432" s="34"/>
      <c r="AF432" s="34"/>
      <c r="AG432" s="34"/>
      <c r="AH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I432" s="34"/>
      <c r="BJ432" s="34"/>
      <c r="BK432" s="34"/>
      <c r="BL432" s="34"/>
      <c r="BM432" s="34"/>
      <c r="BN432" s="34"/>
      <c r="BO432" s="34"/>
      <c r="BP432" s="34"/>
      <c r="BY432" s="34"/>
      <c r="BZ432" s="34"/>
      <c r="CA432" s="34"/>
      <c r="CB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</row>
    <row r="433" ht="15.75" customHeight="1">
      <c r="B433" s="34"/>
      <c r="E433" s="34"/>
      <c r="F433" s="34"/>
      <c r="G433" s="34"/>
      <c r="H433" s="34"/>
      <c r="I433" s="34"/>
      <c r="J433" s="34"/>
      <c r="K433" s="34"/>
      <c r="L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AA433" s="34"/>
      <c r="AB433" s="34"/>
      <c r="AC433" s="34"/>
      <c r="AD433" s="34"/>
      <c r="AE433" s="34"/>
      <c r="AF433" s="34"/>
      <c r="AG433" s="34"/>
      <c r="AH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I433" s="34"/>
      <c r="BJ433" s="34"/>
      <c r="BK433" s="34"/>
      <c r="BL433" s="34"/>
      <c r="BM433" s="34"/>
      <c r="BN433" s="34"/>
      <c r="BO433" s="34"/>
      <c r="BP433" s="34"/>
      <c r="BY433" s="34"/>
      <c r="BZ433" s="34"/>
      <c r="CA433" s="34"/>
      <c r="CB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</row>
    <row r="434" ht="15.75" customHeight="1">
      <c r="B434" s="34"/>
      <c r="E434" s="34"/>
      <c r="F434" s="34"/>
      <c r="G434" s="34"/>
      <c r="H434" s="34"/>
      <c r="I434" s="34"/>
      <c r="J434" s="34"/>
      <c r="K434" s="34"/>
      <c r="L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AA434" s="34"/>
      <c r="AB434" s="34"/>
      <c r="AC434" s="34"/>
      <c r="AD434" s="34"/>
      <c r="AE434" s="34"/>
      <c r="AF434" s="34"/>
      <c r="AG434" s="34"/>
      <c r="AH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I434" s="34"/>
      <c r="BJ434" s="34"/>
      <c r="BK434" s="34"/>
      <c r="BL434" s="34"/>
      <c r="BM434" s="34"/>
      <c r="BN434" s="34"/>
      <c r="BO434" s="34"/>
      <c r="BP434" s="34"/>
      <c r="BY434" s="34"/>
      <c r="BZ434" s="34"/>
      <c r="CA434" s="34"/>
      <c r="CB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</row>
    <row r="435" ht="15.75" customHeight="1">
      <c r="B435" s="34"/>
      <c r="E435" s="34"/>
      <c r="F435" s="34"/>
      <c r="G435" s="34"/>
      <c r="H435" s="34"/>
      <c r="I435" s="34"/>
      <c r="J435" s="34"/>
      <c r="K435" s="34"/>
      <c r="L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AA435" s="34"/>
      <c r="AB435" s="34"/>
      <c r="AC435" s="34"/>
      <c r="AD435" s="34"/>
      <c r="AE435" s="34"/>
      <c r="AF435" s="34"/>
      <c r="AG435" s="34"/>
      <c r="AH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I435" s="34"/>
      <c r="BJ435" s="34"/>
      <c r="BK435" s="34"/>
      <c r="BL435" s="34"/>
      <c r="BM435" s="34"/>
      <c r="BN435" s="34"/>
      <c r="BO435" s="34"/>
      <c r="BP435" s="34"/>
      <c r="BY435" s="34"/>
      <c r="BZ435" s="34"/>
      <c r="CA435" s="34"/>
      <c r="CB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</row>
    <row r="436" ht="15.75" customHeight="1">
      <c r="B436" s="34"/>
      <c r="E436" s="34"/>
      <c r="F436" s="34"/>
      <c r="G436" s="34"/>
      <c r="H436" s="34"/>
      <c r="I436" s="34"/>
      <c r="J436" s="34"/>
      <c r="K436" s="34"/>
      <c r="L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AA436" s="34"/>
      <c r="AB436" s="34"/>
      <c r="AC436" s="34"/>
      <c r="AD436" s="34"/>
      <c r="AE436" s="34"/>
      <c r="AF436" s="34"/>
      <c r="AG436" s="34"/>
      <c r="AH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I436" s="34"/>
      <c r="BJ436" s="34"/>
      <c r="BK436" s="34"/>
      <c r="BL436" s="34"/>
      <c r="BM436" s="34"/>
      <c r="BN436" s="34"/>
      <c r="BO436" s="34"/>
      <c r="BP436" s="34"/>
      <c r="BY436" s="34"/>
      <c r="BZ436" s="34"/>
      <c r="CA436" s="34"/>
      <c r="CB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</row>
    <row r="437" ht="15.75" customHeight="1">
      <c r="B437" s="34"/>
      <c r="E437" s="34"/>
      <c r="F437" s="34"/>
      <c r="G437" s="34"/>
      <c r="H437" s="34"/>
      <c r="I437" s="34"/>
      <c r="J437" s="34"/>
      <c r="K437" s="34"/>
      <c r="L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AA437" s="34"/>
      <c r="AB437" s="34"/>
      <c r="AC437" s="34"/>
      <c r="AD437" s="34"/>
      <c r="AE437" s="34"/>
      <c r="AF437" s="34"/>
      <c r="AG437" s="34"/>
      <c r="AH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I437" s="34"/>
      <c r="BJ437" s="34"/>
      <c r="BK437" s="34"/>
      <c r="BL437" s="34"/>
      <c r="BM437" s="34"/>
      <c r="BN437" s="34"/>
      <c r="BO437" s="34"/>
      <c r="BP437" s="34"/>
      <c r="BY437" s="34"/>
      <c r="BZ437" s="34"/>
      <c r="CA437" s="34"/>
      <c r="CB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</row>
    <row r="438" ht="15.75" customHeight="1">
      <c r="B438" s="34"/>
      <c r="E438" s="34"/>
      <c r="F438" s="34"/>
      <c r="G438" s="34"/>
      <c r="H438" s="34"/>
      <c r="I438" s="34"/>
      <c r="J438" s="34"/>
      <c r="K438" s="34"/>
      <c r="L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AA438" s="34"/>
      <c r="AB438" s="34"/>
      <c r="AC438" s="34"/>
      <c r="AD438" s="34"/>
      <c r="AE438" s="34"/>
      <c r="AF438" s="34"/>
      <c r="AG438" s="34"/>
      <c r="AH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I438" s="34"/>
      <c r="BJ438" s="34"/>
      <c r="BK438" s="34"/>
      <c r="BL438" s="34"/>
      <c r="BM438" s="34"/>
      <c r="BN438" s="34"/>
      <c r="BO438" s="34"/>
      <c r="BP438" s="34"/>
      <c r="BY438" s="34"/>
      <c r="BZ438" s="34"/>
      <c r="CA438" s="34"/>
      <c r="CB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</row>
    <row r="439" ht="15.75" customHeight="1">
      <c r="B439" s="34"/>
      <c r="E439" s="34"/>
      <c r="F439" s="34"/>
      <c r="G439" s="34"/>
      <c r="H439" s="34"/>
      <c r="I439" s="34"/>
      <c r="J439" s="34"/>
      <c r="K439" s="34"/>
      <c r="L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AA439" s="34"/>
      <c r="AB439" s="34"/>
      <c r="AC439" s="34"/>
      <c r="AD439" s="34"/>
      <c r="AE439" s="34"/>
      <c r="AF439" s="34"/>
      <c r="AG439" s="34"/>
      <c r="AH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I439" s="34"/>
      <c r="BJ439" s="34"/>
      <c r="BK439" s="34"/>
      <c r="BL439" s="34"/>
      <c r="BM439" s="34"/>
      <c r="BN439" s="34"/>
      <c r="BO439" s="34"/>
      <c r="BP439" s="34"/>
      <c r="BY439" s="34"/>
      <c r="BZ439" s="34"/>
      <c r="CA439" s="34"/>
      <c r="CB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</row>
    <row r="440" ht="15.75" customHeight="1">
      <c r="B440" s="34"/>
      <c r="E440" s="34"/>
      <c r="F440" s="34"/>
      <c r="G440" s="34"/>
      <c r="H440" s="34"/>
      <c r="I440" s="34"/>
      <c r="J440" s="34"/>
      <c r="K440" s="34"/>
      <c r="L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AA440" s="34"/>
      <c r="AB440" s="34"/>
      <c r="AC440" s="34"/>
      <c r="AD440" s="34"/>
      <c r="AE440" s="34"/>
      <c r="AF440" s="34"/>
      <c r="AG440" s="34"/>
      <c r="AH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I440" s="34"/>
      <c r="BJ440" s="34"/>
      <c r="BK440" s="34"/>
      <c r="BL440" s="34"/>
      <c r="BM440" s="34"/>
      <c r="BN440" s="34"/>
      <c r="BO440" s="34"/>
      <c r="BP440" s="34"/>
      <c r="BY440" s="34"/>
      <c r="BZ440" s="34"/>
      <c r="CA440" s="34"/>
      <c r="CB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</row>
    <row r="441" ht="15.75" customHeight="1">
      <c r="B441" s="34"/>
      <c r="E441" s="34"/>
      <c r="F441" s="34"/>
      <c r="G441" s="34"/>
      <c r="H441" s="34"/>
      <c r="I441" s="34"/>
      <c r="J441" s="34"/>
      <c r="K441" s="34"/>
      <c r="L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AA441" s="34"/>
      <c r="AB441" s="34"/>
      <c r="AC441" s="34"/>
      <c r="AD441" s="34"/>
      <c r="AE441" s="34"/>
      <c r="AF441" s="34"/>
      <c r="AG441" s="34"/>
      <c r="AH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I441" s="34"/>
      <c r="BJ441" s="34"/>
      <c r="BK441" s="34"/>
      <c r="BL441" s="34"/>
      <c r="BM441" s="34"/>
      <c r="BN441" s="34"/>
      <c r="BO441" s="34"/>
      <c r="BP441" s="34"/>
      <c r="BY441" s="34"/>
      <c r="BZ441" s="34"/>
      <c r="CA441" s="34"/>
      <c r="CB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</row>
    <row r="442" ht="15.75" customHeight="1">
      <c r="B442" s="34"/>
      <c r="E442" s="34"/>
      <c r="F442" s="34"/>
      <c r="G442" s="34"/>
      <c r="H442" s="34"/>
      <c r="I442" s="34"/>
      <c r="J442" s="34"/>
      <c r="K442" s="34"/>
      <c r="L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AA442" s="34"/>
      <c r="AB442" s="34"/>
      <c r="AC442" s="34"/>
      <c r="AD442" s="34"/>
      <c r="AE442" s="34"/>
      <c r="AF442" s="34"/>
      <c r="AG442" s="34"/>
      <c r="AH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I442" s="34"/>
      <c r="BJ442" s="34"/>
      <c r="BK442" s="34"/>
      <c r="BL442" s="34"/>
      <c r="BM442" s="34"/>
      <c r="BN442" s="34"/>
      <c r="BO442" s="34"/>
      <c r="BP442" s="34"/>
      <c r="BY442" s="34"/>
      <c r="BZ442" s="34"/>
      <c r="CA442" s="34"/>
      <c r="CB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</row>
    <row r="443" ht="15.75" customHeight="1">
      <c r="B443" s="34"/>
      <c r="E443" s="34"/>
      <c r="F443" s="34"/>
      <c r="G443" s="34"/>
      <c r="H443" s="34"/>
      <c r="I443" s="34"/>
      <c r="J443" s="34"/>
      <c r="K443" s="34"/>
      <c r="L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AA443" s="34"/>
      <c r="AB443" s="34"/>
      <c r="AC443" s="34"/>
      <c r="AD443" s="34"/>
      <c r="AE443" s="34"/>
      <c r="AF443" s="34"/>
      <c r="AG443" s="34"/>
      <c r="AH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I443" s="34"/>
      <c r="BJ443" s="34"/>
      <c r="BK443" s="34"/>
      <c r="BL443" s="34"/>
      <c r="BM443" s="34"/>
      <c r="BN443" s="34"/>
      <c r="BO443" s="34"/>
      <c r="BP443" s="34"/>
      <c r="BY443" s="34"/>
      <c r="BZ443" s="34"/>
      <c r="CA443" s="34"/>
      <c r="CB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</row>
    <row r="444" ht="15.75" customHeight="1">
      <c r="B444" s="34"/>
      <c r="E444" s="34"/>
      <c r="F444" s="34"/>
      <c r="G444" s="34"/>
      <c r="H444" s="34"/>
      <c r="I444" s="34"/>
      <c r="J444" s="34"/>
      <c r="K444" s="34"/>
      <c r="L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AA444" s="34"/>
      <c r="AB444" s="34"/>
      <c r="AC444" s="34"/>
      <c r="AD444" s="34"/>
      <c r="AE444" s="34"/>
      <c r="AF444" s="34"/>
      <c r="AG444" s="34"/>
      <c r="AH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I444" s="34"/>
      <c r="BJ444" s="34"/>
      <c r="BK444" s="34"/>
      <c r="BL444" s="34"/>
      <c r="BM444" s="34"/>
      <c r="BN444" s="34"/>
      <c r="BO444" s="34"/>
      <c r="BP444" s="34"/>
      <c r="BY444" s="34"/>
      <c r="BZ444" s="34"/>
      <c r="CA444" s="34"/>
      <c r="CB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</row>
    <row r="445" ht="15.75" customHeight="1">
      <c r="B445" s="34"/>
      <c r="E445" s="34"/>
      <c r="F445" s="34"/>
      <c r="G445" s="34"/>
      <c r="H445" s="34"/>
      <c r="I445" s="34"/>
      <c r="J445" s="34"/>
      <c r="K445" s="34"/>
      <c r="L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AA445" s="34"/>
      <c r="AB445" s="34"/>
      <c r="AC445" s="34"/>
      <c r="AD445" s="34"/>
      <c r="AE445" s="34"/>
      <c r="AF445" s="34"/>
      <c r="AG445" s="34"/>
      <c r="AH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I445" s="34"/>
      <c r="BJ445" s="34"/>
      <c r="BK445" s="34"/>
      <c r="BL445" s="34"/>
      <c r="BM445" s="34"/>
      <c r="BN445" s="34"/>
      <c r="BO445" s="34"/>
      <c r="BP445" s="34"/>
      <c r="BY445" s="34"/>
      <c r="BZ445" s="34"/>
      <c r="CA445" s="34"/>
      <c r="CB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</row>
    <row r="446" ht="15.75" customHeight="1">
      <c r="B446" s="34"/>
      <c r="E446" s="34"/>
      <c r="F446" s="34"/>
      <c r="G446" s="34"/>
      <c r="H446" s="34"/>
      <c r="I446" s="34"/>
      <c r="J446" s="34"/>
      <c r="K446" s="34"/>
      <c r="L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AA446" s="34"/>
      <c r="AB446" s="34"/>
      <c r="AC446" s="34"/>
      <c r="AD446" s="34"/>
      <c r="AE446" s="34"/>
      <c r="AF446" s="34"/>
      <c r="AG446" s="34"/>
      <c r="AH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I446" s="34"/>
      <c r="BJ446" s="34"/>
      <c r="BK446" s="34"/>
      <c r="BL446" s="34"/>
      <c r="BM446" s="34"/>
      <c r="BN446" s="34"/>
      <c r="BO446" s="34"/>
      <c r="BP446" s="34"/>
      <c r="BY446" s="34"/>
      <c r="BZ446" s="34"/>
      <c r="CA446" s="34"/>
      <c r="CB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</row>
    <row r="447" ht="15.75" customHeight="1">
      <c r="B447" s="34"/>
      <c r="E447" s="34"/>
      <c r="F447" s="34"/>
      <c r="G447" s="34"/>
      <c r="H447" s="34"/>
      <c r="I447" s="34"/>
      <c r="J447" s="34"/>
      <c r="K447" s="34"/>
      <c r="L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AA447" s="34"/>
      <c r="AB447" s="34"/>
      <c r="AC447" s="34"/>
      <c r="AD447" s="34"/>
      <c r="AE447" s="34"/>
      <c r="AF447" s="34"/>
      <c r="AG447" s="34"/>
      <c r="AH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I447" s="34"/>
      <c r="BJ447" s="34"/>
      <c r="BK447" s="34"/>
      <c r="BL447" s="34"/>
      <c r="BM447" s="34"/>
      <c r="BN447" s="34"/>
      <c r="BO447" s="34"/>
      <c r="BP447" s="34"/>
      <c r="BY447" s="34"/>
      <c r="BZ447" s="34"/>
      <c r="CA447" s="34"/>
      <c r="CB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</row>
    <row r="448" ht="15.75" customHeight="1">
      <c r="B448" s="34"/>
      <c r="E448" s="34"/>
      <c r="F448" s="34"/>
      <c r="G448" s="34"/>
      <c r="H448" s="34"/>
      <c r="I448" s="34"/>
      <c r="J448" s="34"/>
      <c r="K448" s="34"/>
      <c r="L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AA448" s="34"/>
      <c r="AB448" s="34"/>
      <c r="AC448" s="34"/>
      <c r="AD448" s="34"/>
      <c r="AE448" s="34"/>
      <c r="AF448" s="34"/>
      <c r="AG448" s="34"/>
      <c r="AH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I448" s="34"/>
      <c r="BJ448" s="34"/>
      <c r="BK448" s="34"/>
      <c r="BL448" s="34"/>
      <c r="BM448" s="34"/>
      <c r="BN448" s="34"/>
      <c r="BO448" s="34"/>
      <c r="BP448" s="34"/>
      <c r="BY448" s="34"/>
      <c r="BZ448" s="34"/>
      <c r="CA448" s="34"/>
      <c r="CB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</row>
    <row r="449" ht="15.75" customHeight="1">
      <c r="B449" s="34"/>
      <c r="E449" s="34"/>
      <c r="F449" s="34"/>
      <c r="G449" s="34"/>
      <c r="H449" s="34"/>
      <c r="I449" s="34"/>
      <c r="J449" s="34"/>
      <c r="K449" s="34"/>
      <c r="L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AA449" s="34"/>
      <c r="AB449" s="34"/>
      <c r="AC449" s="34"/>
      <c r="AD449" s="34"/>
      <c r="AE449" s="34"/>
      <c r="AF449" s="34"/>
      <c r="AG449" s="34"/>
      <c r="AH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I449" s="34"/>
      <c r="BJ449" s="34"/>
      <c r="BK449" s="34"/>
      <c r="BL449" s="34"/>
      <c r="BM449" s="34"/>
      <c r="BN449" s="34"/>
      <c r="BO449" s="34"/>
      <c r="BP449" s="34"/>
      <c r="BY449" s="34"/>
      <c r="BZ449" s="34"/>
      <c r="CA449" s="34"/>
      <c r="CB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</row>
    <row r="450" ht="15.75" customHeight="1">
      <c r="B450" s="34"/>
      <c r="E450" s="34"/>
      <c r="F450" s="34"/>
      <c r="G450" s="34"/>
      <c r="H450" s="34"/>
      <c r="I450" s="34"/>
      <c r="J450" s="34"/>
      <c r="K450" s="34"/>
      <c r="L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AA450" s="34"/>
      <c r="AB450" s="34"/>
      <c r="AC450" s="34"/>
      <c r="AD450" s="34"/>
      <c r="AE450" s="34"/>
      <c r="AF450" s="34"/>
      <c r="AG450" s="34"/>
      <c r="AH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I450" s="34"/>
      <c r="BJ450" s="34"/>
      <c r="BK450" s="34"/>
      <c r="BL450" s="34"/>
      <c r="BM450" s="34"/>
      <c r="BN450" s="34"/>
      <c r="BO450" s="34"/>
      <c r="BP450" s="34"/>
      <c r="BY450" s="34"/>
      <c r="BZ450" s="34"/>
      <c r="CA450" s="34"/>
      <c r="CB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</row>
    <row r="451" ht="15.75" customHeight="1">
      <c r="B451" s="34"/>
      <c r="E451" s="34"/>
      <c r="F451" s="34"/>
      <c r="G451" s="34"/>
      <c r="H451" s="34"/>
      <c r="I451" s="34"/>
      <c r="J451" s="34"/>
      <c r="K451" s="34"/>
      <c r="L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AA451" s="34"/>
      <c r="AB451" s="34"/>
      <c r="AC451" s="34"/>
      <c r="AD451" s="34"/>
      <c r="AE451" s="34"/>
      <c r="AF451" s="34"/>
      <c r="AG451" s="34"/>
      <c r="AH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I451" s="34"/>
      <c r="BJ451" s="34"/>
      <c r="BK451" s="34"/>
      <c r="BL451" s="34"/>
      <c r="BM451" s="34"/>
      <c r="BN451" s="34"/>
      <c r="BO451" s="34"/>
      <c r="BP451" s="34"/>
      <c r="BY451" s="34"/>
      <c r="BZ451" s="34"/>
      <c r="CA451" s="34"/>
      <c r="CB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</row>
    <row r="452" ht="15.75" customHeight="1">
      <c r="B452" s="34"/>
      <c r="E452" s="34"/>
      <c r="F452" s="34"/>
      <c r="G452" s="34"/>
      <c r="H452" s="34"/>
      <c r="I452" s="34"/>
      <c r="J452" s="34"/>
      <c r="K452" s="34"/>
      <c r="L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AA452" s="34"/>
      <c r="AB452" s="34"/>
      <c r="AC452" s="34"/>
      <c r="AD452" s="34"/>
      <c r="AE452" s="34"/>
      <c r="AF452" s="34"/>
      <c r="AG452" s="34"/>
      <c r="AH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I452" s="34"/>
      <c r="BJ452" s="34"/>
      <c r="BK452" s="34"/>
      <c r="BL452" s="34"/>
      <c r="BM452" s="34"/>
      <c r="BN452" s="34"/>
      <c r="BO452" s="34"/>
      <c r="BP452" s="34"/>
      <c r="BY452" s="34"/>
      <c r="BZ452" s="34"/>
      <c r="CA452" s="34"/>
      <c r="CB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</row>
    <row r="453" ht="15.75" customHeight="1">
      <c r="B453" s="34"/>
      <c r="E453" s="34"/>
      <c r="F453" s="34"/>
      <c r="G453" s="34"/>
      <c r="H453" s="34"/>
      <c r="I453" s="34"/>
      <c r="J453" s="34"/>
      <c r="K453" s="34"/>
      <c r="L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AA453" s="34"/>
      <c r="AB453" s="34"/>
      <c r="AC453" s="34"/>
      <c r="AD453" s="34"/>
      <c r="AE453" s="34"/>
      <c r="AF453" s="34"/>
      <c r="AG453" s="34"/>
      <c r="AH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I453" s="34"/>
      <c r="BJ453" s="34"/>
      <c r="BK453" s="34"/>
      <c r="BL453" s="34"/>
      <c r="BM453" s="34"/>
      <c r="BN453" s="34"/>
      <c r="BO453" s="34"/>
      <c r="BP453" s="34"/>
      <c r="BY453" s="34"/>
      <c r="BZ453" s="34"/>
      <c r="CA453" s="34"/>
      <c r="CB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</row>
    <row r="454" ht="15.75" customHeight="1">
      <c r="B454" s="34"/>
      <c r="E454" s="34"/>
      <c r="F454" s="34"/>
      <c r="G454" s="34"/>
      <c r="H454" s="34"/>
      <c r="I454" s="34"/>
      <c r="J454" s="34"/>
      <c r="K454" s="34"/>
      <c r="L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AA454" s="34"/>
      <c r="AB454" s="34"/>
      <c r="AC454" s="34"/>
      <c r="AD454" s="34"/>
      <c r="AE454" s="34"/>
      <c r="AF454" s="34"/>
      <c r="AG454" s="34"/>
      <c r="AH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I454" s="34"/>
      <c r="BJ454" s="34"/>
      <c r="BK454" s="34"/>
      <c r="BL454" s="34"/>
      <c r="BM454" s="34"/>
      <c r="BN454" s="34"/>
      <c r="BO454" s="34"/>
      <c r="BP454" s="34"/>
      <c r="BY454" s="34"/>
      <c r="BZ454" s="34"/>
      <c r="CA454" s="34"/>
      <c r="CB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</row>
    <row r="455" ht="15.75" customHeight="1">
      <c r="B455" s="34"/>
      <c r="E455" s="34"/>
      <c r="F455" s="34"/>
      <c r="G455" s="34"/>
      <c r="H455" s="34"/>
      <c r="I455" s="34"/>
      <c r="J455" s="34"/>
      <c r="K455" s="34"/>
      <c r="L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AA455" s="34"/>
      <c r="AB455" s="34"/>
      <c r="AC455" s="34"/>
      <c r="AD455" s="34"/>
      <c r="AE455" s="34"/>
      <c r="AF455" s="34"/>
      <c r="AG455" s="34"/>
      <c r="AH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I455" s="34"/>
      <c r="BJ455" s="34"/>
      <c r="BK455" s="34"/>
      <c r="BL455" s="34"/>
      <c r="BM455" s="34"/>
      <c r="BN455" s="34"/>
      <c r="BO455" s="34"/>
      <c r="BP455" s="34"/>
      <c r="BY455" s="34"/>
      <c r="BZ455" s="34"/>
      <c r="CA455" s="34"/>
      <c r="CB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</row>
    <row r="456" ht="15.75" customHeight="1">
      <c r="B456" s="34"/>
      <c r="E456" s="34"/>
      <c r="F456" s="34"/>
      <c r="G456" s="34"/>
      <c r="H456" s="34"/>
      <c r="I456" s="34"/>
      <c r="J456" s="34"/>
      <c r="K456" s="34"/>
      <c r="L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AA456" s="34"/>
      <c r="AB456" s="34"/>
      <c r="AC456" s="34"/>
      <c r="AD456" s="34"/>
      <c r="AE456" s="34"/>
      <c r="AF456" s="34"/>
      <c r="AG456" s="34"/>
      <c r="AH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I456" s="34"/>
      <c r="BJ456" s="34"/>
      <c r="BK456" s="34"/>
      <c r="BL456" s="34"/>
      <c r="BM456" s="34"/>
      <c r="BN456" s="34"/>
      <c r="BO456" s="34"/>
      <c r="BP456" s="34"/>
      <c r="BY456" s="34"/>
      <c r="BZ456" s="34"/>
      <c r="CA456" s="34"/>
      <c r="CB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</row>
    <row r="457" ht="15.75" customHeight="1">
      <c r="B457" s="34"/>
      <c r="E457" s="34"/>
      <c r="F457" s="34"/>
      <c r="G457" s="34"/>
      <c r="H457" s="34"/>
      <c r="I457" s="34"/>
      <c r="J457" s="34"/>
      <c r="K457" s="34"/>
      <c r="L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AA457" s="34"/>
      <c r="AB457" s="34"/>
      <c r="AC457" s="34"/>
      <c r="AD457" s="34"/>
      <c r="AE457" s="34"/>
      <c r="AF457" s="34"/>
      <c r="AG457" s="34"/>
      <c r="AH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I457" s="34"/>
      <c r="BJ457" s="34"/>
      <c r="BK457" s="34"/>
      <c r="BL457" s="34"/>
      <c r="BM457" s="34"/>
      <c r="BN457" s="34"/>
      <c r="BO457" s="34"/>
      <c r="BP457" s="34"/>
      <c r="BY457" s="34"/>
      <c r="BZ457" s="34"/>
      <c r="CA457" s="34"/>
      <c r="CB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</row>
    <row r="458" ht="15.75" customHeight="1">
      <c r="B458" s="34"/>
      <c r="E458" s="34"/>
      <c r="F458" s="34"/>
      <c r="G458" s="34"/>
      <c r="H458" s="34"/>
      <c r="I458" s="34"/>
      <c r="J458" s="34"/>
      <c r="K458" s="34"/>
      <c r="L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AA458" s="34"/>
      <c r="AB458" s="34"/>
      <c r="AC458" s="34"/>
      <c r="AD458" s="34"/>
      <c r="AE458" s="34"/>
      <c r="AF458" s="34"/>
      <c r="AG458" s="34"/>
      <c r="AH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I458" s="34"/>
      <c r="BJ458" s="34"/>
      <c r="BK458" s="34"/>
      <c r="BL458" s="34"/>
      <c r="BM458" s="34"/>
      <c r="BN458" s="34"/>
      <c r="BO458" s="34"/>
      <c r="BP458" s="34"/>
      <c r="BY458" s="34"/>
      <c r="BZ458" s="34"/>
      <c r="CA458" s="34"/>
      <c r="CB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</row>
    <row r="459" ht="15.75" customHeight="1">
      <c r="B459" s="34"/>
      <c r="E459" s="34"/>
      <c r="F459" s="34"/>
      <c r="G459" s="34"/>
      <c r="H459" s="34"/>
      <c r="I459" s="34"/>
      <c r="J459" s="34"/>
      <c r="K459" s="34"/>
      <c r="L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AA459" s="34"/>
      <c r="AB459" s="34"/>
      <c r="AC459" s="34"/>
      <c r="AD459" s="34"/>
      <c r="AE459" s="34"/>
      <c r="AF459" s="34"/>
      <c r="AG459" s="34"/>
      <c r="AH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I459" s="34"/>
      <c r="BJ459" s="34"/>
      <c r="BK459" s="34"/>
      <c r="BL459" s="34"/>
      <c r="BM459" s="34"/>
      <c r="BN459" s="34"/>
      <c r="BO459" s="34"/>
      <c r="BP459" s="34"/>
      <c r="BY459" s="34"/>
      <c r="BZ459" s="34"/>
      <c r="CA459" s="34"/>
      <c r="CB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</row>
    <row r="460" ht="15.75" customHeight="1">
      <c r="B460" s="34"/>
      <c r="E460" s="34"/>
      <c r="F460" s="34"/>
      <c r="G460" s="34"/>
      <c r="H460" s="34"/>
      <c r="I460" s="34"/>
      <c r="J460" s="34"/>
      <c r="K460" s="34"/>
      <c r="L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AA460" s="34"/>
      <c r="AB460" s="34"/>
      <c r="AC460" s="34"/>
      <c r="AD460" s="34"/>
      <c r="AE460" s="34"/>
      <c r="AF460" s="34"/>
      <c r="AG460" s="34"/>
      <c r="AH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I460" s="34"/>
      <c r="BJ460" s="34"/>
      <c r="BK460" s="34"/>
      <c r="BL460" s="34"/>
      <c r="BM460" s="34"/>
      <c r="BN460" s="34"/>
      <c r="BO460" s="34"/>
      <c r="BP460" s="34"/>
      <c r="BY460" s="34"/>
      <c r="BZ460" s="34"/>
      <c r="CA460" s="34"/>
      <c r="CB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</row>
    <row r="461" ht="15.75" customHeight="1">
      <c r="B461" s="34"/>
      <c r="E461" s="34"/>
      <c r="F461" s="34"/>
      <c r="G461" s="34"/>
      <c r="H461" s="34"/>
      <c r="I461" s="34"/>
      <c r="J461" s="34"/>
      <c r="K461" s="34"/>
      <c r="L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AA461" s="34"/>
      <c r="AB461" s="34"/>
      <c r="AC461" s="34"/>
      <c r="AD461" s="34"/>
      <c r="AE461" s="34"/>
      <c r="AF461" s="34"/>
      <c r="AG461" s="34"/>
      <c r="AH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I461" s="34"/>
      <c r="BJ461" s="34"/>
      <c r="BK461" s="34"/>
      <c r="BL461" s="34"/>
      <c r="BM461" s="34"/>
      <c r="BN461" s="34"/>
      <c r="BO461" s="34"/>
      <c r="BP461" s="34"/>
      <c r="BY461" s="34"/>
      <c r="BZ461" s="34"/>
      <c r="CA461" s="34"/>
      <c r="CB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</row>
    <row r="462" ht="15.75" customHeight="1">
      <c r="B462" s="34"/>
      <c r="E462" s="34"/>
      <c r="F462" s="34"/>
      <c r="G462" s="34"/>
      <c r="H462" s="34"/>
      <c r="I462" s="34"/>
      <c r="J462" s="34"/>
      <c r="K462" s="34"/>
      <c r="L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AA462" s="34"/>
      <c r="AB462" s="34"/>
      <c r="AC462" s="34"/>
      <c r="AD462" s="34"/>
      <c r="AE462" s="34"/>
      <c r="AF462" s="34"/>
      <c r="AG462" s="34"/>
      <c r="AH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I462" s="34"/>
      <c r="BJ462" s="34"/>
      <c r="BK462" s="34"/>
      <c r="BL462" s="34"/>
      <c r="BM462" s="34"/>
      <c r="BN462" s="34"/>
      <c r="BO462" s="34"/>
      <c r="BP462" s="34"/>
      <c r="BY462" s="34"/>
      <c r="BZ462" s="34"/>
      <c r="CA462" s="34"/>
      <c r="CB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</row>
    <row r="463" ht="15.75" customHeight="1">
      <c r="B463" s="34"/>
      <c r="E463" s="34"/>
      <c r="F463" s="34"/>
      <c r="G463" s="34"/>
      <c r="H463" s="34"/>
      <c r="I463" s="34"/>
      <c r="J463" s="34"/>
      <c r="K463" s="34"/>
      <c r="L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AA463" s="34"/>
      <c r="AB463" s="34"/>
      <c r="AC463" s="34"/>
      <c r="AD463" s="34"/>
      <c r="AE463" s="34"/>
      <c r="AF463" s="34"/>
      <c r="AG463" s="34"/>
      <c r="AH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I463" s="34"/>
      <c r="BJ463" s="34"/>
      <c r="BK463" s="34"/>
      <c r="BL463" s="34"/>
      <c r="BM463" s="34"/>
      <c r="BN463" s="34"/>
      <c r="BO463" s="34"/>
      <c r="BP463" s="34"/>
      <c r="BY463" s="34"/>
      <c r="BZ463" s="34"/>
      <c r="CA463" s="34"/>
      <c r="CB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</row>
    <row r="464" ht="15.75" customHeight="1">
      <c r="B464" s="34"/>
      <c r="E464" s="34"/>
      <c r="F464" s="34"/>
      <c r="G464" s="34"/>
      <c r="H464" s="34"/>
      <c r="I464" s="34"/>
      <c r="J464" s="34"/>
      <c r="K464" s="34"/>
      <c r="L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AA464" s="34"/>
      <c r="AB464" s="34"/>
      <c r="AC464" s="34"/>
      <c r="AD464" s="34"/>
      <c r="AE464" s="34"/>
      <c r="AF464" s="34"/>
      <c r="AG464" s="34"/>
      <c r="AH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I464" s="34"/>
      <c r="BJ464" s="34"/>
      <c r="BK464" s="34"/>
      <c r="BL464" s="34"/>
      <c r="BM464" s="34"/>
      <c r="BN464" s="34"/>
      <c r="BO464" s="34"/>
      <c r="BP464" s="34"/>
      <c r="BY464" s="34"/>
      <c r="BZ464" s="34"/>
      <c r="CA464" s="34"/>
      <c r="CB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</row>
    <row r="465" ht="15.75" customHeight="1">
      <c r="B465" s="34"/>
      <c r="E465" s="34"/>
      <c r="F465" s="34"/>
      <c r="G465" s="34"/>
      <c r="H465" s="34"/>
      <c r="I465" s="34"/>
      <c r="J465" s="34"/>
      <c r="K465" s="34"/>
      <c r="L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AA465" s="34"/>
      <c r="AB465" s="34"/>
      <c r="AC465" s="34"/>
      <c r="AD465" s="34"/>
      <c r="AE465" s="34"/>
      <c r="AF465" s="34"/>
      <c r="AG465" s="34"/>
      <c r="AH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I465" s="34"/>
      <c r="BJ465" s="34"/>
      <c r="BK465" s="34"/>
      <c r="BL465" s="34"/>
      <c r="BM465" s="34"/>
      <c r="BN465" s="34"/>
      <c r="BO465" s="34"/>
      <c r="BP465" s="34"/>
      <c r="BY465" s="34"/>
      <c r="BZ465" s="34"/>
      <c r="CA465" s="34"/>
      <c r="CB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</row>
    <row r="466" ht="15.75" customHeight="1">
      <c r="B466" s="34"/>
      <c r="E466" s="34"/>
      <c r="F466" s="34"/>
      <c r="G466" s="34"/>
      <c r="H466" s="34"/>
      <c r="I466" s="34"/>
      <c r="J466" s="34"/>
      <c r="K466" s="34"/>
      <c r="L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AA466" s="34"/>
      <c r="AB466" s="34"/>
      <c r="AC466" s="34"/>
      <c r="AD466" s="34"/>
      <c r="AE466" s="34"/>
      <c r="AF466" s="34"/>
      <c r="AG466" s="34"/>
      <c r="AH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I466" s="34"/>
      <c r="BJ466" s="34"/>
      <c r="BK466" s="34"/>
      <c r="BL466" s="34"/>
      <c r="BM466" s="34"/>
      <c r="BN466" s="34"/>
      <c r="BO466" s="34"/>
      <c r="BP466" s="34"/>
      <c r="BY466" s="34"/>
      <c r="BZ466" s="34"/>
      <c r="CA466" s="34"/>
      <c r="CB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</row>
    <row r="467" ht="15.75" customHeight="1">
      <c r="B467" s="34"/>
      <c r="E467" s="34"/>
      <c r="F467" s="34"/>
      <c r="G467" s="34"/>
      <c r="H467" s="34"/>
      <c r="I467" s="34"/>
      <c r="J467" s="34"/>
      <c r="K467" s="34"/>
      <c r="L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AA467" s="34"/>
      <c r="AB467" s="34"/>
      <c r="AC467" s="34"/>
      <c r="AD467" s="34"/>
      <c r="AE467" s="34"/>
      <c r="AF467" s="34"/>
      <c r="AG467" s="34"/>
      <c r="AH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I467" s="34"/>
      <c r="BJ467" s="34"/>
      <c r="BK467" s="34"/>
      <c r="BL467" s="34"/>
      <c r="BM467" s="34"/>
      <c r="BN467" s="34"/>
      <c r="BO467" s="34"/>
      <c r="BP467" s="34"/>
      <c r="BY467" s="34"/>
      <c r="BZ467" s="34"/>
      <c r="CA467" s="34"/>
      <c r="CB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</row>
    <row r="468" ht="15.75" customHeight="1">
      <c r="B468" s="34"/>
      <c r="E468" s="34"/>
      <c r="F468" s="34"/>
      <c r="G468" s="34"/>
      <c r="H468" s="34"/>
      <c r="I468" s="34"/>
      <c r="J468" s="34"/>
      <c r="K468" s="34"/>
      <c r="L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AA468" s="34"/>
      <c r="AB468" s="34"/>
      <c r="AC468" s="34"/>
      <c r="AD468" s="34"/>
      <c r="AE468" s="34"/>
      <c r="AF468" s="34"/>
      <c r="AG468" s="34"/>
      <c r="AH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I468" s="34"/>
      <c r="BJ468" s="34"/>
      <c r="BK468" s="34"/>
      <c r="BL468" s="34"/>
      <c r="BM468" s="34"/>
      <c r="BN468" s="34"/>
      <c r="BO468" s="34"/>
      <c r="BP468" s="34"/>
      <c r="BY468" s="34"/>
      <c r="BZ468" s="34"/>
      <c r="CA468" s="34"/>
      <c r="CB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</row>
    <row r="469" ht="15.75" customHeight="1">
      <c r="B469" s="34"/>
      <c r="E469" s="34"/>
      <c r="F469" s="34"/>
      <c r="G469" s="34"/>
      <c r="H469" s="34"/>
      <c r="I469" s="34"/>
      <c r="J469" s="34"/>
      <c r="K469" s="34"/>
      <c r="L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AA469" s="34"/>
      <c r="AB469" s="34"/>
      <c r="AC469" s="34"/>
      <c r="AD469" s="34"/>
      <c r="AE469" s="34"/>
      <c r="AF469" s="34"/>
      <c r="AG469" s="34"/>
      <c r="AH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I469" s="34"/>
      <c r="BJ469" s="34"/>
      <c r="BK469" s="34"/>
      <c r="BL469" s="34"/>
      <c r="BM469" s="34"/>
      <c r="BN469" s="34"/>
      <c r="BO469" s="34"/>
      <c r="BP469" s="34"/>
      <c r="BY469" s="34"/>
      <c r="BZ469" s="34"/>
      <c r="CA469" s="34"/>
      <c r="CB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</row>
    <row r="470" ht="15.75" customHeight="1">
      <c r="B470" s="34"/>
      <c r="E470" s="34"/>
      <c r="F470" s="34"/>
      <c r="G470" s="34"/>
      <c r="H470" s="34"/>
      <c r="I470" s="34"/>
      <c r="J470" s="34"/>
      <c r="K470" s="34"/>
      <c r="L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AA470" s="34"/>
      <c r="AB470" s="34"/>
      <c r="AC470" s="34"/>
      <c r="AD470" s="34"/>
      <c r="AE470" s="34"/>
      <c r="AF470" s="34"/>
      <c r="AG470" s="34"/>
      <c r="AH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I470" s="34"/>
      <c r="BJ470" s="34"/>
      <c r="BK470" s="34"/>
      <c r="BL470" s="34"/>
      <c r="BM470" s="34"/>
      <c r="BN470" s="34"/>
      <c r="BO470" s="34"/>
      <c r="BP470" s="34"/>
      <c r="BY470" s="34"/>
      <c r="BZ470" s="34"/>
      <c r="CA470" s="34"/>
      <c r="CB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</row>
    <row r="471" ht="15.75" customHeight="1">
      <c r="B471" s="34"/>
      <c r="E471" s="34"/>
      <c r="F471" s="34"/>
      <c r="G471" s="34"/>
      <c r="H471" s="34"/>
      <c r="I471" s="34"/>
      <c r="J471" s="34"/>
      <c r="K471" s="34"/>
      <c r="L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AA471" s="34"/>
      <c r="AB471" s="34"/>
      <c r="AC471" s="34"/>
      <c r="AD471" s="34"/>
      <c r="AE471" s="34"/>
      <c r="AF471" s="34"/>
      <c r="AG471" s="34"/>
      <c r="AH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I471" s="34"/>
      <c r="BJ471" s="34"/>
      <c r="BK471" s="34"/>
      <c r="BL471" s="34"/>
      <c r="BM471" s="34"/>
      <c r="BN471" s="34"/>
      <c r="BO471" s="34"/>
      <c r="BP471" s="34"/>
      <c r="BY471" s="34"/>
      <c r="BZ471" s="34"/>
      <c r="CA471" s="34"/>
      <c r="CB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</row>
    <row r="472" ht="15.75" customHeight="1">
      <c r="B472" s="34"/>
      <c r="E472" s="34"/>
      <c r="F472" s="34"/>
      <c r="G472" s="34"/>
      <c r="H472" s="34"/>
      <c r="I472" s="34"/>
      <c r="J472" s="34"/>
      <c r="K472" s="34"/>
      <c r="L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AA472" s="34"/>
      <c r="AB472" s="34"/>
      <c r="AC472" s="34"/>
      <c r="AD472" s="34"/>
      <c r="AE472" s="34"/>
      <c r="AF472" s="34"/>
      <c r="AG472" s="34"/>
      <c r="AH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I472" s="34"/>
      <c r="BJ472" s="34"/>
      <c r="BK472" s="34"/>
      <c r="BL472" s="34"/>
      <c r="BM472" s="34"/>
      <c r="BN472" s="34"/>
      <c r="BO472" s="34"/>
      <c r="BP472" s="34"/>
      <c r="BY472" s="34"/>
      <c r="BZ472" s="34"/>
      <c r="CA472" s="34"/>
      <c r="CB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</row>
    <row r="473" ht="15.75" customHeight="1">
      <c r="B473" s="34"/>
      <c r="E473" s="34"/>
      <c r="F473" s="34"/>
      <c r="G473" s="34"/>
      <c r="H473" s="34"/>
      <c r="I473" s="34"/>
      <c r="J473" s="34"/>
      <c r="K473" s="34"/>
      <c r="L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AA473" s="34"/>
      <c r="AB473" s="34"/>
      <c r="AC473" s="34"/>
      <c r="AD473" s="34"/>
      <c r="AE473" s="34"/>
      <c r="AF473" s="34"/>
      <c r="AG473" s="34"/>
      <c r="AH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I473" s="34"/>
      <c r="BJ473" s="34"/>
      <c r="BK473" s="34"/>
      <c r="BL473" s="34"/>
      <c r="BM473" s="34"/>
      <c r="BN473" s="34"/>
      <c r="BO473" s="34"/>
      <c r="BP473" s="34"/>
      <c r="BY473" s="34"/>
      <c r="BZ473" s="34"/>
      <c r="CA473" s="34"/>
      <c r="CB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</row>
    <row r="474" ht="15.75" customHeight="1">
      <c r="B474" s="34"/>
      <c r="E474" s="34"/>
      <c r="F474" s="34"/>
      <c r="G474" s="34"/>
      <c r="H474" s="34"/>
      <c r="I474" s="34"/>
      <c r="J474" s="34"/>
      <c r="K474" s="34"/>
      <c r="L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AA474" s="34"/>
      <c r="AB474" s="34"/>
      <c r="AC474" s="34"/>
      <c r="AD474" s="34"/>
      <c r="AE474" s="34"/>
      <c r="AF474" s="34"/>
      <c r="AG474" s="34"/>
      <c r="AH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I474" s="34"/>
      <c r="BJ474" s="34"/>
      <c r="BK474" s="34"/>
      <c r="BL474" s="34"/>
      <c r="BM474" s="34"/>
      <c r="BN474" s="34"/>
      <c r="BO474" s="34"/>
      <c r="BP474" s="34"/>
      <c r="BY474" s="34"/>
      <c r="BZ474" s="34"/>
      <c r="CA474" s="34"/>
      <c r="CB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</row>
    <row r="475" ht="15.75" customHeight="1">
      <c r="B475" s="34"/>
      <c r="E475" s="34"/>
      <c r="F475" s="34"/>
      <c r="G475" s="34"/>
      <c r="H475" s="34"/>
      <c r="I475" s="34"/>
      <c r="J475" s="34"/>
      <c r="K475" s="34"/>
      <c r="L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AA475" s="34"/>
      <c r="AB475" s="34"/>
      <c r="AC475" s="34"/>
      <c r="AD475" s="34"/>
      <c r="AE475" s="34"/>
      <c r="AF475" s="34"/>
      <c r="AG475" s="34"/>
      <c r="AH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I475" s="34"/>
      <c r="BJ475" s="34"/>
      <c r="BK475" s="34"/>
      <c r="BL475" s="34"/>
      <c r="BM475" s="34"/>
      <c r="BN475" s="34"/>
      <c r="BO475" s="34"/>
      <c r="BP475" s="34"/>
      <c r="BY475" s="34"/>
      <c r="BZ475" s="34"/>
      <c r="CA475" s="34"/>
      <c r="CB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</row>
    <row r="476" ht="15.75" customHeight="1">
      <c r="B476" s="34"/>
      <c r="E476" s="34"/>
      <c r="F476" s="34"/>
      <c r="G476" s="34"/>
      <c r="H476" s="34"/>
      <c r="I476" s="34"/>
      <c r="J476" s="34"/>
      <c r="K476" s="34"/>
      <c r="L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AA476" s="34"/>
      <c r="AB476" s="34"/>
      <c r="AC476" s="34"/>
      <c r="AD476" s="34"/>
      <c r="AE476" s="34"/>
      <c r="AF476" s="34"/>
      <c r="AG476" s="34"/>
      <c r="AH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I476" s="34"/>
      <c r="BJ476" s="34"/>
      <c r="BK476" s="34"/>
      <c r="BL476" s="34"/>
      <c r="BM476" s="34"/>
      <c r="BN476" s="34"/>
      <c r="BO476" s="34"/>
      <c r="BP476" s="34"/>
      <c r="BY476" s="34"/>
      <c r="BZ476" s="34"/>
      <c r="CA476" s="34"/>
      <c r="CB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</row>
    <row r="477" ht="15.75" customHeight="1">
      <c r="B477" s="34"/>
      <c r="E477" s="34"/>
      <c r="F477" s="34"/>
      <c r="G477" s="34"/>
      <c r="H477" s="34"/>
      <c r="I477" s="34"/>
      <c r="J477" s="34"/>
      <c r="K477" s="34"/>
      <c r="L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AA477" s="34"/>
      <c r="AB477" s="34"/>
      <c r="AC477" s="34"/>
      <c r="AD477" s="34"/>
      <c r="AE477" s="34"/>
      <c r="AF477" s="34"/>
      <c r="AG477" s="34"/>
      <c r="AH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I477" s="34"/>
      <c r="BJ477" s="34"/>
      <c r="BK477" s="34"/>
      <c r="BL477" s="34"/>
      <c r="BM477" s="34"/>
      <c r="BN477" s="34"/>
      <c r="BO477" s="34"/>
      <c r="BP477" s="34"/>
      <c r="BY477" s="34"/>
      <c r="BZ477" s="34"/>
      <c r="CA477" s="34"/>
      <c r="CB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</row>
    <row r="478" ht="15.75" customHeight="1">
      <c r="B478" s="34"/>
      <c r="E478" s="34"/>
      <c r="F478" s="34"/>
      <c r="G478" s="34"/>
      <c r="H478" s="34"/>
      <c r="I478" s="34"/>
      <c r="J478" s="34"/>
      <c r="K478" s="34"/>
      <c r="L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AA478" s="34"/>
      <c r="AB478" s="34"/>
      <c r="AC478" s="34"/>
      <c r="AD478" s="34"/>
      <c r="AE478" s="34"/>
      <c r="AF478" s="34"/>
      <c r="AG478" s="34"/>
      <c r="AH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I478" s="34"/>
      <c r="BJ478" s="34"/>
      <c r="BK478" s="34"/>
      <c r="BL478" s="34"/>
      <c r="BM478" s="34"/>
      <c r="BN478" s="34"/>
      <c r="BO478" s="34"/>
      <c r="BP478" s="34"/>
      <c r="BY478" s="34"/>
      <c r="BZ478" s="34"/>
      <c r="CA478" s="34"/>
      <c r="CB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</row>
    <row r="479" ht="15.75" customHeight="1">
      <c r="B479" s="34"/>
      <c r="E479" s="34"/>
      <c r="F479" s="34"/>
      <c r="G479" s="34"/>
      <c r="H479" s="34"/>
      <c r="I479" s="34"/>
      <c r="J479" s="34"/>
      <c r="K479" s="34"/>
      <c r="L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AA479" s="34"/>
      <c r="AB479" s="34"/>
      <c r="AC479" s="34"/>
      <c r="AD479" s="34"/>
      <c r="AE479" s="34"/>
      <c r="AF479" s="34"/>
      <c r="AG479" s="34"/>
      <c r="AH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I479" s="34"/>
      <c r="BJ479" s="34"/>
      <c r="BK479" s="34"/>
      <c r="BL479" s="34"/>
      <c r="BM479" s="34"/>
      <c r="BN479" s="34"/>
      <c r="BO479" s="34"/>
      <c r="BP479" s="34"/>
      <c r="BY479" s="34"/>
      <c r="BZ479" s="34"/>
      <c r="CA479" s="34"/>
      <c r="CB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</row>
    <row r="480" ht="15.75" customHeight="1">
      <c r="B480" s="34"/>
      <c r="E480" s="34"/>
      <c r="F480" s="34"/>
      <c r="G480" s="34"/>
      <c r="H480" s="34"/>
      <c r="I480" s="34"/>
      <c r="J480" s="34"/>
      <c r="K480" s="34"/>
      <c r="L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AA480" s="34"/>
      <c r="AB480" s="34"/>
      <c r="AC480" s="34"/>
      <c r="AD480" s="34"/>
      <c r="AE480" s="34"/>
      <c r="AF480" s="34"/>
      <c r="AG480" s="34"/>
      <c r="AH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I480" s="34"/>
      <c r="BJ480" s="34"/>
      <c r="BK480" s="34"/>
      <c r="BL480" s="34"/>
      <c r="BM480" s="34"/>
      <c r="BN480" s="34"/>
      <c r="BO480" s="34"/>
      <c r="BP480" s="34"/>
      <c r="BY480" s="34"/>
      <c r="BZ480" s="34"/>
      <c r="CA480" s="34"/>
      <c r="CB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</row>
    <row r="481" ht="15.75" customHeight="1">
      <c r="B481" s="34"/>
      <c r="E481" s="34"/>
      <c r="F481" s="34"/>
      <c r="G481" s="34"/>
      <c r="H481" s="34"/>
      <c r="I481" s="34"/>
      <c r="J481" s="34"/>
      <c r="K481" s="34"/>
      <c r="L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AA481" s="34"/>
      <c r="AB481" s="34"/>
      <c r="AC481" s="34"/>
      <c r="AD481" s="34"/>
      <c r="AE481" s="34"/>
      <c r="AF481" s="34"/>
      <c r="AG481" s="34"/>
      <c r="AH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I481" s="34"/>
      <c r="BJ481" s="34"/>
      <c r="BK481" s="34"/>
      <c r="BL481" s="34"/>
      <c r="BM481" s="34"/>
      <c r="BN481" s="34"/>
      <c r="BO481" s="34"/>
      <c r="BP481" s="34"/>
      <c r="BY481" s="34"/>
      <c r="BZ481" s="34"/>
      <c r="CA481" s="34"/>
      <c r="CB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</row>
    <row r="482" ht="15.75" customHeight="1">
      <c r="B482" s="34"/>
      <c r="E482" s="34"/>
      <c r="F482" s="34"/>
      <c r="G482" s="34"/>
      <c r="H482" s="34"/>
      <c r="I482" s="34"/>
      <c r="J482" s="34"/>
      <c r="K482" s="34"/>
      <c r="L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AA482" s="34"/>
      <c r="AB482" s="34"/>
      <c r="AC482" s="34"/>
      <c r="AD482" s="34"/>
      <c r="AE482" s="34"/>
      <c r="AF482" s="34"/>
      <c r="AG482" s="34"/>
      <c r="AH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I482" s="34"/>
      <c r="BJ482" s="34"/>
      <c r="BK482" s="34"/>
      <c r="BL482" s="34"/>
      <c r="BM482" s="34"/>
      <c r="BN482" s="34"/>
      <c r="BO482" s="34"/>
      <c r="BP482" s="34"/>
      <c r="BY482" s="34"/>
      <c r="BZ482" s="34"/>
      <c r="CA482" s="34"/>
      <c r="CB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</row>
    <row r="483" ht="15.75" customHeight="1">
      <c r="B483" s="34"/>
      <c r="E483" s="34"/>
      <c r="F483" s="34"/>
      <c r="G483" s="34"/>
      <c r="H483" s="34"/>
      <c r="I483" s="34"/>
      <c r="J483" s="34"/>
      <c r="K483" s="34"/>
      <c r="L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AA483" s="34"/>
      <c r="AB483" s="34"/>
      <c r="AC483" s="34"/>
      <c r="AD483" s="34"/>
      <c r="AE483" s="34"/>
      <c r="AF483" s="34"/>
      <c r="AG483" s="34"/>
      <c r="AH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I483" s="34"/>
      <c r="BJ483" s="34"/>
      <c r="BK483" s="34"/>
      <c r="BL483" s="34"/>
      <c r="BM483" s="34"/>
      <c r="BN483" s="34"/>
      <c r="BO483" s="34"/>
      <c r="BP483" s="34"/>
      <c r="BY483" s="34"/>
      <c r="BZ483" s="34"/>
      <c r="CA483" s="34"/>
      <c r="CB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</row>
    <row r="484" ht="15.75" customHeight="1">
      <c r="B484" s="34"/>
      <c r="E484" s="34"/>
      <c r="F484" s="34"/>
      <c r="G484" s="34"/>
      <c r="H484" s="34"/>
      <c r="I484" s="34"/>
      <c r="J484" s="34"/>
      <c r="K484" s="34"/>
      <c r="L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AA484" s="34"/>
      <c r="AB484" s="34"/>
      <c r="AC484" s="34"/>
      <c r="AD484" s="34"/>
      <c r="AE484" s="34"/>
      <c r="AF484" s="34"/>
      <c r="AG484" s="34"/>
      <c r="AH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I484" s="34"/>
      <c r="BJ484" s="34"/>
      <c r="BK484" s="34"/>
      <c r="BL484" s="34"/>
      <c r="BM484" s="34"/>
      <c r="BN484" s="34"/>
      <c r="BO484" s="34"/>
      <c r="BP484" s="34"/>
      <c r="BY484" s="34"/>
      <c r="BZ484" s="34"/>
      <c r="CA484" s="34"/>
      <c r="CB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</row>
    <row r="485" ht="15.75" customHeight="1">
      <c r="B485" s="34"/>
      <c r="E485" s="34"/>
      <c r="F485" s="34"/>
      <c r="G485" s="34"/>
      <c r="H485" s="34"/>
      <c r="I485" s="34"/>
      <c r="J485" s="34"/>
      <c r="K485" s="34"/>
      <c r="L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AA485" s="34"/>
      <c r="AB485" s="34"/>
      <c r="AC485" s="34"/>
      <c r="AD485" s="34"/>
      <c r="AE485" s="34"/>
      <c r="AF485" s="34"/>
      <c r="AG485" s="34"/>
      <c r="AH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I485" s="34"/>
      <c r="BJ485" s="34"/>
      <c r="BK485" s="34"/>
      <c r="BL485" s="34"/>
      <c r="BM485" s="34"/>
      <c r="BN485" s="34"/>
      <c r="BO485" s="34"/>
      <c r="BP485" s="34"/>
      <c r="BY485" s="34"/>
      <c r="BZ485" s="34"/>
      <c r="CA485" s="34"/>
      <c r="CB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</row>
    <row r="486" ht="15.75" customHeight="1">
      <c r="B486" s="34"/>
      <c r="E486" s="34"/>
      <c r="F486" s="34"/>
      <c r="G486" s="34"/>
      <c r="H486" s="34"/>
      <c r="I486" s="34"/>
      <c r="J486" s="34"/>
      <c r="K486" s="34"/>
      <c r="L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AA486" s="34"/>
      <c r="AB486" s="34"/>
      <c r="AC486" s="34"/>
      <c r="AD486" s="34"/>
      <c r="AE486" s="34"/>
      <c r="AF486" s="34"/>
      <c r="AG486" s="34"/>
      <c r="AH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I486" s="34"/>
      <c r="BJ486" s="34"/>
      <c r="BK486" s="34"/>
      <c r="BL486" s="34"/>
      <c r="BM486" s="34"/>
      <c r="BN486" s="34"/>
      <c r="BO486" s="34"/>
      <c r="BP486" s="34"/>
      <c r="BY486" s="34"/>
      <c r="BZ486" s="34"/>
      <c r="CA486" s="34"/>
      <c r="CB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</row>
    <row r="487" ht="15.75" customHeight="1">
      <c r="B487" s="34"/>
      <c r="E487" s="34"/>
      <c r="F487" s="34"/>
      <c r="G487" s="34"/>
      <c r="H487" s="34"/>
      <c r="I487" s="34"/>
      <c r="J487" s="34"/>
      <c r="K487" s="34"/>
      <c r="L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AA487" s="34"/>
      <c r="AB487" s="34"/>
      <c r="AC487" s="34"/>
      <c r="AD487" s="34"/>
      <c r="AE487" s="34"/>
      <c r="AF487" s="34"/>
      <c r="AG487" s="34"/>
      <c r="AH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I487" s="34"/>
      <c r="BJ487" s="34"/>
      <c r="BK487" s="34"/>
      <c r="BL487" s="34"/>
      <c r="BM487" s="34"/>
      <c r="BN487" s="34"/>
      <c r="BO487" s="34"/>
      <c r="BP487" s="34"/>
      <c r="BY487" s="34"/>
      <c r="BZ487" s="34"/>
      <c r="CA487" s="34"/>
      <c r="CB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</row>
    <row r="488" ht="15.75" customHeight="1">
      <c r="B488" s="34"/>
      <c r="E488" s="34"/>
      <c r="F488" s="34"/>
      <c r="G488" s="34"/>
      <c r="H488" s="34"/>
      <c r="I488" s="34"/>
      <c r="J488" s="34"/>
      <c r="K488" s="34"/>
      <c r="L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AA488" s="34"/>
      <c r="AB488" s="34"/>
      <c r="AC488" s="34"/>
      <c r="AD488" s="34"/>
      <c r="AE488" s="34"/>
      <c r="AF488" s="34"/>
      <c r="AG488" s="34"/>
      <c r="AH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I488" s="34"/>
      <c r="BJ488" s="34"/>
      <c r="BK488" s="34"/>
      <c r="BL488" s="34"/>
      <c r="BM488" s="34"/>
      <c r="BN488" s="34"/>
      <c r="BO488" s="34"/>
      <c r="BP488" s="34"/>
      <c r="BY488" s="34"/>
      <c r="BZ488" s="34"/>
      <c r="CA488" s="34"/>
      <c r="CB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</row>
    <row r="489" ht="15.75" customHeight="1">
      <c r="B489" s="34"/>
      <c r="E489" s="34"/>
      <c r="F489" s="34"/>
      <c r="G489" s="34"/>
      <c r="H489" s="34"/>
      <c r="I489" s="34"/>
      <c r="J489" s="34"/>
      <c r="K489" s="34"/>
      <c r="L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AA489" s="34"/>
      <c r="AB489" s="34"/>
      <c r="AC489" s="34"/>
      <c r="AD489" s="34"/>
      <c r="AE489" s="34"/>
      <c r="AF489" s="34"/>
      <c r="AG489" s="34"/>
      <c r="AH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I489" s="34"/>
      <c r="BJ489" s="34"/>
      <c r="BK489" s="34"/>
      <c r="BL489" s="34"/>
      <c r="BM489" s="34"/>
      <c r="BN489" s="34"/>
      <c r="BO489" s="34"/>
      <c r="BP489" s="34"/>
      <c r="BY489" s="34"/>
      <c r="BZ489" s="34"/>
      <c r="CA489" s="34"/>
      <c r="CB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</row>
    <row r="490" ht="15.75" customHeight="1">
      <c r="B490" s="34"/>
      <c r="E490" s="34"/>
      <c r="F490" s="34"/>
      <c r="G490" s="34"/>
      <c r="H490" s="34"/>
      <c r="I490" s="34"/>
      <c r="J490" s="34"/>
      <c r="K490" s="34"/>
      <c r="L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AA490" s="34"/>
      <c r="AB490" s="34"/>
      <c r="AC490" s="34"/>
      <c r="AD490" s="34"/>
      <c r="AE490" s="34"/>
      <c r="AF490" s="34"/>
      <c r="AG490" s="34"/>
      <c r="AH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I490" s="34"/>
      <c r="BJ490" s="34"/>
      <c r="BK490" s="34"/>
      <c r="BL490" s="34"/>
      <c r="BM490" s="34"/>
      <c r="BN490" s="34"/>
      <c r="BO490" s="34"/>
      <c r="BP490" s="34"/>
      <c r="BY490" s="34"/>
      <c r="BZ490" s="34"/>
      <c r="CA490" s="34"/>
      <c r="CB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</row>
    <row r="491" ht="15.75" customHeight="1">
      <c r="B491" s="34"/>
      <c r="E491" s="34"/>
      <c r="F491" s="34"/>
      <c r="G491" s="34"/>
      <c r="H491" s="34"/>
      <c r="I491" s="34"/>
      <c r="J491" s="34"/>
      <c r="K491" s="34"/>
      <c r="L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AA491" s="34"/>
      <c r="AB491" s="34"/>
      <c r="AC491" s="34"/>
      <c r="AD491" s="34"/>
      <c r="AE491" s="34"/>
      <c r="AF491" s="34"/>
      <c r="AG491" s="34"/>
      <c r="AH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I491" s="34"/>
      <c r="BJ491" s="34"/>
      <c r="BK491" s="34"/>
      <c r="BL491" s="34"/>
      <c r="BM491" s="34"/>
      <c r="BN491" s="34"/>
      <c r="BO491" s="34"/>
      <c r="BP491" s="34"/>
      <c r="BY491" s="34"/>
      <c r="BZ491" s="34"/>
      <c r="CA491" s="34"/>
      <c r="CB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</row>
    <row r="492" ht="15.75" customHeight="1">
      <c r="B492" s="34"/>
      <c r="E492" s="34"/>
      <c r="F492" s="34"/>
      <c r="G492" s="34"/>
      <c r="H492" s="34"/>
      <c r="I492" s="34"/>
      <c r="J492" s="34"/>
      <c r="K492" s="34"/>
      <c r="L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AA492" s="34"/>
      <c r="AB492" s="34"/>
      <c r="AC492" s="34"/>
      <c r="AD492" s="34"/>
      <c r="AE492" s="34"/>
      <c r="AF492" s="34"/>
      <c r="AG492" s="34"/>
      <c r="AH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I492" s="34"/>
      <c r="BJ492" s="34"/>
      <c r="BK492" s="34"/>
      <c r="BL492" s="34"/>
      <c r="BM492" s="34"/>
      <c r="BN492" s="34"/>
      <c r="BO492" s="34"/>
      <c r="BP492" s="34"/>
      <c r="BY492" s="34"/>
      <c r="BZ492" s="34"/>
      <c r="CA492" s="34"/>
      <c r="CB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</row>
    <row r="493" ht="15.75" customHeight="1">
      <c r="B493" s="34"/>
      <c r="E493" s="34"/>
      <c r="F493" s="34"/>
      <c r="G493" s="34"/>
      <c r="H493" s="34"/>
      <c r="I493" s="34"/>
      <c r="J493" s="34"/>
      <c r="K493" s="34"/>
      <c r="L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AA493" s="34"/>
      <c r="AB493" s="34"/>
      <c r="AC493" s="34"/>
      <c r="AD493" s="34"/>
      <c r="AE493" s="34"/>
      <c r="AF493" s="34"/>
      <c r="AG493" s="34"/>
      <c r="AH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I493" s="34"/>
      <c r="BJ493" s="34"/>
      <c r="BK493" s="34"/>
      <c r="BL493" s="34"/>
      <c r="BM493" s="34"/>
      <c r="BN493" s="34"/>
      <c r="BO493" s="34"/>
      <c r="BP493" s="34"/>
      <c r="BY493" s="34"/>
      <c r="BZ493" s="34"/>
      <c r="CA493" s="34"/>
      <c r="CB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</row>
    <row r="494" ht="15.75" customHeight="1">
      <c r="B494" s="34"/>
      <c r="E494" s="34"/>
      <c r="F494" s="34"/>
      <c r="G494" s="34"/>
      <c r="H494" s="34"/>
      <c r="I494" s="34"/>
      <c r="J494" s="34"/>
      <c r="K494" s="34"/>
      <c r="L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AA494" s="34"/>
      <c r="AB494" s="34"/>
      <c r="AC494" s="34"/>
      <c r="AD494" s="34"/>
      <c r="AE494" s="34"/>
      <c r="AF494" s="34"/>
      <c r="AG494" s="34"/>
      <c r="AH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I494" s="34"/>
      <c r="BJ494" s="34"/>
      <c r="BK494" s="34"/>
      <c r="BL494" s="34"/>
      <c r="BM494" s="34"/>
      <c r="BN494" s="34"/>
      <c r="BO494" s="34"/>
      <c r="BP494" s="34"/>
      <c r="BY494" s="34"/>
      <c r="BZ494" s="34"/>
      <c r="CA494" s="34"/>
      <c r="CB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</row>
    <row r="495" ht="15.75" customHeight="1">
      <c r="B495" s="34"/>
      <c r="E495" s="34"/>
      <c r="F495" s="34"/>
      <c r="G495" s="34"/>
      <c r="H495" s="34"/>
      <c r="I495" s="34"/>
      <c r="J495" s="34"/>
      <c r="K495" s="34"/>
      <c r="L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AA495" s="34"/>
      <c r="AB495" s="34"/>
      <c r="AC495" s="34"/>
      <c r="AD495" s="34"/>
      <c r="AE495" s="34"/>
      <c r="AF495" s="34"/>
      <c r="AG495" s="34"/>
      <c r="AH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I495" s="34"/>
      <c r="BJ495" s="34"/>
      <c r="BK495" s="34"/>
      <c r="BL495" s="34"/>
      <c r="BM495" s="34"/>
      <c r="BN495" s="34"/>
      <c r="BO495" s="34"/>
      <c r="BP495" s="34"/>
      <c r="BY495" s="34"/>
      <c r="BZ495" s="34"/>
      <c r="CA495" s="34"/>
      <c r="CB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</row>
    <row r="496" ht="15.75" customHeight="1">
      <c r="B496" s="34"/>
      <c r="E496" s="34"/>
      <c r="F496" s="34"/>
      <c r="G496" s="34"/>
      <c r="H496" s="34"/>
      <c r="I496" s="34"/>
      <c r="J496" s="34"/>
      <c r="K496" s="34"/>
      <c r="L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AA496" s="34"/>
      <c r="AB496" s="34"/>
      <c r="AC496" s="34"/>
      <c r="AD496" s="34"/>
      <c r="AE496" s="34"/>
      <c r="AF496" s="34"/>
      <c r="AG496" s="34"/>
      <c r="AH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I496" s="34"/>
      <c r="BJ496" s="34"/>
      <c r="BK496" s="34"/>
      <c r="BL496" s="34"/>
      <c r="BM496" s="34"/>
      <c r="BN496" s="34"/>
      <c r="BO496" s="34"/>
      <c r="BP496" s="34"/>
      <c r="BY496" s="34"/>
      <c r="BZ496" s="34"/>
      <c r="CA496" s="34"/>
      <c r="CB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</row>
    <row r="497" ht="15.75" customHeight="1">
      <c r="B497" s="34"/>
      <c r="E497" s="34"/>
      <c r="F497" s="34"/>
      <c r="G497" s="34"/>
      <c r="H497" s="34"/>
      <c r="I497" s="34"/>
      <c r="J497" s="34"/>
      <c r="K497" s="34"/>
      <c r="L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AA497" s="34"/>
      <c r="AB497" s="34"/>
      <c r="AC497" s="34"/>
      <c r="AD497" s="34"/>
      <c r="AE497" s="34"/>
      <c r="AF497" s="34"/>
      <c r="AG497" s="34"/>
      <c r="AH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I497" s="34"/>
      <c r="BJ497" s="34"/>
      <c r="BK497" s="34"/>
      <c r="BL497" s="34"/>
      <c r="BM497" s="34"/>
      <c r="BN497" s="34"/>
      <c r="BO497" s="34"/>
      <c r="BP497" s="34"/>
      <c r="BY497" s="34"/>
      <c r="BZ497" s="34"/>
      <c r="CA497" s="34"/>
      <c r="CB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</row>
    <row r="498" ht="15.75" customHeight="1">
      <c r="B498" s="34"/>
      <c r="E498" s="34"/>
      <c r="F498" s="34"/>
      <c r="G498" s="34"/>
      <c r="H498" s="34"/>
      <c r="I498" s="34"/>
      <c r="J498" s="34"/>
      <c r="K498" s="34"/>
      <c r="L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AA498" s="34"/>
      <c r="AB498" s="34"/>
      <c r="AC498" s="34"/>
      <c r="AD498" s="34"/>
      <c r="AE498" s="34"/>
      <c r="AF498" s="34"/>
      <c r="AG498" s="34"/>
      <c r="AH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I498" s="34"/>
      <c r="BJ498" s="34"/>
      <c r="BK498" s="34"/>
      <c r="BL498" s="34"/>
      <c r="BM498" s="34"/>
      <c r="BN498" s="34"/>
      <c r="BO498" s="34"/>
      <c r="BP498" s="34"/>
      <c r="BY498" s="34"/>
      <c r="BZ498" s="34"/>
      <c r="CA498" s="34"/>
      <c r="CB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</row>
    <row r="499" ht="15.75" customHeight="1">
      <c r="B499" s="34"/>
      <c r="E499" s="34"/>
      <c r="F499" s="34"/>
      <c r="G499" s="34"/>
      <c r="H499" s="34"/>
      <c r="I499" s="34"/>
      <c r="J499" s="34"/>
      <c r="K499" s="34"/>
      <c r="L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AA499" s="34"/>
      <c r="AB499" s="34"/>
      <c r="AC499" s="34"/>
      <c r="AD499" s="34"/>
      <c r="AE499" s="34"/>
      <c r="AF499" s="34"/>
      <c r="AG499" s="34"/>
      <c r="AH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I499" s="34"/>
      <c r="BJ499" s="34"/>
      <c r="BK499" s="34"/>
      <c r="BL499" s="34"/>
      <c r="BM499" s="34"/>
      <c r="BN499" s="34"/>
      <c r="BO499" s="34"/>
      <c r="BP499" s="34"/>
      <c r="BY499" s="34"/>
      <c r="BZ499" s="34"/>
      <c r="CA499" s="34"/>
      <c r="CB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</row>
    <row r="500" ht="15.75" customHeight="1">
      <c r="B500" s="34"/>
      <c r="E500" s="34"/>
      <c r="F500" s="34"/>
      <c r="G500" s="34"/>
      <c r="H500" s="34"/>
      <c r="I500" s="34"/>
      <c r="J500" s="34"/>
      <c r="K500" s="34"/>
      <c r="L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AA500" s="34"/>
      <c r="AB500" s="34"/>
      <c r="AC500" s="34"/>
      <c r="AD500" s="34"/>
      <c r="AE500" s="34"/>
      <c r="AF500" s="34"/>
      <c r="AG500" s="34"/>
      <c r="AH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I500" s="34"/>
      <c r="BJ500" s="34"/>
      <c r="BK500" s="34"/>
      <c r="BL500" s="34"/>
      <c r="BM500" s="34"/>
      <c r="BN500" s="34"/>
      <c r="BO500" s="34"/>
      <c r="BP500" s="34"/>
      <c r="BY500" s="34"/>
      <c r="BZ500" s="34"/>
      <c r="CA500" s="34"/>
      <c r="CB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</row>
    <row r="501" ht="15.75" customHeight="1">
      <c r="B501" s="34"/>
      <c r="E501" s="34"/>
      <c r="F501" s="34"/>
      <c r="G501" s="34"/>
      <c r="H501" s="34"/>
      <c r="I501" s="34"/>
      <c r="J501" s="34"/>
      <c r="K501" s="34"/>
      <c r="L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AA501" s="34"/>
      <c r="AB501" s="34"/>
      <c r="AC501" s="34"/>
      <c r="AD501" s="34"/>
      <c r="AE501" s="34"/>
      <c r="AF501" s="34"/>
      <c r="AG501" s="34"/>
      <c r="AH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I501" s="34"/>
      <c r="BJ501" s="34"/>
      <c r="BK501" s="34"/>
      <c r="BL501" s="34"/>
      <c r="BM501" s="34"/>
      <c r="BN501" s="34"/>
      <c r="BO501" s="34"/>
      <c r="BP501" s="34"/>
      <c r="BY501" s="34"/>
      <c r="BZ501" s="34"/>
      <c r="CA501" s="34"/>
      <c r="CB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</row>
    <row r="502" ht="15.75" customHeight="1">
      <c r="B502" s="34"/>
      <c r="E502" s="34"/>
      <c r="F502" s="34"/>
      <c r="G502" s="34"/>
      <c r="H502" s="34"/>
      <c r="I502" s="34"/>
      <c r="J502" s="34"/>
      <c r="K502" s="34"/>
      <c r="L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AA502" s="34"/>
      <c r="AB502" s="34"/>
      <c r="AC502" s="34"/>
      <c r="AD502" s="34"/>
      <c r="AE502" s="34"/>
      <c r="AF502" s="34"/>
      <c r="AG502" s="34"/>
      <c r="AH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I502" s="34"/>
      <c r="BJ502" s="34"/>
      <c r="BK502" s="34"/>
      <c r="BL502" s="34"/>
      <c r="BM502" s="34"/>
      <c r="BN502" s="34"/>
      <c r="BO502" s="34"/>
      <c r="BP502" s="34"/>
      <c r="BY502" s="34"/>
      <c r="BZ502" s="34"/>
      <c r="CA502" s="34"/>
      <c r="CB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</row>
    <row r="503" ht="15.75" customHeight="1">
      <c r="B503" s="34"/>
      <c r="E503" s="34"/>
      <c r="F503" s="34"/>
      <c r="G503" s="34"/>
      <c r="H503" s="34"/>
      <c r="I503" s="34"/>
      <c r="J503" s="34"/>
      <c r="K503" s="34"/>
      <c r="L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AA503" s="34"/>
      <c r="AB503" s="34"/>
      <c r="AC503" s="34"/>
      <c r="AD503" s="34"/>
      <c r="AE503" s="34"/>
      <c r="AF503" s="34"/>
      <c r="AG503" s="34"/>
      <c r="AH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I503" s="34"/>
      <c r="BJ503" s="34"/>
      <c r="BK503" s="34"/>
      <c r="BL503" s="34"/>
      <c r="BM503" s="34"/>
      <c r="BN503" s="34"/>
      <c r="BO503" s="34"/>
      <c r="BP503" s="34"/>
      <c r="BY503" s="34"/>
      <c r="BZ503" s="34"/>
      <c r="CA503" s="34"/>
      <c r="CB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</row>
    <row r="504" ht="15.75" customHeight="1">
      <c r="B504" s="34"/>
      <c r="E504" s="34"/>
      <c r="F504" s="34"/>
      <c r="G504" s="34"/>
      <c r="H504" s="34"/>
      <c r="I504" s="34"/>
      <c r="J504" s="34"/>
      <c r="K504" s="34"/>
      <c r="L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AA504" s="34"/>
      <c r="AB504" s="34"/>
      <c r="AC504" s="34"/>
      <c r="AD504" s="34"/>
      <c r="AE504" s="34"/>
      <c r="AF504" s="34"/>
      <c r="AG504" s="34"/>
      <c r="AH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I504" s="34"/>
      <c r="BJ504" s="34"/>
      <c r="BK504" s="34"/>
      <c r="BL504" s="34"/>
      <c r="BM504" s="34"/>
      <c r="BN504" s="34"/>
      <c r="BO504" s="34"/>
      <c r="BP504" s="34"/>
      <c r="BY504" s="34"/>
      <c r="BZ504" s="34"/>
      <c r="CA504" s="34"/>
      <c r="CB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</row>
    <row r="505" ht="15.75" customHeight="1">
      <c r="B505" s="34"/>
      <c r="E505" s="34"/>
      <c r="F505" s="34"/>
      <c r="G505" s="34"/>
      <c r="H505" s="34"/>
      <c r="I505" s="34"/>
      <c r="J505" s="34"/>
      <c r="K505" s="34"/>
      <c r="L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AA505" s="34"/>
      <c r="AB505" s="34"/>
      <c r="AC505" s="34"/>
      <c r="AD505" s="34"/>
      <c r="AE505" s="34"/>
      <c r="AF505" s="34"/>
      <c r="AG505" s="34"/>
      <c r="AH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I505" s="34"/>
      <c r="BJ505" s="34"/>
      <c r="BK505" s="34"/>
      <c r="BL505" s="34"/>
      <c r="BM505" s="34"/>
      <c r="BN505" s="34"/>
      <c r="BO505" s="34"/>
      <c r="BP505" s="34"/>
      <c r="BY505" s="34"/>
      <c r="BZ505" s="34"/>
      <c r="CA505" s="34"/>
      <c r="CB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</row>
    <row r="506" ht="15.75" customHeight="1">
      <c r="B506" s="34"/>
      <c r="E506" s="34"/>
      <c r="F506" s="34"/>
      <c r="G506" s="34"/>
      <c r="H506" s="34"/>
      <c r="I506" s="34"/>
      <c r="J506" s="34"/>
      <c r="K506" s="34"/>
      <c r="L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AA506" s="34"/>
      <c r="AB506" s="34"/>
      <c r="AC506" s="34"/>
      <c r="AD506" s="34"/>
      <c r="AE506" s="34"/>
      <c r="AF506" s="34"/>
      <c r="AG506" s="34"/>
      <c r="AH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I506" s="34"/>
      <c r="BJ506" s="34"/>
      <c r="BK506" s="34"/>
      <c r="BL506" s="34"/>
      <c r="BM506" s="34"/>
      <c r="BN506" s="34"/>
      <c r="BO506" s="34"/>
      <c r="BP506" s="34"/>
      <c r="BY506" s="34"/>
      <c r="BZ506" s="34"/>
      <c r="CA506" s="34"/>
      <c r="CB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</row>
    <row r="507" ht="15.75" customHeight="1">
      <c r="B507" s="34"/>
      <c r="E507" s="34"/>
      <c r="F507" s="34"/>
      <c r="G507" s="34"/>
      <c r="H507" s="34"/>
      <c r="I507" s="34"/>
      <c r="J507" s="34"/>
      <c r="K507" s="34"/>
      <c r="L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AA507" s="34"/>
      <c r="AB507" s="34"/>
      <c r="AC507" s="34"/>
      <c r="AD507" s="34"/>
      <c r="AE507" s="34"/>
      <c r="AF507" s="34"/>
      <c r="AG507" s="34"/>
      <c r="AH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I507" s="34"/>
      <c r="BJ507" s="34"/>
      <c r="BK507" s="34"/>
      <c r="BL507" s="34"/>
      <c r="BM507" s="34"/>
      <c r="BN507" s="34"/>
      <c r="BO507" s="34"/>
      <c r="BP507" s="34"/>
      <c r="BY507" s="34"/>
      <c r="BZ507" s="34"/>
      <c r="CA507" s="34"/>
      <c r="CB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</row>
    <row r="508" ht="15.75" customHeight="1">
      <c r="B508" s="34"/>
      <c r="E508" s="34"/>
      <c r="F508" s="34"/>
      <c r="G508" s="34"/>
      <c r="H508" s="34"/>
      <c r="I508" s="34"/>
      <c r="J508" s="34"/>
      <c r="K508" s="34"/>
      <c r="L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AA508" s="34"/>
      <c r="AB508" s="34"/>
      <c r="AC508" s="34"/>
      <c r="AD508" s="34"/>
      <c r="AE508" s="34"/>
      <c r="AF508" s="34"/>
      <c r="AG508" s="34"/>
      <c r="AH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I508" s="34"/>
      <c r="BJ508" s="34"/>
      <c r="BK508" s="34"/>
      <c r="BL508" s="34"/>
      <c r="BM508" s="34"/>
      <c r="BN508" s="34"/>
      <c r="BO508" s="34"/>
      <c r="BP508" s="34"/>
      <c r="BY508" s="34"/>
      <c r="BZ508" s="34"/>
      <c r="CA508" s="34"/>
      <c r="CB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</row>
    <row r="509" ht="15.75" customHeight="1">
      <c r="B509" s="34"/>
      <c r="E509" s="34"/>
      <c r="F509" s="34"/>
      <c r="G509" s="34"/>
      <c r="H509" s="34"/>
      <c r="I509" s="34"/>
      <c r="J509" s="34"/>
      <c r="K509" s="34"/>
      <c r="L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AA509" s="34"/>
      <c r="AB509" s="34"/>
      <c r="AC509" s="34"/>
      <c r="AD509" s="34"/>
      <c r="AE509" s="34"/>
      <c r="AF509" s="34"/>
      <c r="AG509" s="34"/>
      <c r="AH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I509" s="34"/>
      <c r="BJ509" s="34"/>
      <c r="BK509" s="34"/>
      <c r="BL509" s="34"/>
      <c r="BM509" s="34"/>
      <c r="BN509" s="34"/>
      <c r="BO509" s="34"/>
      <c r="BP509" s="34"/>
      <c r="BY509" s="34"/>
      <c r="BZ509" s="34"/>
      <c r="CA509" s="34"/>
      <c r="CB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</row>
    <row r="510" ht="15.75" customHeight="1">
      <c r="B510" s="34"/>
      <c r="E510" s="34"/>
      <c r="F510" s="34"/>
      <c r="G510" s="34"/>
      <c r="H510" s="34"/>
      <c r="I510" s="34"/>
      <c r="J510" s="34"/>
      <c r="K510" s="34"/>
      <c r="L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AA510" s="34"/>
      <c r="AB510" s="34"/>
      <c r="AC510" s="34"/>
      <c r="AD510" s="34"/>
      <c r="AE510" s="34"/>
      <c r="AF510" s="34"/>
      <c r="AG510" s="34"/>
      <c r="AH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I510" s="34"/>
      <c r="BJ510" s="34"/>
      <c r="BK510" s="34"/>
      <c r="BL510" s="34"/>
      <c r="BM510" s="34"/>
      <c r="BN510" s="34"/>
      <c r="BO510" s="34"/>
      <c r="BP510" s="34"/>
      <c r="BY510" s="34"/>
      <c r="BZ510" s="34"/>
      <c r="CA510" s="34"/>
      <c r="CB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</row>
    <row r="511" ht="15.75" customHeight="1">
      <c r="B511" s="34"/>
      <c r="E511" s="34"/>
      <c r="F511" s="34"/>
      <c r="G511" s="34"/>
      <c r="H511" s="34"/>
      <c r="I511" s="34"/>
      <c r="J511" s="34"/>
      <c r="K511" s="34"/>
      <c r="L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AA511" s="34"/>
      <c r="AB511" s="34"/>
      <c r="AC511" s="34"/>
      <c r="AD511" s="34"/>
      <c r="AE511" s="34"/>
      <c r="AF511" s="34"/>
      <c r="AG511" s="34"/>
      <c r="AH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I511" s="34"/>
      <c r="BJ511" s="34"/>
      <c r="BK511" s="34"/>
      <c r="BL511" s="34"/>
      <c r="BM511" s="34"/>
      <c r="BN511" s="34"/>
      <c r="BO511" s="34"/>
      <c r="BP511" s="34"/>
      <c r="BY511" s="34"/>
      <c r="BZ511" s="34"/>
      <c r="CA511" s="34"/>
      <c r="CB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</row>
    <row r="512" ht="15.75" customHeight="1">
      <c r="B512" s="34"/>
      <c r="E512" s="34"/>
      <c r="F512" s="34"/>
      <c r="G512" s="34"/>
      <c r="H512" s="34"/>
      <c r="I512" s="34"/>
      <c r="J512" s="34"/>
      <c r="K512" s="34"/>
      <c r="L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AA512" s="34"/>
      <c r="AB512" s="34"/>
      <c r="AC512" s="34"/>
      <c r="AD512" s="34"/>
      <c r="AE512" s="34"/>
      <c r="AF512" s="34"/>
      <c r="AG512" s="34"/>
      <c r="AH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I512" s="34"/>
      <c r="BJ512" s="34"/>
      <c r="BK512" s="34"/>
      <c r="BL512" s="34"/>
      <c r="BM512" s="34"/>
      <c r="BN512" s="34"/>
      <c r="BO512" s="34"/>
      <c r="BP512" s="34"/>
      <c r="BY512" s="34"/>
      <c r="BZ512" s="34"/>
      <c r="CA512" s="34"/>
      <c r="CB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</row>
    <row r="513" ht="15.75" customHeight="1">
      <c r="B513" s="34"/>
      <c r="E513" s="34"/>
      <c r="F513" s="34"/>
      <c r="G513" s="34"/>
      <c r="H513" s="34"/>
      <c r="I513" s="34"/>
      <c r="J513" s="34"/>
      <c r="K513" s="34"/>
      <c r="L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AA513" s="34"/>
      <c r="AB513" s="34"/>
      <c r="AC513" s="34"/>
      <c r="AD513" s="34"/>
      <c r="AE513" s="34"/>
      <c r="AF513" s="34"/>
      <c r="AG513" s="34"/>
      <c r="AH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I513" s="34"/>
      <c r="BJ513" s="34"/>
      <c r="BK513" s="34"/>
      <c r="BL513" s="34"/>
      <c r="BM513" s="34"/>
      <c r="BN513" s="34"/>
      <c r="BO513" s="34"/>
      <c r="BP513" s="34"/>
      <c r="BY513" s="34"/>
      <c r="BZ513" s="34"/>
      <c r="CA513" s="34"/>
      <c r="CB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</row>
    <row r="514" ht="15.75" customHeight="1">
      <c r="B514" s="34"/>
      <c r="E514" s="34"/>
      <c r="F514" s="34"/>
      <c r="G514" s="34"/>
      <c r="H514" s="34"/>
      <c r="I514" s="34"/>
      <c r="J514" s="34"/>
      <c r="K514" s="34"/>
      <c r="L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AA514" s="34"/>
      <c r="AB514" s="34"/>
      <c r="AC514" s="34"/>
      <c r="AD514" s="34"/>
      <c r="AE514" s="34"/>
      <c r="AF514" s="34"/>
      <c r="AG514" s="34"/>
      <c r="AH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I514" s="34"/>
      <c r="BJ514" s="34"/>
      <c r="BK514" s="34"/>
      <c r="BL514" s="34"/>
      <c r="BM514" s="34"/>
      <c r="BN514" s="34"/>
      <c r="BO514" s="34"/>
      <c r="BP514" s="34"/>
      <c r="BY514" s="34"/>
      <c r="BZ514" s="34"/>
      <c r="CA514" s="34"/>
      <c r="CB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</row>
    <row r="515" ht="15.75" customHeight="1">
      <c r="B515" s="34"/>
      <c r="E515" s="34"/>
      <c r="F515" s="34"/>
      <c r="G515" s="34"/>
      <c r="H515" s="34"/>
      <c r="I515" s="34"/>
      <c r="J515" s="34"/>
      <c r="K515" s="34"/>
      <c r="L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AA515" s="34"/>
      <c r="AB515" s="34"/>
      <c r="AC515" s="34"/>
      <c r="AD515" s="34"/>
      <c r="AE515" s="34"/>
      <c r="AF515" s="34"/>
      <c r="AG515" s="34"/>
      <c r="AH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I515" s="34"/>
      <c r="BJ515" s="34"/>
      <c r="BK515" s="34"/>
      <c r="BL515" s="34"/>
      <c r="BM515" s="34"/>
      <c r="BN515" s="34"/>
      <c r="BO515" s="34"/>
      <c r="BP515" s="34"/>
      <c r="BY515" s="34"/>
      <c r="BZ515" s="34"/>
      <c r="CA515" s="34"/>
      <c r="CB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</row>
    <row r="516" ht="15.75" customHeight="1">
      <c r="B516" s="34"/>
      <c r="E516" s="34"/>
      <c r="F516" s="34"/>
      <c r="G516" s="34"/>
      <c r="H516" s="34"/>
      <c r="I516" s="34"/>
      <c r="J516" s="34"/>
      <c r="K516" s="34"/>
      <c r="L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AA516" s="34"/>
      <c r="AB516" s="34"/>
      <c r="AC516" s="34"/>
      <c r="AD516" s="34"/>
      <c r="AE516" s="34"/>
      <c r="AF516" s="34"/>
      <c r="AG516" s="34"/>
      <c r="AH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I516" s="34"/>
      <c r="BJ516" s="34"/>
      <c r="BK516" s="34"/>
      <c r="BL516" s="34"/>
      <c r="BM516" s="34"/>
      <c r="BN516" s="34"/>
      <c r="BO516" s="34"/>
      <c r="BP516" s="34"/>
      <c r="BY516" s="34"/>
      <c r="BZ516" s="34"/>
      <c r="CA516" s="34"/>
      <c r="CB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</row>
    <row r="517" ht="15.75" customHeight="1">
      <c r="B517" s="34"/>
      <c r="E517" s="34"/>
      <c r="F517" s="34"/>
      <c r="G517" s="34"/>
      <c r="H517" s="34"/>
      <c r="I517" s="34"/>
      <c r="J517" s="34"/>
      <c r="K517" s="34"/>
      <c r="L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AA517" s="34"/>
      <c r="AB517" s="34"/>
      <c r="AC517" s="34"/>
      <c r="AD517" s="34"/>
      <c r="AE517" s="34"/>
      <c r="AF517" s="34"/>
      <c r="AG517" s="34"/>
      <c r="AH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I517" s="34"/>
      <c r="BJ517" s="34"/>
      <c r="BK517" s="34"/>
      <c r="BL517" s="34"/>
      <c r="BM517" s="34"/>
      <c r="BN517" s="34"/>
      <c r="BO517" s="34"/>
      <c r="BP517" s="34"/>
      <c r="BY517" s="34"/>
      <c r="BZ517" s="34"/>
      <c r="CA517" s="34"/>
      <c r="CB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</row>
    <row r="518" ht="15.75" customHeight="1">
      <c r="B518" s="34"/>
      <c r="E518" s="34"/>
      <c r="F518" s="34"/>
      <c r="G518" s="34"/>
      <c r="H518" s="34"/>
      <c r="I518" s="34"/>
      <c r="J518" s="34"/>
      <c r="K518" s="34"/>
      <c r="L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AA518" s="34"/>
      <c r="AB518" s="34"/>
      <c r="AC518" s="34"/>
      <c r="AD518" s="34"/>
      <c r="AE518" s="34"/>
      <c r="AF518" s="34"/>
      <c r="AG518" s="34"/>
      <c r="AH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I518" s="34"/>
      <c r="BJ518" s="34"/>
      <c r="BK518" s="34"/>
      <c r="BL518" s="34"/>
      <c r="BM518" s="34"/>
      <c r="BN518" s="34"/>
      <c r="BO518" s="34"/>
      <c r="BP518" s="34"/>
      <c r="BY518" s="34"/>
      <c r="BZ518" s="34"/>
      <c r="CA518" s="34"/>
      <c r="CB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</row>
    <row r="519" ht="15.75" customHeight="1">
      <c r="B519" s="34"/>
      <c r="E519" s="34"/>
      <c r="F519" s="34"/>
      <c r="G519" s="34"/>
      <c r="H519" s="34"/>
      <c r="I519" s="34"/>
      <c r="J519" s="34"/>
      <c r="K519" s="34"/>
      <c r="L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AA519" s="34"/>
      <c r="AB519" s="34"/>
      <c r="AC519" s="34"/>
      <c r="AD519" s="34"/>
      <c r="AE519" s="34"/>
      <c r="AF519" s="34"/>
      <c r="AG519" s="34"/>
      <c r="AH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I519" s="34"/>
      <c r="BJ519" s="34"/>
      <c r="BK519" s="34"/>
      <c r="BL519" s="34"/>
      <c r="BM519" s="34"/>
      <c r="BN519" s="34"/>
      <c r="BO519" s="34"/>
      <c r="BP519" s="34"/>
      <c r="BY519" s="34"/>
      <c r="BZ519" s="34"/>
      <c r="CA519" s="34"/>
      <c r="CB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</row>
    <row r="520" ht="15.75" customHeight="1">
      <c r="B520" s="34"/>
      <c r="E520" s="34"/>
      <c r="F520" s="34"/>
      <c r="G520" s="34"/>
      <c r="H520" s="34"/>
      <c r="I520" s="34"/>
      <c r="J520" s="34"/>
      <c r="K520" s="34"/>
      <c r="L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AA520" s="34"/>
      <c r="AB520" s="34"/>
      <c r="AC520" s="34"/>
      <c r="AD520" s="34"/>
      <c r="AE520" s="34"/>
      <c r="AF520" s="34"/>
      <c r="AG520" s="34"/>
      <c r="AH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I520" s="34"/>
      <c r="BJ520" s="34"/>
      <c r="BK520" s="34"/>
      <c r="BL520" s="34"/>
      <c r="BM520" s="34"/>
      <c r="BN520" s="34"/>
      <c r="BO520" s="34"/>
      <c r="BP520" s="34"/>
      <c r="BY520" s="34"/>
      <c r="BZ520" s="34"/>
      <c r="CA520" s="34"/>
      <c r="CB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</row>
    <row r="521" ht="15.75" customHeight="1">
      <c r="B521" s="34"/>
      <c r="E521" s="34"/>
      <c r="F521" s="34"/>
      <c r="G521" s="34"/>
      <c r="H521" s="34"/>
      <c r="I521" s="34"/>
      <c r="J521" s="34"/>
      <c r="K521" s="34"/>
      <c r="L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AA521" s="34"/>
      <c r="AB521" s="34"/>
      <c r="AC521" s="34"/>
      <c r="AD521" s="34"/>
      <c r="AE521" s="34"/>
      <c r="AF521" s="34"/>
      <c r="AG521" s="34"/>
      <c r="AH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I521" s="34"/>
      <c r="BJ521" s="34"/>
      <c r="BK521" s="34"/>
      <c r="BL521" s="34"/>
      <c r="BM521" s="34"/>
      <c r="BN521" s="34"/>
      <c r="BO521" s="34"/>
      <c r="BP521" s="34"/>
      <c r="BY521" s="34"/>
      <c r="BZ521" s="34"/>
      <c r="CA521" s="34"/>
      <c r="CB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</row>
    <row r="522" ht="15.75" customHeight="1">
      <c r="B522" s="34"/>
      <c r="E522" s="34"/>
      <c r="F522" s="34"/>
      <c r="G522" s="34"/>
      <c r="H522" s="34"/>
      <c r="I522" s="34"/>
      <c r="J522" s="34"/>
      <c r="K522" s="34"/>
      <c r="L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AA522" s="34"/>
      <c r="AB522" s="34"/>
      <c r="AC522" s="34"/>
      <c r="AD522" s="34"/>
      <c r="AE522" s="34"/>
      <c r="AF522" s="34"/>
      <c r="AG522" s="34"/>
      <c r="AH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I522" s="34"/>
      <c r="BJ522" s="34"/>
      <c r="BK522" s="34"/>
      <c r="BL522" s="34"/>
      <c r="BM522" s="34"/>
      <c r="BN522" s="34"/>
      <c r="BO522" s="34"/>
      <c r="BP522" s="34"/>
      <c r="BY522" s="34"/>
      <c r="BZ522" s="34"/>
      <c r="CA522" s="34"/>
      <c r="CB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</row>
    <row r="523" ht="15.75" customHeight="1">
      <c r="B523" s="34"/>
      <c r="E523" s="34"/>
      <c r="F523" s="34"/>
      <c r="G523" s="34"/>
      <c r="H523" s="34"/>
      <c r="I523" s="34"/>
      <c r="J523" s="34"/>
      <c r="K523" s="34"/>
      <c r="L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AA523" s="34"/>
      <c r="AB523" s="34"/>
      <c r="AC523" s="34"/>
      <c r="AD523" s="34"/>
      <c r="AE523" s="34"/>
      <c r="AF523" s="34"/>
      <c r="AG523" s="34"/>
      <c r="AH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I523" s="34"/>
      <c r="BJ523" s="34"/>
      <c r="BK523" s="34"/>
      <c r="BL523" s="34"/>
      <c r="BM523" s="34"/>
      <c r="BN523" s="34"/>
      <c r="BO523" s="34"/>
      <c r="BP523" s="34"/>
      <c r="BY523" s="34"/>
      <c r="BZ523" s="34"/>
      <c r="CA523" s="34"/>
      <c r="CB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</row>
    <row r="524" ht="15.75" customHeight="1">
      <c r="B524" s="34"/>
      <c r="E524" s="34"/>
      <c r="F524" s="34"/>
      <c r="G524" s="34"/>
      <c r="H524" s="34"/>
      <c r="I524" s="34"/>
      <c r="J524" s="34"/>
      <c r="K524" s="34"/>
      <c r="L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AA524" s="34"/>
      <c r="AB524" s="34"/>
      <c r="AC524" s="34"/>
      <c r="AD524" s="34"/>
      <c r="AE524" s="34"/>
      <c r="AF524" s="34"/>
      <c r="AG524" s="34"/>
      <c r="AH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I524" s="34"/>
      <c r="BJ524" s="34"/>
      <c r="BK524" s="34"/>
      <c r="BL524" s="34"/>
      <c r="BM524" s="34"/>
      <c r="BN524" s="34"/>
      <c r="BO524" s="34"/>
      <c r="BP524" s="34"/>
      <c r="BY524" s="34"/>
      <c r="BZ524" s="34"/>
      <c r="CA524" s="34"/>
      <c r="CB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</row>
    <row r="525" ht="15.75" customHeight="1">
      <c r="B525" s="34"/>
      <c r="E525" s="34"/>
      <c r="F525" s="34"/>
      <c r="G525" s="34"/>
      <c r="H525" s="34"/>
      <c r="I525" s="34"/>
      <c r="J525" s="34"/>
      <c r="K525" s="34"/>
      <c r="L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AA525" s="34"/>
      <c r="AB525" s="34"/>
      <c r="AC525" s="34"/>
      <c r="AD525" s="34"/>
      <c r="AE525" s="34"/>
      <c r="AF525" s="34"/>
      <c r="AG525" s="34"/>
      <c r="AH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I525" s="34"/>
      <c r="BJ525" s="34"/>
      <c r="BK525" s="34"/>
      <c r="BL525" s="34"/>
      <c r="BM525" s="34"/>
      <c r="BN525" s="34"/>
      <c r="BO525" s="34"/>
      <c r="BP525" s="34"/>
      <c r="BY525" s="34"/>
      <c r="BZ525" s="34"/>
      <c r="CA525" s="34"/>
      <c r="CB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</row>
    <row r="526" ht="15.75" customHeight="1">
      <c r="B526" s="34"/>
      <c r="E526" s="34"/>
      <c r="F526" s="34"/>
      <c r="G526" s="34"/>
      <c r="H526" s="34"/>
      <c r="I526" s="34"/>
      <c r="J526" s="34"/>
      <c r="K526" s="34"/>
      <c r="L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AA526" s="34"/>
      <c r="AB526" s="34"/>
      <c r="AC526" s="34"/>
      <c r="AD526" s="34"/>
      <c r="AE526" s="34"/>
      <c r="AF526" s="34"/>
      <c r="AG526" s="34"/>
      <c r="AH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I526" s="34"/>
      <c r="BJ526" s="34"/>
      <c r="BK526" s="34"/>
      <c r="BL526" s="34"/>
      <c r="BM526" s="34"/>
      <c r="BN526" s="34"/>
      <c r="BO526" s="34"/>
      <c r="BP526" s="34"/>
      <c r="BY526" s="34"/>
      <c r="BZ526" s="34"/>
      <c r="CA526" s="34"/>
      <c r="CB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</row>
    <row r="527" ht="15.75" customHeight="1">
      <c r="B527" s="34"/>
      <c r="E527" s="34"/>
      <c r="F527" s="34"/>
      <c r="G527" s="34"/>
      <c r="H527" s="34"/>
      <c r="I527" s="34"/>
      <c r="J527" s="34"/>
      <c r="K527" s="34"/>
      <c r="L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AA527" s="34"/>
      <c r="AB527" s="34"/>
      <c r="AC527" s="34"/>
      <c r="AD527" s="34"/>
      <c r="AE527" s="34"/>
      <c r="AF527" s="34"/>
      <c r="AG527" s="34"/>
      <c r="AH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I527" s="34"/>
      <c r="BJ527" s="34"/>
      <c r="BK527" s="34"/>
      <c r="BL527" s="34"/>
      <c r="BM527" s="34"/>
      <c r="BN527" s="34"/>
      <c r="BO527" s="34"/>
      <c r="BP527" s="34"/>
      <c r="BY527" s="34"/>
      <c r="BZ527" s="34"/>
      <c r="CA527" s="34"/>
      <c r="CB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</row>
    <row r="528" ht="15.75" customHeight="1">
      <c r="B528" s="34"/>
      <c r="E528" s="34"/>
      <c r="F528" s="34"/>
      <c r="G528" s="34"/>
      <c r="H528" s="34"/>
      <c r="I528" s="34"/>
      <c r="J528" s="34"/>
      <c r="K528" s="34"/>
      <c r="L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AA528" s="34"/>
      <c r="AB528" s="34"/>
      <c r="AC528" s="34"/>
      <c r="AD528" s="34"/>
      <c r="AE528" s="34"/>
      <c r="AF528" s="34"/>
      <c r="AG528" s="34"/>
      <c r="AH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I528" s="34"/>
      <c r="BJ528" s="34"/>
      <c r="BK528" s="34"/>
      <c r="BL528" s="34"/>
      <c r="BM528" s="34"/>
      <c r="BN528" s="34"/>
      <c r="BO528" s="34"/>
      <c r="BP528" s="34"/>
      <c r="BY528" s="34"/>
      <c r="BZ528" s="34"/>
      <c r="CA528" s="34"/>
      <c r="CB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</row>
    <row r="529" ht="15.75" customHeight="1">
      <c r="B529" s="34"/>
      <c r="E529" s="34"/>
      <c r="F529" s="34"/>
      <c r="G529" s="34"/>
      <c r="H529" s="34"/>
      <c r="I529" s="34"/>
      <c r="J529" s="34"/>
      <c r="K529" s="34"/>
      <c r="L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AA529" s="34"/>
      <c r="AB529" s="34"/>
      <c r="AC529" s="34"/>
      <c r="AD529" s="34"/>
      <c r="AE529" s="34"/>
      <c r="AF529" s="34"/>
      <c r="AG529" s="34"/>
      <c r="AH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I529" s="34"/>
      <c r="BJ529" s="34"/>
      <c r="BK529" s="34"/>
      <c r="BL529" s="34"/>
      <c r="BM529" s="34"/>
      <c r="BN529" s="34"/>
      <c r="BO529" s="34"/>
      <c r="BP529" s="34"/>
      <c r="BY529" s="34"/>
      <c r="BZ529" s="34"/>
      <c r="CA529" s="34"/>
      <c r="CB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</row>
    <row r="530" ht="15.75" customHeight="1">
      <c r="B530" s="34"/>
      <c r="E530" s="34"/>
      <c r="F530" s="34"/>
      <c r="G530" s="34"/>
      <c r="H530" s="34"/>
      <c r="I530" s="34"/>
      <c r="J530" s="34"/>
      <c r="K530" s="34"/>
      <c r="L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AA530" s="34"/>
      <c r="AB530" s="34"/>
      <c r="AC530" s="34"/>
      <c r="AD530" s="34"/>
      <c r="AE530" s="34"/>
      <c r="AF530" s="34"/>
      <c r="AG530" s="34"/>
      <c r="AH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I530" s="34"/>
      <c r="BJ530" s="34"/>
      <c r="BK530" s="34"/>
      <c r="BL530" s="34"/>
      <c r="BM530" s="34"/>
      <c r="BN530" s="34"/>
      <c r="BO530" s="34"/>
      <c r="BP530" s="34"/>
      <c r="BY530" s="34"/>
      <c r="BZ530" s="34"/>
      <c r="CA530" s="34"/>
      <c r="CB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</row>
    <row r="531" ht="15.75" customHeight="1">
      <c r="B531" s="34"/>
      <c r="E531" s="34"/>
      <c r="F531" s="34"/>
      <c r="G531" s="34"/>
      <c r="H531" s="34"/>
      <c r="I531" s="34"/>
      <c r="J531" s="34"/>
      <c r="K531" s="34"/>
      <c r="L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AA531" s="34"/>
      <c r="AB531" s="34"/>
      <c r="AC531" s="34"/>
      <c r="AD531" s="34"/>
      <c r="AE531" s="34"/>
      <c r="AF531" s="34"/>
      <c r="AG531" s="34"/>
      <c r="AH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I531" s="34"/>
      <c r="BJ531" s="34"/>
      <c r="BK531" s="34"/>
      <c r="BL531" s="34"/>
      <c r="BM531" s="34"/>
      <c r="BN531" s="34"/>
      <c r="BO531" s="34"/>
      <c r="BP531" s="34"/>
      <c r="BY531" s="34"/>
      <c r="BZ531" s="34"/>
      <c r="CA531" s="34"/>
      <c r="CB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</row>
    <row r="532" ht="15.75" customHeight="1">
      <c r="B532" s="34"/>
      <c r="E532" s="34"/>
      <c r="F532" s="34"/>
      <c r="G532" s="34"/>
      <c r="H532" s="34"/>
      <c r="I532" s="34"/>
      <c r="J532" s="34"/>
      <c r="K532" s="34"/>
      <c r="L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AA532" s="34"/>
      <c r="AB532" s="34"/>
      <c r="AC532" s="34"/>
      <c r="AD532" s="34"/>
      <c r="AE532" s="34"/>
      <c r="AF532" s="34"/>
      <c r="AG532" s="34"/>
      <c r="AH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I532" s="34"/>
      <c r="BJ532" s="34"/>
      <c r="BK532" s="34"/>
      <c r="BL532" s="34"/>
      <c r="BM532" s="34"/>
      <c r="BN532" s="34"/>
      <c r="BO532" s="34"/>
      <c r="BP532" s="34"/>
      <c r="BY532" s="34"/>
      <c r="BZ532" s="34"/>
      <c r="CA532" s="34"/>
      <c r="CB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</row>
    <row r="533" ht="15.75" customHeight="1">
      <c r="B533" s="34"/>
      <c r="E533" s="34"/>
      <c r="F533" s="34"/>
      <c r="G533" s="34"/>
      <c r="H533" s="34"/>
      <c r="I533" s="34"/>
      <c r="J533" s="34"/>
      <c r="K533" s="34"/>
      <c r="L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AA533" s="34"/>
      <c r="AB533" s="34"/>
      <c r="AC533" s="34"/>
      <c r="AD533" s="34"/>
      <c r="AE533" s="34"/>
      <c r="AF533" s="34"/>
      <c r="AG533" s="34"/>
      <c r="AH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I533" s="34"/>
      <c r="BJ533" s="34"/>
      <c r="BK533" s="34"/>
      <c r="BL533" s="34"/>
      <c r="BM533" s="34"/>
      <c r="BN533" s="34"/>
      <c r="BO533" s="34"/>
      <c r="BP533" s="34"/>
      <c r="BY533" s="34"/>
      <c r="BZ533" s="34"/>
      <c r="CA533" s="34"/>
      <c r="CB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</row>
    <row r="534" ht="15.75" customHeight="1">
      <c r="B534" s="34"/>
      <c r="E534" s="34"/>
      <c r="F534" s="34"/>
      <c r="G534" s="34"/>
      <c r="H534" s="34"/>
      <c r="I534" s="34"/>
      <c r="J534" s="34"/>
      <c r="K534" s="34"/>
      <c r="L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AA534" s="34"/>
      <c r="AB534" s="34"/>
      <c r="AC534" s="34"/>
      <c r="AD534" s="34"/>
      <c r="AE534" s="34"/>
      <c r="AF534" s="34"/>
      <c r="AG534" s="34"/>
      <c r="AH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I534" s="34"/>
      <c r="BJ534" s="34"/>
      <c r="BK534" s="34"/>
      <c r="BL534" s="34"/>
      <c r="BM534" s="34"/>
      <c r="BN534" s="34"/>
      <c r="BO534" s="34"/>
      <c r="BP534" s="34"/>
      <c r="BY534" s="34"/>
      <c r="BZ534" s="34"/>
      <c r="CA534" s="34"/>
      <c r="CB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</row>
    <row r="535" ht="15.75" customHeight="1">
      <c r="B535" s="34"/>
      <c r="E535" s="34"/>
      <c r="F535" s="34"/>
      <c r="G535" s="34"/>
      <c r="H535" s="34"/>
      <c r="I535" s="34"/>
      <c r="J535" s="34"/>
      <c r="K535" s="34"/>
      <c r="L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AA535" s="34"/>
      <c r="AB535" s="34"/>
      <c r="AC535" s="34"/>
      <c r="AD535" s="34"/>
      <c r="AE535" s="34"/>
      <c r="AF535" s="34"/>
      <c r="AG535" s="34"/>
      <c r="AH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I535" s="34"/>
      <c r="BJ535" s="34"/>
      <c r="BK535" s="34"/>
      <c r="BL535" s="34"/>
      <c r="BM535" s="34"/>
      <c r="BN535" s="34"/>
      <c r="BO535" s="34"/>
      <c r="BP535" s="34"/>
      <c r="BY535" s="34"/>
      <c r="BZ535" s="34"/>
      <c r="CA535" s="34"/>
      <c r="CB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</row>
    <row r="536" ht="15.75" customHeight="1">
      <c r="B536" s="34"/>
      <c r="E536" s="34"/>
      <c r="F536" s="34"/>
      <c r="G536" s="34"/>
      <c r="H536" s="34"/>
      <c r="I536" s="34"/>
      <c r="J536" s="34"/>
      <c r="K536" s="34"/>
      <c r="L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AA536" s="34"/>
      <c r="AB536" s="34"/>
      <c r="AC536" s="34"/>
      <c r="AD536" s="34"/>
      <c r="AE536" s="34"/>
      <c r="AF536" s="34"/>
      <c r="AG536" s="34"/>
      <c r="AH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I536" s="34"/>
      <c r="BJ536" s="34"/>
      <c r="BK536" s="34"/>
      <c r="BL536" s="34"/>
      <c r="BM536" s="34"/>
      <c r="BN536" s="34"/>
      <c r="BO536" s="34"/>
      <c r="BP536" s="34"/>
      <c r="BY536" s="34"/>
      <c r="BZ536" s="34"/>
      <c r="CA536" s="34"/>
      <c r="CB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</row>
    <row r="537" ht="15.75" customHeight="1">
      <c r="B537" s="34"/>
      <c r="E537" s="34"/>
      <c r="F537" s="34"/>
      <c r="G537" s="34"/>
      <c r="H537" s="34"/>
      <c r="I537" s="34"/>
      <c r="J537" s="34"/>
      <c r="K537" s="34"/>
      <c r="L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AA537" s="34"/>
      <c r="AB537" s="34"/>
      <c r="AC537" s="34"/>
      <c r="AD537" s="34"/>
      <c r="AE537" s="34"/>
      <c r="AF537" s="34"/>
      <c r="AG537" s="34"/>
      <c r="AH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I537" s="34"/>
      <c r="BJ537" s="34"/>
      <c r="BK537" s="34"/>
      <c r="BL537" s="34"/>
      <c r="BM537" s="34"/>
      <c r="BN537" s="34"/>
      <c r="BO537" s="34"/>
      <c r="BP537" s="34"/>
      <c r="BY537" s="34"/>
      <c r="BZ537" s="34"/>
      <c r="CA537" s="34"/>
      <c r="CB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</row>
    <row r="538" ht="15.75" customHeight="1">
      <c r="B538" s="34"/>
      <c r="E538" s="34"/>
      <c r="F538" s="34"/>
      <c r="G538" s="34"/>
      <c r="H538" s="34"/>
      <c r="I538" s="34"/>
      <c r="J538" s="34"/>
      <c r="K538" s="34"/>
      <c r="L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AA538" s="34"/>
      <c r="AB538" s="34"/>
      <c r="AC538" s="34"/>
      <c r="AD538" s="34"/>
      <c r="AE538" s="34"/>
      <c r="AF538" s="34"/>
      <c r="AG538" s="34"/>
      <c r="AH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I538" s="34"/>
      <c r="BJ538" s="34"/>
      <c r="BK538" s="34"/>
      <c r="BL538" s="34"/>
      <c r="BM538" s="34"/>
      <c r="BN538" s="34"/>
      <c r="BO538" s="34"/>
      <c r="BP538" s="34"/>
      <c r="BY538" s="34"/>
      <c r="BZ538" s="34"/>
      <c r="CA538" s="34"/>
      <c r="CB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</row>
    <row r="539" ht="15.75" customHeight="1">
      <c r="B539" s="34"/>
      <c r="E539" s="34"/>
      <c r="F539" s="34"/>
      <c r="G539" s="34"/>
      <c r="H539" s="34"/>
      <c r="I539" s="34"/>
      <c r="J539" s="34"/>
      <c r="K539" s="34"/>
      <c r="L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AA539" s="34"/>
      <c r="AB539" s="34"/>
      <c r="AC539" s="34"/>
      <c r="AD539" s="34"/>
      <c r="AE539" s="34"/>
      <c r="AF539" s="34"/>
      <c r="AG539" s="34"/>
      <c r="AH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I539" s="34"/>
      <c r="BJ539" s="34"/>
      <c r="BK539" s="34"/>
      <c r="BL539" s="34"/>
      <c r="BM539" s="34"/>
      <c r="BN539" s="34"/>
      <c r="BO539" s="34"/>
      <c r="BP539" s="34"/>
      <c r="BY539" s="34"/>
      <c r="BZ539" s="34"/>
      <c r="CA539" s="34"/>
      <c r="CB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</row>
    <row r="540" ht="15.75" customHeight="1">
      <c r="B540" s="34"/>
      <c r="E540" s="34"/>
      <c r="F540" s="34"/>
      <c r="G540" s="34"/>
      <c r="H540" s="34"/>
      <c r="I540" s="34"/>
      <c r="J540" s="34"/>
      <c r="K540" s="34"/>
      <c r="L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AA540" s="34"/>
      <c r="AB540" s="34"/>
      <c r="AC540" s="34"/>
      <c r="AD540" s="34"/>
      <c r="AE540" s="34"/>
      <c r="AF540" s="34"/>
      <c r="AG540" s="34"/>
      <c r="AH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I540" s="34"/>
      <c r="BJ540" s="34"/>
      <c r="BK540" s="34"/>
      <c r="BL540" s="34"/>
      <c r="BM540" s="34"/>
      <c r="BN540" s="34"/>
      <c r="BO540" s="34"/>
      <c r="BP540" s="34"/>
      <c r="BY540" s="34"/>
      <c r="BZ540" s="34"/>
      <c r="CA540" s="34"/>
      <c r="CB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</row>
    <row r="541" ht="15.75" customHeight="1">
      <c r="B541" s="34"/>
      <c r="E541" s="34"/>
      <c r="F541" s="34"/>
      <c r="G541" s="34"/>
      <c r="H541" s="34"/>
      <c r="I541" s="34"/>
      <c r="J541" s="34"/>
      <c r="K541" s="34"/>
      <c r="L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AA541" s="34"/>
      <c r="AB541" s="34"/>
      <c r="AC541" s="34"/>
      <c r="AD541" s="34"/>
      <c r="AE541" s="34"/>
      <c r="AF541" s="34"/>
      <c r="AG541" s="34"/>
      <c r="AH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I541" s="34"/>
      <c r="BJ541" s="34"/>
      <c r="BK541" s="34"/>
      <c r="BL541" s="34"/>
      <c r="BM541" s="34"/>
      <c r="BN541" s="34"/>
      <c r="BO541" s="34"/>
      <c r="BP541" s="34"/>
      <c r="BY541" s="34"/>
      <c r="BZ541" s="34"/>
      <c r="CA541" s="34"/>
      <c r="CB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</row>
    <row r="542" ht="15.75" customHeight="1">
      <c r="B542" s="34"/>
      <c r="E542" s="34"/>
      <c r="F542" s="34"/>
      <c r="G542" s="34"/>
      <c r="H542" s="34"/>
      <c r="I542" s="34"/>
      <c r="J542" s="34"/>
      <c r="K542" s="34"/>
      <c r="L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AA542" s="34"/>
      <c r="AB542" s="34"/>
      <c r="AC542" s="34"/>
      <c r="AD542" s="34"/>
      <c r="AE542" s="34"/>
      <c r="AF542" s="34"/>
      <c r="AG542" s="34"/>
      <c r="AH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I542" s="34"/>
      <c r="BJ542" s="34"/>
      <c r="BK542" s="34"/>
      <c r="BL542" s="34"/>
      <c r="BM542" s="34"/>
      <c r="BN542" s="34"/>
      <c r="BO542" s="34"/>
      <c r="BP542" s="34"/>
      <c r="BY542" s="34"/>
      <c r="BZ542" s="34"/>
      <c r="CA542" s="34"/>
      <c r="CB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</row>
    <row r="543" ht="15.75" customHeight="1">
      <c r="B543" s="34"/>
      <c r="E543" s="34"/>
      <c r="F543" s="34"/>
      <c r="G543" s="34"/>
      <c r="H543" s="34"/>
      <c r="I543" s="34"/>
      <c r="J543" s="34"/>
      <c r="K543" s="34"/>
      <c r="L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AA543" s="34"/>
      <c r="AB543" s="34"/>
      <c r="AC543" s="34"/>
      <c r="AD543" s="34"/>
      <c r="AE543" s="34"/>
      <c r="AF543" s="34"/>
      <c r="AG543" s="34"/>
      <c r="AH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I543" s="34"/>
      <c r="BJ543" s="34"/>
      <c r="BK543" s="34"/>
      <c r="BL543" s="34"/>
      <c r="BM543" s="34"/>
      <c r="BN543" s="34"/>
      <c r="BO543" s="34"/>
      <c r="BP543" s="34"/>
      <c r="BY543" s="34"/>
      <c r="BZ543" s="34"/>
      <c r="CA543" s="34"/>
      <c r="CB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</row>
    <row r="544" ht="15.75" customHeight="1">
      <c r="B544" s="34"/>
      <c r="E544" s="34"/>
      <c r="F544" s="34"/>
      <c r="G544" s="34"/>
      <c r="H544" s="34"/>
      <c r="I544" s="34"/>
      <c r="J544" s="34"/>
      <c r="K544" s="34"/>
      <c r="L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AA544" s="34"/>
      <c r="AB544" s="34"/>
      <c r="AC544" s="34"/>
      <c r="AD544" s="34"/>
      <c r="AE544" s="34"/>
      <c r="AF544" s="34"/>
      <c r="AG544" s="34"/>
      <c r="AH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I544" s="34"/>
      <c r="BJ544" s="34"/>
      <c r="BK544" s="34"/>
      <c r="BL544" s="34"/>
      <c r="BM544" s="34"/>
      <c r="BN544" s="34"/>
      <c r="BO544" s="34"/>
      <c r="BP544" s="34"/>
      <c r="BY544" s="34"/>
      <c r="BZ544" s="34"/>
      <c r="CA544" s="34"/>
      <c r="CB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</row>
    <row r="545" ht="15.75" customHeight="1">
      <c r="B545" s="34"/>
      <c r="E545" s="34"/>
      <c r="F545" s="34"/>
      <c r="G545" s="34"/>
      <c r="H545" s="34"/>
      <c r="I545" s="34"/>
      <c r="J545" s="34"/>
      <c r="K545" s="34"/>
      <c r="L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AA545" s="34"/>
      <c r="AB545" s="34"/>
      <c r="AC545" s="34"/>
      <c r="AD545" s="34"/>
      <c r="AE545" s="34"/>
      <c r="AF545" s="34"/>
      <c r="AG545" s="34"/>
      <c r="AH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I545" s="34"/>
      <c r="BJ545" s="34"/>
      <c r="BK545" s="34"/>
      <c r="BL545" s="34"/>
      <c r="BM545" s="34"/>
      <c r="BN545" s="34"/>
      <c r="BO545" s="34"/>
      <c r="BP545" s="34"/>
      <c r="BY545" s="34"/>
      <c r="BZ545" s="34"/>
      <c r="CA545" s="34"/>
      <c r="CB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</row>
    <row r="546" ht="15.75" customHeight="1">
      <c r="B546" s="34"/>
      <c r="E546" s="34"/>
      <c r="F546" s="34"/>
      <c r="G546" s="34"/>
      <c r="H546" s="34"/>
      <c r="I546" s="34"/>
      <c r="J546" s="34"/>
      <c r="K546" s="34"/>
      <c r="L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AA546" s="34"/>
      <c r="AB546" s="34"/>
      <c r="AC546" s="34"/>
      <c r="AD546" s="34"/>
      <c r="AE546" s="34"/>
      <c r="AF546" s="34"/>
      <c r="AG546" s="34"/>
      <c r="AH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I546" s="34"/>
      <c r="BJ546" s="34"/>
      <c r="BK546" s="34"/>
      <c r="BL546" s="34"/>
      <c r="BM546" s="34"/>
      <c r="BN546" s="34"/>
      <c r="BO546" s="34"/>
      <c r="BP546" s="34"/>
      <c r="BY546" s="34"/>
      <c r="BZ546" s="34"/>
      <c r="CA546" s="34"/>
      <c r="CB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</row>
    <row r="547" ht="15.75" customHeight="1">
      <c r="B547" s="34"/>
      <c r="E547" s="34"/>
      <c r="F547" s="34"/>
      <c r="G547" s="34"/>
      <c r="H547" s="34"/>
      <c r="I547" s="34"/>
      <c r="J547" s="34"/>
      <c r="K547" s="34"/>
      <c r="L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AA547" s="34"/>
      <c r="AB547" s="34"/>
      <c r="AC547" s="34"/>
      <c r="AD547" s="34"/>
      <c r="AE547" s="34"/>
      <c r="AF547" s="34"/>
      <c r="AG547" s="34"/>
      <c r="AH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I547" s="34"/>
      <c r="BJ547" s="34"/>
      <c r="BK547" s="34"/>
      <c r="BL547" s="34"/>
      <c r="BM547" s="34"/>
      <c r="BN547" s="34"/>
      <c r="BO547" s="34"/>
      <c r="BP547" s="34"/>
      <c r="BY547" s="34"/>
      <c r="BZ547" s="34"/>
      <c r="CA547" s="34"/>
      <c r="CB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</row>
    <row r="548" ht="15.75" customHeight="1">
      <c r="B548" s="34"/>
      <c r="E548" s="34"/>
      <c r="F548" s="34"/>
      <c r="G548" s="34"/>
      <c r="H548" s="34"/>
      <c r="I548" s="34"/>
      <c r="J548" s="34"/>
      <c r="K548" s="34"/>
      <c r="L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AA548" s="34"/>
      <c r="AB548" s="34"/>
      <c r="AC548" s="34"/>
      <c r="AD548" s="34"/>
      <c r="AE548" s="34"/>
      <c r="AF548" s="34"/>
      <c r="AG548" s="34"/>
      <c r="AH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I548" s="34"/>
      <c r="BJ548" s="34"/>
      <c r="BK548" s="34"/>
      <c r="BL548" s="34"/>
      <c r="BM548" s="34"/>
      <c r="BN548" s="34"/>
      <c r="BO548" s="34"/>
      <c r="BP548" s="34"/>
      <c r="BY548" s="34"/>
      <c r="BZ548" s="34"/>
      <c r="CA548" s="34"/>
      <c r="CB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</row>
    <row r="549" ht="15.75" customHeight="1">
      <c r="B549" s="34"/>
      <c r="E549" s="34"/>
      <c r="F549" s="34"/>
      <c r="G549" s="34"/>
      <c r="H549" s="34"/>
      <c r="I549" s="34"/>
      <c r="J549" s="34"/>
      <c r="K549" s="34"/>
      <c r="L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AA549" s="34"/>
      <c r="AB549" s="34"/>
      <c r="AC549" s="34"/>
      <c r="AD549" s="34"/>
      <c r="AE549" s="34"/>
      <c r="AF549" s="34"/>
      <c r="AG549" s="34"/>
      <c r="AH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I549" s="34"/>
      <c r="BJ549" s="34"/>
      <c r="BK549" s="34"/>
      <c r="BL549" s="34"/>
      <c r="BM549" s="34"/>
      <c r="BN549" s="34"/>
      <c r="BO549" s="34"/>
      <c r="BP549" s="34"/>
      <c r="BY549" s="34"/>
      <c r="BZ549" s="34"/>
      <c r="CA549" s="34"/>
      <c r="CB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</row>
    <row r="550" ht="15.75" customHeight="1">
      <c r="B550" s="34"/>
      <c r="E550" s="34"/>
      <c r="F550" s="34"/>
      <c r="G550" s="34"/>
      <c r="H550" s="34"/>
      <c r="I550" s="34"/>
      <c r="J550" s="34"/>
      <c r="K550" s="34"/>
      <c r="L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AA550" s="34"/>
      <c r="AB550" s="34"/>
      <c r="AC550" s="34"/>
      <c r="AD550" s="34"/>
      <c r="AE550" s="34"/>
      <c r="AF550" s="34"/>
      <c r="AG550" s="34"/>
      <c r="AH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I550" s="34"/>
      <c r="BJ550" s="34"/>
      <c r="BK550" s="34"/>
      <c r="BL550" s="34"/>
      <c r="BM550" s="34"/>
      <c r="BN550" s="34"/>
      <c r="BO550" s="34"/>
      <c r="BP550" s="34"/>
      <c r="BY550" s="34"/>
      <c r="BZ550" s="34"/>
      <c r="CA550" s="34"/>
      <c r="CB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</row>
    <row r="551" ht="15.75" customHeight="1">
      <c r="B551" s="34"/>
      <c r="E551" s="34"/>
      <c r="F551" s="34"/>
      <c r="G551" s="34"/>
      <c r="H551" s="34"/>
      <c r="I551" s="34"/>
      <c r="J551" s="34"/>
      <c r="K551" s="34"/>
      <c r="L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AA551" s="34"/>
      <c r="AB551" s="34"/>
      <c r="AC551" s="34"/>
      <c r="AD551" s="34"/>
      <c r="AE551" s="34"/>
      <c r="AF551" s="34"/>
      <c r="AG551" s="34"/>
      <c r="AH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I551" s="34"/>
      <c r="BJ551" s="34"/>
      <c r="BK551" s="34"/>
      <c r="BL551" s="34"/>
      <c r="BM551" s="34"/>
      <c r="BN551" s="34"/>
      <c r="BO551" s="34"/>
      <c r="BP551" s="34"/>
      <c r="BY551" s="34"/>
      <c r="BZ551" s="34"/>
      <c r="CA551" s="34"/>
      <c r="CB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</row>
    <row r="552" ht="15.75" customHeight="1">
      <c r="B552" s="34"/>
      <c r="E552" s="34"/>
      <c r="F552" s="34"/>
      <c r="G552" s="34"/>
      <c r="H552" s="34"/>
      <c r="I552" s="34"/>
      <c r="J552" s="34"/>
      <c r="K552" s="34"/>
      <c r="L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AA552" s="34"/>
      <c r="AB552" s="34"/>
      <c r="AC552" s="34"/>
      <c r="AD552" s="34"/>
      <c r="AE552" s="34"/>
      <c r="AF552" s="34"/>
      <c r="AG552" s="34"/>
      <c r="AH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I552" s="34"/>
      <c r="BJ552" s="34"/>
      <c r="BK552" s="34"/>
      <c r="BL552" s="34"/>
      <c r="BM552" s="34"/>
      <c r="BN552" s="34"/>
      <c r="BO552" s="34"/>
      <c r="BP552" s="34"/>
      <c r="BY552" s="34"/>
      <c r="BZ552" s="34"/>
      <c r="CA552" s="34"/>
      <c r="CB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</row>
    <row r="553" ht="15.75" customHeight="1">
      <c r="B553" s="34"/>
      <c r="E553" s="34"/>
      <c r="F553" s="34"/>
      <c r="G553" s="34"/>
      <c r="H553" s="34"/>
      <c r="I553" s="34"/>
      <c r="J553" s="34"/>
      <c r="K553" s="34"/>
      <c r="L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AA553" s="34"/>
      <c r="AB553" s="34"/>
      <c r="AC553" s="34"/>
      <c r="AD553" s="34"/>
      <c r="AE553" s="34"/>
      <c r="AF553" s="34"/>
      <c r="AG553" s="34"/>
      <c r="AH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I553" s="34"/>
      <c r="BJ553" s="34"/>
      <c r="BK553" s="34"/>
      <c r="BL553" s="34"/>
      <c r="BM553" s="34"/>
      <c r="BN553" s="34"/>
      <c r="BO553" s="34"/>
      <c r="BP553" s="34"/>
      <c r="BY553" s="34"/>
      <c r="BZ553" s="34"/>
      <c r="CA553" s="34"/>
      <c r="CB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</row>
    <row r="554" ht="15.75" customHeight="1">
      <c r="B554" s="34"/>
      <c r="E554" s="34"/>
      <c r="F554" s="34"/>
      <c r="G554" s="34"/>
      <c r="H554" s="34"/>
      <c r="I554" s="34"/>
      <c r="J554" s="34"/>
      <c r="K554" s="34"/>
      <c r="L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AA554" s="34"/>
      <c r="AB554" s="34"/>
      <c r="AC554" s="34"/>
      <c r="AD554" s="34"/>
      <c r="AE554" s="34"/>
      <c r="AF554" s="34"/>
      <c r="AG554" s="34"/>
      <c r="AH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I554" s="34"/>
      <c r="BJ554" s="34"/>
      <c r="BK554" s="34"/>
      <c r="BL554" s="34"/>
      <c r="BM554" s="34"/>
      <c r="BN554" s="34"/>
      <c r="BO554" s="34"/>
      <c r="BP554" s="34"/>
      <c r="BY554" s="34"/>
      <c r="BZ554" s="34"/>
      <c r="CA554" s="34"/>
      <c r="CB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</row>
    <row r="555" ht="15.75" customHeight="1">
      <c r="B555" s="34"/>
      <c r="E555" s="34"/>
      <c r="F555" s="34"/>
      <c r="G555" s="34"/>
      <c r="H555" s="34"/>
      <c r="I555" s="34"/>
      <c r="J555" s="34"/>
      <c r="K555" s="34"/>
      <c r="L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AA555" s="34"/>
      <c r="AB555" s="34"/>
      <c r="AC555" s="34"/>
      <c r="AD555" s="34"/>
      <c r="AE555" s="34"/>
      <c r="AF555" s="34"/>
      <c r="AG555" s="34"/>
      <c r="AH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I555" s="34"/>
      <c r="BJ555" s="34"/>
      <c r="BK555" s="34"/>
      <c r="BL555" s="34"/>
      <c r="BM555" s="34"/>
      <c r="BN555" s="34"/>
      <c r="BO555" s="34"/>
      <c r="BP555" s="34"/>
      <c r="BY555" s="34"/>
      <c r="BZ555" s="34"/>
      <c r="CA555" s="34"/>
      <c r="CB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</row>
    <row r="556" ht="15.75" customHeight="1">
      <c r="B556" s="34"/>
      <c r="E556" s="34"/>
      <c r="F556" s="34"/>
      <c r="G556" s="34"/>
      <c r="H556" s="34"/>
      <c r="I556" s="34"/>
      <c r="J556" s="34"/>
      <c r="K556" s="34"/>
      <c r="L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AA556" s="34"/>
      <c r="AB556" s="34"/>
      <c r="AC556" s="34"/>
      <c r="AD556" s="34"/>
      <c r="AE556" s="34"/>
      <c r="AF556" s="34"/>
      <c r="AG556" s="34"/>
      <c r="AH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I556" s="34"/>
      <c r="BJ556" s="34"/>
      <c r="BK556" s="34"/>
      <c r="BL556" s="34"/>
      <c r="BM556" s="34"/>
      <c r="BN556" s="34"/>
      <c r="BO556" s="34"/>
      <c r="BP556" s="34"/>
      <c r="BY556" s="34"/>
      <c r="BZ556" s="34"/>
      <c r="CA556" s="34"/>
      <c r="CB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</row>
    <row r="557" ht="15.75" customHeight="1">
      <c r="B557" s="34"/>
      <c r="E557" s="34"/>
      <c r="F557" s="34"/>
      <c r="G557" s="34"/>
      <c r="H557" s="34"/>
      <c r="I557" s="34"/>
      <c r="J557" s="34"/>
      <c r="K557" s="34"/>
      <c r="L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AA557" s="34"/>
      <c r="AB557" s="34"/>
      <c r="AC557" s="34"/>
      <c r="AD557" s="34"/>
      <c r="AE557" s="34"/>
      <c r="AF557" s="34"/>
      <c r="AG557" s="34"/>
      <c r="AH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I557" s="34"/>
      <c r="BJ557" s="34"/>
      <c r="BK557" s="34"/>
      <c r="BL557" s="34"/>
      <c r="BM557" s="34"/>
      <c r="BN557" s="34"/>
      <c r="BO557" s="34"/>
      <c r="BP557" s="34"/>
      <c r="BY557" s="34"/>
      <c r="BZ557" s="34"/>
      <c r="CA557" s="34"/>
      <c r="CB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</row>
    <row r="558" ht="15.75" customHeight="1">
      <c r="B558" s="34"/>
      <c r="E558" s="34"/>
      <c r="F558" s="34"/>
      <c r="G558" s="34"/>
      <c r="H558" s="34"/>
      <c r="I558" s="34"/>
      <c r="J558" s="34"/>
      <c r="K558" s="34"/>
      <c r="L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AA558" s="34"/>
      <c r="AB558" s="34"/>
      <c r="AC558" s="34"/>
      <c r="AD558" s="34"/>
      <c r="AE558" s="34"/>
      <c r="AF558" s="34"/>
      <c r="AG558" s="34"/>
      <c r="AH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I558" s="34"/>
      <c r="BJ558" s="34"/>
      <c r="BK558" s="34"/>
      <c r="BL558" s="34"/>
      <c r="BM558" s="34"/>
      <c r="BN558" s="34"/>
      <c r="BO558" s="34"/>
      <c r="BP558" s="34"/>
      <c r="BY558" s="34"/>
      <c r="BZ558" s="34"/>
      <c r="CA558" s="34"/>
      <c r="CB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</row>
    <row r="559" ht="15.75" customHeight="1">
      <c r="B559" s="34"/>
      <c r="E559" s="34"/>
      <c r="F559" s="34"/>
      <c r="G559" s="34"/>
      <c r="H559" s="34"/>
      <c r="I559" s="34"/>
      <c r="J559" s="34"/>
      <c r="K559" s="34"/>
      <c r="L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AA559" s="34"/>
      <c r="AB559" s="34"/>
      <c r="AC559" s="34"/>
      <c r="AD559" s="34"/>
      <c r="AE559" s="34"/>
      <c r="AF559" s="34"/>
      <c r="AG559" s="34"/>
      <c r="AH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I559" s="34"/>
      <c r="BJ559" s="34"/>
      <c r="BK559" s="34"/>
      <c r="BL559" s="34"/>
      <c r="BM559" s="34"/>
      <c r="BN559" s="34"/>
      <c r="BO559" s="34"/>
      <c r="BP559" s="34"/>
      <c r="BY559" s="34"/>
      <c r="BZ559" s="34"/>
      <c r="CA559" s="34"/>
      <c r="CB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</row>
    <row r="560" ht="15.75" customHeight="1">
      <c r="B560" s="34"/>
      <c r="E560" s="34"/>
      <c r="F560" s="34"/>
      <c r="G560" s="34"/>
      <c r="H560" s="34"/>
      <c r="I560" s="34"/>
      <c r="J560" s="34"/>
      <c r="K560" s="34"/>
      <c r="L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AA560" s="34"/>
      <c r="AB560" s="34"/>
      <c r="AC560" s="34"/>
      <c r="AD560" s="34"/>
      <c r="AE560" s="34"/>
      <c r="AF560" s="34"/>
      <c r="AG560" s="34"/>
      <c r="AH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I560" s="34"/>
      <c r="BJ560" s="34"/>
      <c r="BK560" s="34"/>
      <c r="BL560" s="34"/>
      <c r="BM560" s="34"/>
      <c r="BN560" s="34"/>
      <c r="BO560" s="34"/>
      <c r="BP560" s="34"/>
      <c r="BY560" s="34"/>
      <c r="BZ560" s="34"/>
      <c r="CA560" s="34"/>
      <c r="CB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</row>
    <row r="561" ht="15.75" customHeight="1">
      <c r="B561" s="34"/>
      <c r="E561" s="34"/>
      <c r="F561" s="34"/>
      <c r="G561" s="34"/>
      <c r="H561" s="34"/>
      <c r="I561" s="34"/>
      <c r="J561" s="34"/>
      <c r="K561" s="34"/>
      <c r="L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AA561" s="34"/>
      <c r="AB561" s="34"/>
      <c r="AC561" s="34"/>
      <c r="AD561" s="34"/>
      <c r="AE561" s="34"/>
      <c r="AF561" s="34"/>
      <c r="AG561" s="34"/>
      <c r="AH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I561" s="34"/>
      <c r="BJ561" s="34"/>
      <c r="BK561" s="34"/>
      <c r="BL561" s="34"/>
      <c r="BM561" s="34"/>
      <c r="BN561" s="34"/>
      <c r="BO561" s="34"/>
      <c r="BP561" s="34"/>
      <c r="BY561" s="34"/>
      <c r="BZ561" s="34"/>
      <c r="CA561" s="34"/>
      <c r="CB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</row>
    <row r="562" ht="15.75" customHeight="1">
      <c r="B562" s="34"/>
      <c r="E562" s="34"/>
      <c r="F562" s="34"/>
      <c r="G562" s="34"/>
      <c r="H562" s="34"/>
      <c r="I562" s="34"/>
      <c r="J562" s="34"/>
      <c r="K562" s="34"/>
      <c r="L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AA562" s="34"/>
      <c r="AB562" s="34"/>
      <c r="AC562" s="34"/>
      <c r="AD562" s="34"/>
      <c r="AE562" s="34"/>
      <c r="AF562" s="34"/>
      <c r="AG562" s="34"/>
      <c r="AH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I562" s="34"/>
      <c r="BJ562" s="34"/>
      <c r="BK562" s="34"/>
      <c r="BL562" s="34"/>
      <c r="BM562" s="34"/>
      <c r="BN562" s="34"/>
      <c r="BO562" s="34"/>
      <c r="BP562" s="34"/>
      <c r="BY562" s="34"/>
      <c r="BZ562" s="34"/>
      <c r="CA562" s="34"/>
      <c r="CB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</row>
    <row r="563" ht="15.75" customHeight="1">
      <c r="B563" s="34"/>
      <c r="E563" s="34"/>
      <c r="F563" s="34"/>
      <c r="G563" s="34"/>
      <c r="H563" s="34"/>
      <c r="I563" s="34"/>
      <c r="J563" s="34"/>
      <c r="K563" s="34"/>
      <c r="L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AA563" s="34"/>
      <c r="AB563" s="34"/>
      <c r="AC563" s="34"/>
      <c r="AD563" s="34"/>
      <c r="AE563" s="34"/>
      <c r="AF563" s="34"/>
      <c r="AG563" s="34"/>
      <c r="AH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I563" s="34"/>
      <c r="BJ563" s="34"/>
      <c r="BK563" s="34"/>
      <c r="BL563" s="34"/>
      <c r="BM563" s="34"/>
      <c r="BN563" s="34"/>
      <c r="BO563" s="34"/>
      <c r="BP563" s="34"/>
      <c r="BY563" s="34"/>
      <c r="BZ563" s="34"/>
      <c r="CA563" s="34"/>
      <c r="CB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</row>
    <row r="564" ht="15.75" customHeight="1">
      <c r="B564" s="34"/>
      <c r="E564" s="34"/>
      <c r="F564" s="34"/>
      <c r="G564" s="34"/>
      <c r="H564" s="34"/>
      <c r="I564" s="34"/>
      <c r="J564" s="34"/>
      <c r="K564" s="34"/>
      <c r="L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AA564" s="34"/>
      <c r="AB564" s="34"/>
      <c r="AC564" s="34"/>
      <c r="AD564" s="34"/>
      <c r="AE564" s="34"/>
      <c r="AF564" s="34"/>
      <c r="AG564" s="34"/>
      <c r="AH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I564" s="34"/>
      <c r="BJ564" s="34"/>
      <c r="BK564" s="34"/>
      <c r="BL564" s="34"/>
      <c r="BM564" s="34"/>
      <c r="BN564" s="34"/>
      <c r="BO564" s="34"/>
      <c r="BP564" s="34"/>
      <c r="BY564" s="34"/>
      <c r="BZ564" s="34"/>
      <c r="CA564" s="34"/>
      <c r="CB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</row>
    <row r="565" ht="15.75" customHeight="1">
      <c r="B565" s="34"/>
      <c r="E565" s="34"/>
      <c r="F565" s="34"/>
      <c r="G565" s="34"/>
      <c r="H565" s="34"/>
      <c r="I565" s="34"/>
      <c r="J565" s="34"/>
      <c r="K565" s="34"/>
      <c r="L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AA565" s="34"/>
      <c r="AB565" s="34"/>
      <c r="AC565" s="34"/>
      <c r="AD565" s="34"/>
      <c r="AE565" s="34"/>
      <c r="AF565" s="34"/>
      <c r="AG565" s="34"/>
      <c r="AH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I565" s="34"/>
      <c r="BJ565" s="34"/>
      <c r="BK565" s="34"/>
      <c r="BL565" s="34"/>
      <c r="BM565" s="34"/>
      <c r="BN565" s="34"/>
      <c r="BO565" s="34"/>
      <c r="BP565" s="34"/>
      <c r="BY565" s="34"/>
      <c r="BZ565" s="34"/>
      <c r="CA565" s="34"/>
      <c r="CB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</row>
    <row r="566" ht="15.75" customHeight="1">
      <c r="B566" s="34"/>
      <c r="E566" s="34"/>
      <c r="F566" s="34"/>
      <c r="G566" s="34"/>
      <c r="H566" s="34"/>
      <c r="I566" s="34"/>
      <c r="J566" s="34"/>
      <c r="K566" s="34"/>
      <c r="L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AA566" s="34"/>
      <c r="AB566" s="34"/>
      <c r="AC566" s="34"/>
      <c r="AD566" s="34"/>
      <c r="AE566" s="34"/>
      <c r="AF566" s="34"/>
      <c r="AG566" s="34"/>
      <c r="AH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I566" s="34"/>
      <c r="BJ566" s="34"/>
      <c r="BK566" s="34"/>
      <c r="BL566" s="34"/>
      <c r="BM566" s="34"/>
      <c r="BN566" s="34"/>
      <c r="BO566" s="34"/>
      <c r="BP566" s="34"/>
      <c r="BY566" s="34"/>
      <c r="BZ566" s="34"/>
      <c r="CA566" s="34"/>
      <c r="CB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</row>
    <row r="567" ht="15.75" customHeight="1">
      <c r="B567" s="34"/>
      <c r="E567" s="34"/>
      <c r="F567" s="34"/>
      <c r="G567" s="34"/>
      <c r="H567" s="34"/>
      <c r="I567" s="34"/>
      <c r="J567" s="34"/>
      <c r="K567" s="34"/>
      <c r="L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AA567" s="34"/>
      <c r="AB567" s="34"/>
      <c r="AC567" s="34"/>
      <c r="AD567" s="34"/>
      <c r="AE567" s="34"/>
      <c r="AF567" s="34"/>
      <c r="AG567" s="34"/>
      <c r="AH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I567" s="34"/>
      <c r="BJ567" s="34"/>
      <c r="BK567" s="34"/>
      <c r="BL567" s="34"/>
      <c r="BM567" s="34"/>
      <c r="BN567" s="34"/>
      <c r="BO567" s="34"/>
      <c r="BP567" s="34"/>
      <c r="BY567" s="34"/>
      <c r="BZ567" s="34"/>
      <c r="CA567" s="34"/>
      <c r="CB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</row>
    <row r="568" ht="15.75" customHeight="1">
      <c r="B568" s="34"/>
      <c r="E568" s="34"/>
      <c r="F568" s="34"/>
      <c r="G568" s="34"/>
      <c r="H568" s="34"/>
      <c r="I568" s="34"/>
      <c r="J568" s="34"/>
      <c r="K568" s="34"/>
      <c r="L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AA568" s="34"/>
      <c r="AB568" s="34"/>
      <c r="AC568" s="34"/>
      <c r="AD568" s="34"/>
      <c r="AE568" s="34"/>
      <c r="AF568" s="34"/>
      <c r="AG568" s="34"/>
      <c r="AH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I568" s="34"/>
      <c r="BJ568" s="34"/>
      <c r="BK568" s="34"/>
      <c r="BL568" s="34"/>
      <c r="BM568" s="34"/>
      <c r="BN568" s="34"/>
      <c r="BO568" s="34"/>
      <c r="BP568" s="34"/>
      <c r="BY568" s="34"/>
      <c r="BZ568" s="34"/>
      <c r="CA568" s="34"/>
      <c r="CB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</row>
    <row r="569" ht="15.75" customHeight="1">
      <c r="B569" s="34"/>
      <c r="E569" s="34"/>
      <c r="F569" s="34"/>
      <c r="G569" s="34"/>
      <c r="H569" s="34"/>
      <c r="I569" s="34"/>
      <c r="J569" s="34"/>
      <c r="K569" s="34"/>
      <c r="L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AA569" s="34"/>
      <c r="AB569" s="34"/>
      <c r="AC569" s="34"/>
      <c r="AD569" s="34"/>
      <c r="AE569" s="34"/>
      <c r="AF569" s="34"/>
      <c r="AG569" s="34"/>
      <c r="AH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I569" s="34"/>
      <c r="BJ569" s="34"/>
      <c r="BK569" s="34"/>
      <c r="BL569" s="34"/>
      <c r="BM569" s="34"/>
      <c r="BN569" s="34"/>
      <c r="BO569" s="34"/>
      <c r="BP569" s="34"/>
      <c r="BY569" s="34"/>
      <c r="BZ569" s="34"/>
      <c r="CA569" s="34"/>
      <c r="CB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</row>
    <row r="570" ht="15.75" customHeight="1">
      <c r="B570" s="34"/>
      <c r="E570" s="34"/>
      <c r="F570" s="34"/>
      <c r="G570" s="34"/>
      <c r="H570" s="34"/>
      <c r="I570" s="34"/>
      <c r="J570" s="34"/>
      <c r="K570" s="34"/>
      <c r="L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AA570" s="34"/>
      <c r="AB570" s="34"/>
      <c r="AC570" s="34"/>
      <c r="AD570" s="34"/>
      <c r="AE570" s="34"/>
      <c r="AF570" s="34"/>
      <c r="AG570" s="34"/>
      <c r="AH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I570" s="34"/>
      <c r="BJ570" s="34"/>
      <c r="BK570" s="34"/>
      <c r="BL570" s="34"/>
      <c r="BM570" s="34"/>
      <c r="BN570" s="34"/>
      <c r="BO570" s="34"/>
      <c r="BP570" s="34"/>
      <c r="BY570" s="34"/>
      <c r="BZ570" s="34"/>
      <c r="CA570" s="34"/>
      <c r="CB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</row>
    <row r="571" ht="15.75" customHeight="1">
      <c r="B571" s="34"/>
      <c r="E571" s="34"/>
      <c r="F571" s="34"/>
      <c r="G571" s="34"/>
      <c r="H571" s="34"/>
      <c r="I571" s="34"/>
      <c r="J571" s="34"/>
      <c r="K571" s="34"/>
      <c r="L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AA571" s="34"/>
      <c r="AB571" s="34"/>
      <c r="AC571" s="34"/>
      <c r="AD571" s="34"/>
      <c r="AE571" s="34"/>
      <c r="AF571" s="34"/>
      <c r="AG571" s="34"/>
      <c r="AH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I571" s="34"/>
      <c r="BJ571" s="34"/>
      <c r="BK571" s="34"/>
      <c r="BL571" s="34"/>
      <c r="BM571" s="34"/>
      <c r="BN571" s="34"/>
      <c r="BO571" s="34"/>
      <c r="BP571" s="34"/>
      <c r="BY571" s="34"/>
      <c r="BZ571" s="34"/>
      <c r="CA571" s="34"/>
      <c r="CB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</row>
    <row r="572" ht="15.75" customHeight="1">
      <c r="B572" s="34"/>
      <c r="E572" s="34"/>
      <c r="F572" s="34"/>
      <c r="G572" s="34"/>
      <c r="H572" s="34"/>
      <c r="I572" s="34"/>
      <c r="J572" s="34"/>
      <c r="K572" s="34"/>
      <c r="L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AA572" s="34"/>
      <c r="AB572" s="34"/>
      <c r="AC572" s="34"/>
      <c r="AD572" s="34"/>
      <c r="AE572" s="34"/>
      <c r="AF572" s="34"/>
      <c r="AG572" s="34"/>
      <c r="AH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I572" s="34"/>
      <c r="BJ572" s="34"/>
      <c r="BK572" s="34"/>
      <c r="BL572" s="34"/>
      <c r="BM572" s="34"/>
      <c r="BN572" s="34"/>
      <c r="BO572" s="34"/>
      <c r="BP572" s="34"/>
      <c r="BY572" s="34"/>
      <c r="BZ572" s="34"/>
      <c r="CA572" s="34"/>
      <c r="CB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</row>
    <row r="573" ht="15.75" customHeight="1">
      <c r="B573" s="34"/>
      <c r="E573" s="34"/>
      <c r="F573" s="34"/>
      <c r="G573" s="34"/>
      <c r="H573" s="34"/>
      <c r="I573" s="34"/>
      <c r="J573" s="34"/>
      <c r="K573" s="34"/>
      <c r="L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AA573" s="34"/>
      <c r="AB573" s="34"/>
      <c r="AC573" s="34"/>
      <c r="AD573" s="34"/>
      <c r="AE573" s="34"/>
      <c r="AF573" s="34"/>
      <c r="AG573" s="34"/>
      <c r="AH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I573" s="34"/>
      <c r="BJ573" s="34"/>
      <c r="BK573" s="34"/>
      <c r="BL573" s="34"/>
      <c r="BM573" s="34"/>
      <c r="BN573" s="34"/>
      <c r="BO573" s="34"/>
      <c r="BP573" s="34"/>
      <c r="BY573" s="34"/>
      <c r="BZ573" s="34"/>
      <c r="CA573" s="34"/>
      <c r="CB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</row>
    <row r="574" ht="15.75" customHeight="1">
      <c r="B574" s="34"/>
      <c r="E574" s="34"/>
      <c r="F574" s="34"/>
      <c r="G574" s="34"/>
      <c r="H574" s="34"/>
      <c r="I574" s="34"/>
      <c r="J574" s="34"/>
      <c r="K574" s="34"/>
      <c r="L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AA574" s="34"/>
      <c r="AB574" s="34"/>
      <c r="AC574" s="34"/>
      <c r="AD574" s="34"/>
      <c r="AE574" s="34"/>
      <c r="AF574" s="34"/>
      <c r="AG574" s="34"/>
      <c r="AH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I574" s="34"/>
      <c r="BJ574" s="34"/>
      <c r="BK574" s="34"/>
      <c r="BL574" s="34"/>
      <c r="BM574" s="34"/>
      <c r="BN574" s="34"/>
      <c r="BO574" s="34"/>
      <c r="BP574" s="34"/>
      <c r="BY574" s="34"/>
      <c r="BZ574" s="34"/>
      <c r="CA574" s="34"/>
      <c r="CB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</row>
    <row r="575" ht="15.75" customHeight="1">
      <c r="B575" s="34"/>
      <c r="E575" s="34"/>
      <c r="F575" s="34"/>
      <c r="G575" s="34"/>
      <c r="H575" s="34"/>
      <c r="I575" s="34"/>
      <c r="J575" s="34"/>
      <c r="K575" s="34"/>
      <c r="L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AA575" s="34"/>
      <c r="AB575" s="34"/>
      <c r="AC575" s="34"/>
      <c r="AD575" s="34"/>
      <c r="AE575" s="34"/>
      <c r="AF575" s="34"/>
      <c r="AG575" s="34"/>
      <c r="AH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I575" s="34"/>
      <c r="BJ575" s="34"/>
      <c r="BK575" s="34"/>
      <c r="BL575" s="34"/>
      <c r="BM575" s="34"/>
      <c r="BN575" s="34"/>
      <c r="BO575" s="34"/>
      <c r="BP575" s="34"/>
      <c r="BY575" s="34"/>
      <c r="BZ575" s="34"/>
      <c r="CA575" s="34"/>
      <c r="CB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</row>
    <row r="576" ht="15.75" customHeight="1">
      <c r="B576" s="34"/>
      <c r="E576" s="34"/>
      <c r="F576" s="34"/>
      <c r="G576" s="34"/>
      <c r="H576" s="34"/>
      <c r="I576" s="34"/>
      <c r="J576" s="34"/>
      <c r="K576" s="34"/>
      <c r="L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AA576" s="34"/>
      <c r="AB576" s="34"/>
      <c r="AC576" s="34"/>
      <c r="AD576" s="34"/>
      <c r="AE576" s="34"/>
      <c r="AF576" s="34"/>
      <c r="AG576" s="34"/>
      <c r="AH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I576" s="34"/>
      <c r="BJ576" s="34"/>
      <c r="BK576" s="34"/>
      <c r="BL576" s="34"/>
      <c r="BM576" s="34"/>
      <c r="BN576" s="34"/>
      <c r="BO576" s="34"/>
      <c r="BP576" s="34"/>
      <c r="BY576" s="34"/>
      <c r="BZ576" s="34"/>
      <c r="CA576" s="34"/>
      <c r="CB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</row>
    <row r="577" ht="15.75" customHeight="1">
      <c r="B577" s="34"/>
      <c r="E577" s="34"/>
      <c r="F577" s="34"/>
      <c r="G577" s="34"/>
      <c r="H577" s="34"/>
      <c r="I577" s="34"/>
      <c r="J577" s="34"/>
      <c r="K577" s="34"/>
      <c r="L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AA577" s="34"/>
      <c r="AB577" s="34"/>
      <c r="AC577" s="34"/>
      <c r="AD577" s="34"/>
      <c r="AE577" s="34"/>
      <c r="AF577" s="34"/>
      <c r="AG577" s="34"/>
      <c r="AH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I577" s="34"/>
      <c r="BJ577" s="34"/>
      <c r="BK577" s="34"/>
      <c r="BL577" s="34"/>
      <c r="BM577" s="34"/>
      <c r="BN577" s="34"/>
      <c r="BO577" s="34"/>
      <c r="BP577" s="34"/>
      <c r="BY577" s="34"/>
      <c r="BZ577" s="34"/>
      <c r="CA577" s="34"/>
      <c r="CB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</row>
    <row r="578" ht="15.75" customHeight="1">
      <c r="B578" s="34"/>
      <c r="E578" s="34"/>
      <c r="F578" s="34"/>
      <c r="G578" s="34"/>
      <c r="H578" s="34"/>
      <c r="I578" s="34"/>
      <c r="J578" s="34"/>
      <c r="K578" s="34"/>
      <c r="L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AA578" s="34"/>
      <c r="AB578" s="34"/>
      <c r="AC578" s="34"/>
      <c r="AD578" s="34"/>
      <c r="AE578" s="34"/>
      <c r="AF578" s="34"/>
      <c r="AG578" s="34"/>
      <c r="AH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I578" s="34"/>
      <c r="BJ578" s="34"/>
      <c r="BK578" s="34"/>
      <c r="BL578" s="34"/>
      <c r="BM578" s="34"/>
      <c r="BN578" s="34"/>
      <c r="BO578" s="34"/>
      <c r="BP578" s="34"/>
      <c r="BY578" s="34"/>
      <c r="BZ578" s="34"/>
      <c r="CA578" s="34"/>
      <c r="CB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</row>
    <row r="579" ht="15.75" customHeight="1">
      <c r="B579" s="34"/>
      <c r="E579" s="34"/>
      <c r="F579" s="34"/>
      <c r="G579" s="34"/>
      <c r="H579" s="34"/>
      <c r="I579" s="34"/>
      <c r="J579" s="34"/>
      <c r="K579" s="34"/>
      <c r="L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AA579" s="34"/>
      <c r="AB579" s="34"/>
      <c r="AC579" s="34"/>
      <c r="AD579" s="34"/>
      <c r="AE579" s="34"/>
      <c r="AF579" s="34"/>
      <c r="AG579" s="34"/>
      <c r="AH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I579" s="34"/>
      <c r="BJ579" s="34"/>
      <c r="BK579" s="34"/>
      <c r="BL579" s="34"/>
      <c r="BM579" s="34"/>
      <c r="BN579" s="34"/>
      <c r="BO579" s="34"/>
      <c r="BP579" s="34"/>
      <c r="BY579" s="34"/>
      <c r="BZ579" s="34"/>
      <c r="CA579" s="34"/>
      <c r="CB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</row>
    <row r="580" ht="15.75" customHeight="1">
      <c r="B580" s="34"/>
      <c r="E580" s="34"/>
      <c r="F580" s="34"/>
      <c r="G580" s="34"/>
      <c r="H580" s="34"/>
      <c r="I580" s="34"/>
      <c r="J580" s="34"/>
      <c r="K580" s="34"/>
      <c r="L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AA580" s="34"/>
      <c r="AB580" s="34"/>
      <c r="AC580" s="34"/>
      <c r="AD580" s="34"/>
      <c r="AE580" s="34"/>
      <c r="AF580" s="34"/>
      <c r="AG580" s="34"/>
      <c r="AH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I580" s="34"/>
      <c r="BJ580" s="34"/>
      <c r="BK580" s="34"/>
      <c r="BL580" s="34"/>
      <c r="BM580" s="34"/>
      <c r="BN580" s="34"/>
      <c r="BO580" s="34"/>
      <c r="BP580" s="34"/>
      <c r="BY580" s="34"/>
      <c r="BZ580" s="34"/>
      <c r="CA580" s="34"/>
      <c r="CB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</row>
    <row r="581" ht="15.75" customHeight="1">
      <c r="B581" s="34"/>
      <c r="E581" s="34"/>
      <c r="F581" s="34"/>
      <c r="G581" s="34"/>
      <c r="H581" s="34"/>
      <c r="I581" s="34"/>
      <c r="J581" s="34"/>
      <c r="K581" s="34"/>
      <c r="L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AA581" s="34"/>
      <c r="AB581" s="34"/>
      <c r="AC581" s="34"/>
      <c r="AD581" s="34"/>
      <c r="AE581" s="34"/>
      <c r="AF581" s="34"/>
      <c r="AG581" s="34"/>
      <c r="AH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I581" s="34"/>
      <c r="BJ581" s="34"/>
      <c r="BK581" s="34"/>
      <c r="BL581" s="34"/>
      <c r="BM581" s="34"/>
      <c r="BN581" s="34"/>
      <c r="BO581" s="34"/>
      <c r="BP581" s="34"/>
      <c r="BY581" s="34"/>
      <c r="BZ581" s="34"/>
      <c r="CA581" s="34"/>
      <c r="CB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</row>
    <row r="582" ht="15.75" customHeight="1">
      <c r="B582" s="34"/>
      <c r="E582" s="34"/>
      <c r="F582" s="34"/>
      <c r="G582" s="34"/>
      <c r="H582" s="34"/>
      <c r="I582" s="34"/>
      <c r="J582" s="34"/>
      <c r="K582" s="34"/>
      <c r="L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AA582" s="34"/>
      <c r="AB582" s="34"/>
      <c r="AC582" s="34"/>
      <c r="AD582" s="34"/>
      <c r="AE582" s="34"/>
      <c r="AF582" s="34"/>
      <c r="AG582" s="34"/>
      <c r="AH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I582" s="34"/>
      <c r="BJ582" s="34"/>
      <c r="BK582" s="34"/>
      <c r="BL582" s="34"/>
      <c r="BM582" s="34"/>
      <c r="BN582" s="34"/>
      <c r="BO582" s="34"/>
      <c r="BP582" s="34"/>
      <c r="BY582" s="34"/>
      <c r="BZ582" s="34"/>
      <c r="CA582" s="34"/>
      <c r="CB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</row>
    <row r="583" ht="15.75" customHeight="1">
      <c r="B583" s="34"/>
      <c r="E583" s="34"/>
      <c r="F583" s="34"/>
      <c r="G583" s="34"/>
      <c r="H583" s="34"/>
      <c r="I583" s="34"/>
      <c r="J583" s="34"/>
      <c r="K583" s="34"/>
      <c r="L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AA583" s="34"/>
      <c r="AB583" s="34"/>
      <c r="AC583" s="34"/>
      <c r="AD583" s="34"/>
      <c r="AE583" s="34"/>
      <c r="AF583" s="34"/>
      <c r="AG583" s="34"/>
      <c r="AH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I583" s="34"/>
      <c r="BJ583" s="34"/>
      <c r="BK583" s="34"/>
      <c r="BL583" s="34"/>
      <c r="BM583" s="34"/>
      <c r="BN583" s="34"/>
      <c r="BO583" s="34"/>
      <c r="BP583" s="34"/>
      <c r="BY583" s="34"/>
      <c r="BZ583" s="34"/>
      <c r="CA583" s="34"/>
      <c r="CB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</row>
    <row r="584" ht="15.75" customHeight="1">
      <c r="B584" s="34"/>
      <c r="E584" s="34"/>
      <c r="F584" s="34"/>
      <c r="G584" s="34"/>
      <c r="H584" s="34"/>
      <c r="I584" s="34"/>
      <c r="J584" s="34"/>
      <c r="K584" s="34"/>
      <c r="L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AA584" s="34"/>
      <c r="AB584" s="34"/>
      <c r="AC584" s="34"/>
      <c r="AD584" s="34"/>
      <c r="AE584" s="34"/>
      <c r="AF584" s="34"/>
      <c r="AG584" s="34"/>
      <c r="AH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I584" s="34"/>
      <c r="BJ584" s="34"/>
      <c r="BK584" s="34"/>
      <c r="BL584" s="34"/>
      <c r="BM584" s="34"/>
      <c r="BN584" s="34"/>
      <c r="BO584" s="34"/>
      <c r="BP584" s="34"/>
      <c r="BY584" s="34"/>
      <c r="BZ584" s="34"/>
      <c r="CA584" s="34"/>
      <c r="CB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</row>
    <row r="585" ht="15.75" customHeight="1">
      <c r="B585" s="34"/>
      <c r="E585" s="34"/>
      <c r="F585" s="34"/>
      <c r="G585" s="34"/>
      <c r="H585" s="34"/>
      <c r="I585" s="34"/>
      <c r="J585" s="34"/>
      <c r="K585" s="34"/>
      <c r="L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AA585" s="34"/>
      <c r="AB585" s="34"/>
      <c r="AC585" s="34"/>
      <c r="AD585" s="34"/>
      <c r="AE585" s="34"/>
      <c r="AF585" s="34"/>
      <c r="AG585" s="34"/>
      <c r="AH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I585" s="34"/>
      <c r="BJ585" s="34"/>
      <c r="BK585" s="34"/>
      <c r="BL585" s="34"/>
      <c r="BM585" s="34"/>
      <c r="BN585" s="34"/>
      <c r="BO585" s="34"/>
      <c r="BP585" s="34"/>
      <c r="BY585" s="34"/>
      <c r="BZ585" s="34"/>
      <c r="CA585" s="34"/>
      <c r="CB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</row>
    <row r="586" ht="15.75" customHeight="1">
      <c r="B586" s="34"/>
      <c r="E586" s="34"/>
      <c r="F586" s="34"/>
      <c r="G586" s="34"/>
      <c r="H586" s="34"/>
      <c r="I586" s="34"/>
      <c r="J586" s="34"/>
      <c r="K586" s="34"/>
      <c r="L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AA586" s="34"/>
      <c r="AB586" s="34"/>
      <c r="AC586" s="34"/>
      <c r="AD586" s="34"/>
      <c r="AE586" s="34"/>
      <c r="AF586" s="34"/>
      <c r="AG586" s="34"/>
      <c r="AH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I586" s="34"/>
      <c r="BJ586" s="34"/>
      <c r="BK586" s="34"/>
      <c r="BL586" s="34"/>
      <c r="BM586" s="34"/>
      <c r="BN586" s="34"/>
      <c r="BO586" s="34"/>
      <c r="BP586" s="34"/>
      <c r="BY586" s="34"/>
      <c r="BZ586" s="34"/>
      <c r="CA586" s="34"/>
      <c r="CB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</row>
    <row r="587" ht="15.75" customHeight="1">
      <c r="B587" s="34"/>
      <c r="E587" s="34"/>
      <c r="F587" s="34"/>
      <c r="G587" s="34"/>
      <c r="H587" s="34"/>
      <c r="I587" s="34"/>
      <c r="J587" s="34"/>
      <c r="K587" s="34"/>
      <c r="L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AA587" s="34"/>
      <c r="AB587" s="34"/>
      <c r="AC587" s="34"/>
      <c r="AD587" s="34"/>
      <c r="AE587" s="34"/>
      <c r="AF587" s="34"/>
      <c r="AG587" s="34"/>
      <c r="AH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I587" s="34"/>
      <c r="BJ587" s="34"/>
      <c r="BK587" s="34"/>
      <c r="BL587" s="34"/>
      <c r="BM587" s="34"/>
      <c r="BN587" s="34"/>
      <c r="BO587" s="34"/>
      <c r="BP587" s="34"/>
      <c r="BY587" s="34"/>
      <c r="BZ587" s="34"/>
      <c r="CA587" s="34"/>
      <c r="CB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</row>
    <row r="588" ht="15.75" customHeight="1">
      <c r="B588" s="34"/>
      <c r="E588" s="34"/>
      <c r="F588" s="34"/>
      <c r="G588" s="34"/>
      <c r="H588" s="34"/>
      <c r="I588" s="34"/>
      <c r="J588" s="34"/>
      <c r="K588" s="34"/>
      <c r="L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AA588" s="34"/>
      <c r="AB588" s="34"/>
      <c r="AC588" s="34"/>
      <c r="AD588" s="34"/>
      <c r="AE588" s="34"/>
      <c r="AF588" s="34"/>
      <c r="AG588" s="34"/>
      <c r="AH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I588" s="34"/>
      <c r="BJ588" s="34"/>
      <c r="BK588" s="34"/>
      <c r="BL588" s="34"/>
      <c r="BM588" s="34"/>
      <c r="BN588" s="34"/>
      <c r="BO588" s="34"/>
      <c r="BP588" s="34"/>
      <c r="BY588" s="34"/>
      <c r="BZ588" s="34"/>
      <c r="CA588" s="34"/>
      <c r="CB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</row>
    <row r="589" ht="15.75" customHeight="1">
      <c r="B589" s="34"/>
      <c r="E589" s="34"/>
      <c r="F589" s="34"/>
      <c r="G589" s="34"/>
      <c r="H589" s="34"/>
      <c r="I589" s="34"/>
      <c r="J589" s="34"/>
      <c r="K589" s="34"/>
      <c r="L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AA589" s="34"/>
      <c r="AB589" s="34"/>
      <c r="AC589" s="34"/>
      <c r="AD589" s="34"/>
      <c r="AE589" s="34"/>
      <c r="AF589" s="34"/>
      <c r="AG589" s="34"/>
      <c r="AH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I589" s="34"/>
      <c r="BJ589" s="34"/>
      <c r="BK589" s="34"/>
      <c r="BL589" s="34"/>
      <c r="BM589" s="34"/>
      <c r="BN589" s="34"/>
      <c r="BO589" s="34"/>
      <c r="BP589" s="34"/>
      <c r="BY589" s="34"/>
      <c r="BZ589" s="34"/>
      <c r="CA589" s="34"/>
      <c r="CB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</row>
    <row r="590" ht="15.75" customHeight="1">
      <c r="B590" s="34"/>
      <c r="E590" s="34"/>
      <c r="F590" s="34"/>
      <c r="G590" s="34"/>
      <c r="H590" s="34"/>
      <c r="I590" s="34"/>
      <c r="J590" s="34"/>
      <c r="K590" s="34"/>
      <c r="L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AA590" s="34"/>
      <c r="AB590" s="34"/>
      <c r="AC590" s="34"/>
      <c r="AD590" s="34"/>
      <c r="AE590" s="34"/>
      <c r="AF590" s="34"/>
      <c r="AG590" s="34"/>
      <c r="AH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I590" s="34"/>
      <c r="BJ590" s="34"/>
      <c r="BK590" s="34"/>
      <c r="BL590" s="34"/>
      <c r="BM590" s="34"/>
      <c r="BN590" s="34"/>
      <c r="BO590" s="34"/>
      <c r="BP590" s="34"/>
      <c r="BY590" s="34"/>
      <c r="BZ590" s="34"/>
      <c r="CA590" s="34"/>
      <c r="CB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</row>
    <row r="591" ht="15.75" customHeight="1">
      <c r="B591" s="34"/>
      <c r="E591" s="34"/>
      <c r="F591" s="34"/>
      <c r="G591" s="34"/>
      <c r="H591" s="34"/>
      <c r="I591" s="34"/>
      <c r="J591" s="34"/>
      <c r="K591" s="34"/>
      <c r="L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AA591" s="34"/>
      <c r="AB591" s="34"/>
      <c r="AC591" s="34"/>
      <c r="AD591" s="34"/>
      <c r="AE591" s="34"/>
      <c r="AF591" s="34"/>
      <c r="AG591" s="34"/>
      <c r="AH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I591" s="34"/>
      <c r="BJ591" s="34"/>
      <c r="BK591" s="34"/>
      <c r="BL591" s="34"/>
      <c r="BM591" s="34"/>
      <c r="BN591" s="34"/>
      <c r="BO591" s="34"/>
      <c r="BP591" s="34"/>
      <c r="BY591" s="34"/>
      <c r="BZ591" s="34"/>
      <c r="CA591" s="34"/>
      <c r="CB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</row>
    <row r="592" ht="15.75" customHeight="1">
      <c r="B592" s="34"/>
      <c r="E592" s="34"/>
      <c r="F592" s="34"/>
      <c r="G592" s="34"/>
      <c r="H592" s="34"/>
      <c r="I592" s="34"/>
      <c r="J592" s="34"/>
      <c r="K592" s="34"/>
      <c r="L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AA592" s="34"/>
      <c r="AB592" s="34"/>
      <c r="AC592" s="34"/>
      <c r="AD592" s="34"/>
      <c r="AE592" s="34"/>
      <c r="AF592" s="34"/>
      <c r="AG592" s="34"/>
      <c r="AH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I592" s="34"/>
      <c r="BJ592" s="34"/>
      <c r="BK592" s="34"/>
      <c r="BL592" s="34"/>
      <c r="BM592" s="34"/>
      <c r="BN592" s="34"/>
      <c r="BO592" s="34"/>
      <c r="BP592" s="34"/>
      <c r="BY592" s="34"/>
      <c r="BZ592" s="34"/>
      <c r="CA592" s="34"/>
      <c r="CB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</row>
    <row r="593" ht="15.75" customHeight="1">
      <c r="B593" s="34"/>
      <c r="E593" s="34"/>
      <c r="F593" s="34"/>
      <c r="G593" s="34"/>
      <c r="H593" s="34"/>
      <c r="I593" s="34"/>
      <c r="J593" s="34"/>
      <c r="K593" s="34"/>
      <c r="L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AA593" s="34"/>
      <c r="AB593" s="34"/>
      <c r="AC593" s="34"/>
      <c r="AD593" s="34"/>
      <c r="AE593" s="34"/>
      <c r="AF593" s="34"/>
      <c r="AG593" s="34"/>
      <c r="AH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I593" s="34"/>
      <c r="BJ593" s="34"/>
      <c r="BK593" s="34"/>
      <c r="BL593" s="34"/>
      <c r="BM593" s="34"/>
      <c r="BN593" s="34"/>
      <c r="BO593" s="34"/>
      <c r="BP593" s="34"/>
      <c r="BY593" s="34"/>
      <c r="BZ593" s="34"/>
      <c r="CA593" s="34"/>
      <c r="CB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</row>
    <row r="594" ht="15.75" customHeight="1">
      <c r="B594" s="34"/>
      <c r="E594" s="34"/>
      <c r="F594" s="34"/>
      <c r="G594" s="34"/>
      <c r="H594" s="34"/>
      <c r="I594" s="34"/>
      <c r="J594" s="34"/>
      <c r="K594" s="34"/>
      <c r="L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AA594" s="34"/>
      <c r="AB594" s="34"/>
      <c r="AC594" s="34"/>
      <c r="AD594" s="34"/>
      <c r="AE594" s="34"/>
      <c r="AF594" s="34"/>
      <c r="AG594" s="34"/>
      <c r="AH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I594" s="34"/>
      <c r="BJ594" s="34"/>
      <c r="BK594" s="34"/>
      <c r="BL594" s="34"/>
      <c r="BM594" s="34"/>
      <c r="BN594" s="34"/>
      <c r="BO594" s="34"/>
      <c r="BP594" s="34"/>
      <c r="BY594" s="34"/>
      <c r="BZ594" s="34"/>
      <c r="CA594" s="34"/>
      <c r="CB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</row>
    <row r="595" ht="15.75" customHeight="1">
      <c r="B595" s="34"/>
      <c r="E595" s="34"/>
      <c r="F595" s="34"/>
      <c r="G595" s="34"/>
      <c r="H595" s="34"/>
      <c r="I595" s="34"/>
      <c r="J595" s="34"/>
      <c r="K595" s="34"/>
      <c r="L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AA595" s="34"/>
      <c r="AB595" s="34"/>
      <c r="AC595" s="34"/>
      <c r="AD595" s="34"/>
      <c r="AE595" s="34"/>
      <c r="AF595" s="34"/>
      <c r="AG595" s="34"/>
      <c r="AH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I595" s="34"/>
      <c r="BJ595" s="34"/>
      <c r="BK595" s="34"/>
      <c r="BL595" s="34"/>
      <c r="BM595" s="34"/>
      <c r="BN595" s="34"/>
      <c r="BO595" s="34"/>
      <c r="BP595" s="34"/>
      <c r="BY595" s="34"/>
      <c r="BZ595" s="34"/>
      <c r="CA595" s="34"/>
      <c r="CB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</row>
    <row r="596" ht="15.75" customHeight="1">
      <c r="B596" s="34"/>
      <c r="E596" s="34"/>
      <c r="F596" s="34"/>
      <c r="G596" s="34"/>
      <c r="H596" s="34"/>
      <c r="I596" s="34"/>
      <c r="J596" s="34"/>
      <c r="K596" s="34"/>
      <c r="L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AA596" s="34"/>
      <c r="AB596" s="34"/>
      <c r="AC596" s="34"/>
      <c r="AD596" s="34"/>
      <c r="AE596" s="34"/>
      <c r="AF596" s="34"/>
      <c r="AG596" s="34"/>
      <c r="AH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I596" s="34"/>
      <c r="BJ596" s="34"/>
      <c r="BK596" s="34"/>
      <c r="BL596" s="34"/>
      <c r="BM596" s="34"/>
      <c r="BN596" s="34"/>
      <c r="BO596" s="34"/>
      <c r="BP596" s="34"/>
      <c r="BY596" s="34"/>
      <c r="BZ596" s="34"/>
      <c r="CA596" s="34"/>
      <c r="CB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</row>
    <row r="597" ht="15.75" customHeight="1">
      <c r="B597" s="34"/>
      <c r="E597" s="34"/>
      <c r="F597" s="34"/>
      <c r="G597" s="34"/>
      <c r="H597" s="34"/>
      <c r="I597" s="34"/>
      <c r="J597" s="34"/>
      <c r="K597" s="34"/>
      <c r="L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AA597" s="34"/>
      <c r="AB597" s="34"/>
      <c r="AC597" s="34"/>
      <c r="AD597" s="34"/>
      <c r="AE597" s="34"/>
      <c r="AF597" s="34"/>
      <c r="AG597" s="34"/>
      <c r="AH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I597" s="34"/>
      <c r="BJ597" s="34"/>
      <c r="BK597" s="34"/>
      <c r="BL597" s="34"/>
      <c r="BM597" s="34"/>
      <c r="BN597" s="34"/>
      <c r="BO597" s="34"/>
      <c r="BP597" s="34"/>
      <c r="BY597" s="34"/>
      <c r="BZ597" s="34"/>
      <c r="CA597" s="34"/>
      <c r="CB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</row>
    <row r="598" ht="15.75" customHeight="1">
      <c r="B598" s="34"/>
      <c r="E598" s="34"/>
      <c r="F598" s="34"/>
      <c r="G598" s="34"/>
      <c r="H598" s="34"/>
      <c r="I598" s="34"/>
      <c r="J598" s="34"/>
      <c r="K598" s="34"/>
      <c r="L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AA598" s="34"/>
      <c r="AB598" s="34"/>
      <c r="AC598" s="34"/>
      <c r="AD598" s="34"/>
      <c r="AE598" s="34"/>
      <c r="AF598" s="34"/>
      <c r="AG598" s="34"/>
      <c r="AH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I598" s="34"/>
      <c r="BJ598" s="34"/>
      <c r="BK598" s="34"/>
      <c r="BL598" s="34"/>
      <c r="BM598" s="34"/>
      <c r="BN598" s="34"/>
      <c r="BO598" s="34"/>
      <c r="BP598" s="34"/>
      <c r="BY598" s="34"/>
      <c r="BZ598" s="34"/>
      <c r="CA598" s="34"/>
      <c r="CB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</row>
    <row r="599" ht="15.75" customHeight="1">
      <c r="B599" s="34"/>
      <c r="E599" s="34"/>
      <c r="F599" s="34"/>
      <c r="G599" s="34"/>
      <c r="H599" s="34"/>
      <c r="I599" s="34"/>
      <c r="J599" s="34"/>
      <c r="K599" s="34"/>
      <c r="L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AA599" s="34"/>
      <c r="AB599" s="34"/>
      <c r="AC599" s="34"/>
      <c r="AD599" s="34"/>
      <c r="AE599" s="34"/>
      <c r="AF599" s="34"/>
      <c r="AG599" s="34"/>
      <c r="AH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I599" s="34"/>
      <c r="BJ599" s="34"/>
      <c r="BK599" s="34"/>
      <c r="BL599" s="34"/>
      <c r="BM599" s="34"/>
      <c r="BN599" s="34"/>
      <c r="BO599" s="34"/>
      <c r="BP599" s="34"/>
      <c r="BY599" s="34"/>
      <c r="BZ599" s="34"/>
      <c r="CA599" s="34"/>
      <c r="CB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</row>
    <row r="600" ht="15.75" customHeight="1">
      <c r="B600" s="34"/>
      <c r="E600" s="34"/>
      <c r="F600" s="34"/>
      <c r="G600" s="34"/>
      <c r="H600" s="34"/>
      <c r="I600" s="34"/>
      <c r="J600" s="34"/>
      <c r="K600" s="34"/>
      <c r="L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AA600" s="34"/>
      <c r="AB600" s="34"/>
      <c r="AC600" s="34"/>
      <c r="AD600" s="34"/>
      <c r="AE600" s="34"/>
      <c r="AF600" s="34"/>
      <c r="AG600" s="34"/>
      <c r="AH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I600" s="34"/>
      <c r="BJ600" s="34"/>
      <c r="BK600" s="34"/>
      <c r="BL600" s="34"/>
      <c r="BM600" s="34"/>
      <c r="BN600" s="34"/>
      <c r="BO600" s="34"/>
      <c r="BP600" s="34"/>
      <c r="BY600" s="34"/>
      <c r="BZ600" s="34"/>
      <c r="CA600" s="34"/>
      <c r="CB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</row>
    <row r="601" ht="15.75" customHeight="1">
      <c r="B601" s="34"/>
      <c r="E601" s="34"/>
      <c r="F601" s="34"/>
      <c r="G601" s="34"/>
      <c r="H601" s="34"/>
      <c r="I601" s="34"/>
      <c r="J601" s="34"/>
      <c r="K601" s="34"/>
      <c r="L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AA601" s="34"/>
      <c r="AB601" s="34"/>
      <c r="AC601" s="34"/>
      <c r="AD601" s="34"/>
      <c r="AE601" s="34"/>
      <c r="AF601" s="34"/>
      <c r="AG601" s="34"/>
      <c r="AH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I601" s="34"/>
      <c r="BJ601" s="34"/>
      <c r="BK601" s="34"/>
      <c r="BL601" s="34"/>
      <c r="BM601" s="34"/>
      <c r="BN601" s="34"/>
      <c r="BO601" s="34"/>
      <c r="BP601" s="34"/>
      <c r="BY601" s="34"/>
      <c r="BZ601" s="34"/>
      <c r="CA601" s="34"/>
      <c r="CB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</row>
    <row r="602" ht="15.75" customHeight="1">
      <c r="B602" s="34"/>
      <c r="E602" s="34"/>
      <c r="F602" s="34"/>
      <c r="G602" s="34"/>
      <c r="H602" s="34"/>
      <c r="I602" s="34"/>
      <c r="J602" s="34"/>
      <c r="K602" s="34"/>
      <c r="L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AA602" s="34"/>
      <c r="AB602" s="34"/>
      <c r="AC602" s="34"/>
      <c r="AD602" s="34"/>
      <c r="AE602" s="34"/>
      <c r="AF602" s="34"/>
      <c r="AG602" s="34"/>
      <c r="AH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I602" s="34"/>
      <c r="BJ602" s="34"/>
      <c r="BK602" s="34"/>
      <c r="BL602" s="34"/>
      <c r="BM602" s="34"/>
      <c r="BN602" s="34"/>
      <c r="BO602" s="34"/>
      <c r="BP602" s="34"/>
      <c r="BY602" s="34"/>
      <c r="BZ602" s="34"/>
      <c r="CA602" s="34"/>
      <c r="CB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</row>
    <row r="603" ht="15.75" customHeight="1">
      <c r="B603" s="34"/>
      <c r="E603" s="34"/>
      <c r="F603" s="34"/>
      <c r="G603" s="34"/>
      <c r="H603" s="34"/>
      <c r="I603" s="34"/>
      <c r="J603" s="34"/>
      <c r="K603" s="34"/>
      <c r="L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AA603" s="34"/>
      <c r="AB603" s="34"/>
      <c r="AC603" s="34"/>
      <c r="AD603" s="34"/>
      <c r="AE603" s="34"/>
      <c r="AF603" s="34"/>
      <c r="AG603" s="34"/>
      <c r="AH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I603" s="34"/>
      <c r="BJ603" s="34"/>
      <c r="BK603" s="34"/>
      <c r="BL603" s="34"/>
      <c r="BM603" s="34"/>
      <c r="BN603" s="34"/>
      <c r="BO603" s="34"/>
      <c r="BP603" s="34"/>
      <c r="BY603" s="34"/>
      <c r="BZ603" s="34"/>
      <c r="CA603" s="34"/>
      <c r="CB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</row>
    <row r="604" ht="15.75" customHeight="1">
      <c r="B604" s="34"/>
      <c r="E604" s="34"/>
      <c r="F604" s="34"/>
      <c r="G604" s="34"/>
      <c r="H604" s="34"/>
      <c r="I604" s="34"/>
      <c r="J604" s="34"/>
      <c r="K604" s="34"/>
      <c r="L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AA604" s="34"/>
      <c r="AB604" s="34"/>
      <c r="AC604" s="34"/>
      <c r="AD604" s="34"/>
      <c r="AE604" s="34"/>
      <c r="AF604" s="34"/>
      <c r="AG604" s="34"/>
      <c r="AH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I604" s="34"/>
      <c r="BJ604" s="34"/>
      <c r="BK604" s="34"/>
      <c r="BL604" s="34"/>
      <c r="BM604" s="34"/>
      <c r="BN604" s="34"/>
      <c r="BO604" s="34"/>
      <c r="BP604" s="34"/>
      <c r="BY604" s="34"/>
      <c r="BZ604" s="34"/>
      <c r="CA604" s="34"/>
      <c r="CB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</row>
    <row r="605" ht="15.75" customHeight="1">
      <c r="B605" s="34"/>
      <c r="E605" s="34"/>
      <c r="F605" s="34"/>
      <c r="G605" s="34"/>
      <c r="H605" s="34"/>
      <c r="I605" s="34"/>
      <c r="J605" s="34"/>
      <c r="K605" s="34"/>
      <c r="L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AA605" s="34"/>
      <c r="AB605" s="34"/>
      <c r="AC605" s="34"/>
      <c r="AD605" s="34"/>
      <c r="AE605" s="34"/>
      <c r="AF605" s="34"/>
      <c r="AG605" s="34"/>
      <c r="AH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I605" s="34"/>
      <c r="BJ605" s="34"/>
      <c r="BK605" s="34"/>
      <c r="BL605" s="34"/>
      <c r="BM605" s="34"/>
      <c r="BN605" s="34"/>
      <c r="BO605" s="34"/>
      <c r="BP605" s="34"/>
      <c r="BY605" s="34"/>
      <c r="BZ605" s="34"/>
      <c r="CA605" s="34"/>
      <c r="CB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</row>
    <row r="606" ht="15.75" customHeight="1">
      <c r="B606" s="34"/>
      <c r="E606" s="34"/>
      <c r="F606" s="34"/>
      <c r="G606" s="34"/>
      <c r="H606" s="34"/>
      <c r="I606" s="34"/>
      <c r="J606" s="34"/>
      <c r="K606" s="34"/>
      <c r="L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AA606" s="34"/>
      <c r="AB606" s="34"/>
      <c r="AC606" s="34"/>
      <c r="AD606" s="34"/>
      <c r="AE606" s="34"/>
      <c r="AF606" s="34"/>
      <c r="AG606" s="34"/>
      <c r="AH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I606" s="34"/>
      <c r="BJ606" s="34"/>
      <c r="BK606" s="34"/>
      <c r="BL606" s="34"/>
      <c r="BM606" s="34"/>
      <c r="BN606" s="34"/>
      <c r="BO606" s="34"/>
      <c r="BP606" s="34"/>
      <c r="BY606" s="34"/>
      <c r="BZ606" s="34"/>
      <c r="CA606" s="34"/>
      <c r="CB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</row>
    <row r="607" ht="15.75" customHeight="1">
      <c r="B607" s="34"/>
      <c r="E607" s="34"/>
      <c r="F607" s="34"/>
      <c r="G607" s="34"/>
      <c r="H607" s="34"/>
      <c r="I607" s="34"/>
      <c r="J607" s="34"/>
      <c r="K607" s="34"/>
      <c r="L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AA607" s="34"/>
      <c r="AB607" s="34"/>
      <c r="AC607" s="34"/>
      <c r="AD607" s="34"/>
      <c r="AE607" s="34"/>
      <c r="AF607" s="34"/>
      <c r="AG607" s="34"/>
      <c r="AH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I607" s="34"/>
      <c r="BJ607" s="34"/>
      <c r="BK607" s="34"/>
      <c r="BL607" s="34"/>
      <c r="BM607" s="34"/>
      <c r="BN607" s="34"/>
      <c r="BO607" s="34"/>
      <c r="BP607" s="34"/>
      <c r="BY607" s="34"/>
      <c r="BZ607" s="34"/>
      <c r="CA607" s="34"/>
      <c r="CB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</row>
    <row r="608" ht="15.75" customHeight="1">
      <c r="B608" s="34"/>
      <c r="E608" s="34"/>
      <c r="F608" s="34"/>
      <c r="G608" s="34"/>
      <c r="H608" s="34"/>
      <c r="I608" s="34"/>
      <c r="J608" s="34"/>
      <c r="K608" s="34"/>
      <c r="L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AA608" s="34"/>
      <c r="AB608" s="34"/>
      <c r="AC608" s="34"/>
      <c r="AD608" s="34"/>
      <c r="AE608" s="34"/>
      <c r="AF608" s="34"/>
      <c r="AG608" s="34"/>
      <c r="AH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I608" s="34"/>
      <c r="BJ608" s="34"/>
      <c r="BK608" s="34"/>
      <c r="BL608" s="34"/>
      <c r="BM608" s="34"/>
      <c r="BN608" s="34"/>
      <c r="BO608" s="34"/>
      <c r="BP608" s="34"/>
      <c r="BY608" s="34"/>
      <c r="BZ608" s="34"/>
      <c r="CA608" s="34"/>
      <c r="CB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</row>
    <row r="609" ht="15.75" customHeight="1">
      <c r="B609" s="34"/>
      <c r="E609" s="34"/>
      <c r="F609" s="34"/>
      <c r="G609" s="34"/>
      <c r="H609" s="34"/>
      <c r="I609" s="34"/>
      <c r="J609" s="34"/>
      <c r="K609" s="34"/>
      <c r="L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AA609" s="34"/>
      <c r="AB609" s="34"/>
      <c r="AC609" s="34"/>
      <c r="AD609" s="34"/>
      <c r="AE609" s="34"/>
      <c r="AF609" s="34"/>
      <c r="AG609" s="34"/>
      <c r="AH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I609" s="34"/>
      <c r="BJ609" s="34"/>
      <c r="BK609" s="34"/>
      <c r="BL609" s="34"/>
      <c r="BM609" s="34"/>
      <c r="BN609" s="34"/>
      <c r="BO609" s="34"/>
      <c r="BP609" s="34"/>
      <c r="BY609" s="34"/>
      <c r="BZ609" s="34"/>
      <c r="CA609" s="34"/>
      <c r="CB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</row>
    <row r="610" ht="15.75" customHeight="1">
      <c r="B610" s="34"/>
      <c r="E610" s="34"/>
      <c r="F610" s="34"/>
      <c r="G610" s="34"/>
      <c r="H610" s="34"/>
      <c r="I610" s="34"/>
      <c r="J610" s="34"/>
      <c r="K610" s="34"/>
      <c r="L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AA610" s="34"/>
      <c r="AB610" s="34"/>
      <c r="AC610" s="34"/>
      <c r="AD610" s="34"/>
      <c r="AE610" s="34"/>
      <c r="AF610" s="34"/>
      <c r="AG610" s="34"/>
      <c r="AH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I610" s="34"/>
      <c r="BJ610" s="34"/>
      <c r="BK610" s="34"/>
      <c r="BL610" s="34"/>
      <c r="BM610" s="34"/>
      <c r="BN610" s="34"/>
      <c r="BO610" s="34"/>
      <c r="BP610" s="34"/>
      <c r="BY610" s="34"/>
      <c r="BZ610" s="34"/>
      <c r="CA610" s="34"/>
      <c r="CB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</row>
    <row r="611" ht="15.75" customHeight="1">
      <c r="B611" s="34"/>
      <c r="E611" s="34"/>
      <c r="F611" s="34"/>
      <c r="G611" s="34"/>
      <c r="H611" s="34"/>
      <c r="I611" s="34"/>
      <c r="J611" s="34"/>
      <c r="K611" s="34"/>
      <c r="L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AA611" s="34"/>
      <c r="AB611" s="34"/>
      <c r="AC611" s="34"/>
      <c r="AD611" s="34"/>
      <c r="AE611" s="34"/>
      <c r="AF611" s="34"/>
      <c r="AG611" s="34"/>
      <c r="AH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I611" s="34"/>
      <c r="BJ611" s="34"/>
      <c r="BK611" s="34"/>
      <c r="BL611" s="34"/>
      <c r="BM611" s="34"/>
      <c r="BN611" s="34"/>
      <c r="BO611" s="34"/>
      <c r="BP611" s="34"/>
      <c r="BY611" s="34"/>
      <c r="BZ611" s="34"/>
      <c r="CA611" s="34"/>
      <c r="CB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</row>
    <row r="612" ht="15.75" customHeight="1">
      <c r="B612" s="34"/>
      <c r="E612" s="34"/>
      <c r="F612" s="34"/>
      <c r="G612" s="34"/>
      <c r="H612" s="34"/>
      <c r="I612" s="34"/>
      <c r="J612" s="34"/>
      <c r="K612" s="34"/>
      <c r="L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AA612" s="34"/>
      <c r="AB612" s="34"/>
      <c r="AC612" s="34"/>
      <c r="AD612" s="34"/>
      <c r="AE612" s="34"/>
      <c r="AF612" s="34"/>
      <c r="AG612" s="34"/>
      <c r="AH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I612" s="34"/>
      <c r="BJ612" s="34"/>
      <c r="BK612" s="34"/>
      <c r="BL612" s="34"/>
      <c r="BM612" s="34"/>
      <c r="BN612" s="34"/>
      <c r="BO612" s="34"/>
      <c r="BP612" s="34"/>
      <c r="BY612" s="34"/>
      <c r="BZ612" s="34"/>
      <c r="CA612" s="34"/>
      <c r="CB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</row>
    <row r="613" ht="15.75" customHeight="1">
      <c r="B613" s="34"/>
      <c r="E613" s="34"/>
      <c r="F613" s="34"/>
      <c r="G613" s="34"/>
      <c r="H613" s="34"/>
      <c r="I613" s="34"/>
      <c r="J613" s="34"/>
      <c r="K613" s="34"/>
      <c r="L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AA613" s="34"/>
      <c r="AB613" s="34"/>
      <c r="AC613" s="34"/>
      <c r="AD613" s="34"/>
      <c r="AE613" s="34"/>
      <c r="AF613" s="34"/>
      <c r="AG613" s="34"/>
      <c r="AH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I613" s="34"/>
      <c r="BJ613" s="34"/>
      <c r="BK613" s="34"/>
      <c r="BL613" s="34"/>
      <c r="BM613" s="34"/>
      <c r="BN613" s="34"/>
      <c r="BO613" s="34"/>
      <c r="BP613" s="34"/>
      <c r="BY613" s="34"/>
      <c r="BZ613" s="34"/>
      <c r="CA613" s="34"/>
      <c r="CB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</row>
    <row r="614" ht="15.75" customHeight="1">
      <c r="B614" s="34"/>
      <c r="E614" s="34"/>
      <c r="F614" s="34"/>
      <c r="G614" s="34"/>
      <c r="H614" s="34"/>
      <c r="I614" s="34"/>
      <c r="J614" s="34"/>
      <c r="K614" s="34"/>
      <c r="L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AA614" s="34"/>
      <c r="AB614" s="34"/>
      <c r="AC614" s="34"/>
      <c r="AD614" s="34"/>
      <c r="AE614" s="34"/>
      <c r="AF614" s="34"/>
      <c r="AG614" s="34"/>
      <c r="AH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I614" s="34"/>
      <c r="BJ614" s="34"/>
      <c r="BK614" s="34"/>
      <c r="BL614" s="34"/>
      <c r="BM614" s="34"/>
      <c r="BN614" s="34"/>
      <c r="BO614" s="34"/>
      <c r="BP614" s="34"/>
      <c r="BY614" s="34"/>
      <c r="BZ614" s="34"/>
      <c r="CA614" s="34"/>
      <c r="CB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</row>
    <row r="615" ht="15.75" customHeight="1">
      <c r="B615" s="34"/>
      <c r="E615" s="34"/>
      <c r="F615" s="34"/>
      <c r="G615" s="34"/>
      <c r="H615" s="34"/>
      <c r="I615" s="34"/>
      <c r="J615" s="34"/>
      <c r="K615" s="34"/>
      <c r="L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AA615" s="34"/>
      <c r="AB615" s="34"/>
      <c r="AC615" s="34"/>
      <c r="AD615" s="34"/>
      <c r="AE615" s="34"/>
      <c r="AF615" s="34"/>
      <c r="AG615" s="34"/>
      <c r="AH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I615" s="34"/>
      <c r="BJ615" s="34"/>
      <c r="BK615" s="34"/>
      <c r="BL615" s="34"/>
      <c r="BM615" s="34"/>
      <c r="BN615" s="34"/>
      <c r="BO615" s="34"/>
      <c r="BP615" s="34"/>
      <c r="BY615" s="34"/>
      <c r="BZ615" s="34"/>
      <c r="CA615" s="34"/>
      <c r="CB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</row>
    <row r="616" ht="15.75" customHeight="1">
      <c r="B616" s="34"/>
      <c r="E616" s="34"/>
      <c r="F616" s="34"/>
      <c r="G616" s="34"/>
      <c r="H616" s="34"/>
      <c r="I616" s="34"/>
      <c r="J616" s="34"/>
      <c r="K616" s="34"/>
      <c r="L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AA616" s="34"/>
      <c r="AB616" s="34"/>
      <c r="AC616" s="34"/>
      <c r="AD616" s="34"/>
      <c r="AE616" s="34"/>
      <c r="AF616" s="34"/>
      <c r="AG616" s="34"/>
      <c r="AH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I616" s="34"/>
      <c r="BJ616" s="34"/>
      <c r="BK616" s="34"/>
      <c r="BL616" s="34"/>
      <c r="BM616" s="34"/>
      <c r="BN616" s="34"/>
      <c r="BO616" s="34"/>
      <c r="BP616" s="34"/>
      <c r="BY616" s="34"/>
      <c r="BZ616" s="34"/>
      <c r="CA616" s="34"/>
      <c r="CB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</row>
    <row r="617" ht="15.75" customHeight="1">
      <c r="B617" s="34"/>
      <c r="E617" s="34"/>
      <c r="F617" s="34"/>
      <c r="G617" s="34"/>
      <c r="H617" s="34"/>
      <c r="I617" s="34"/>
      <c r="J617" s="34"/>
      <c r="K617" s="34"/>
      <c r="L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AA617" s="34"/>
      <c r="AB617" s="34"/>
      <c r="AC617" s="34"/>
      <c r="AD617" s="34"/>
      <c r="AE617" s="34"/>
      <c r="AF617" s="34"/>
      <c r="AG617" s="34"/>
      <c r="AH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I617" s="34"/>
      <c r="BJ617" s="34"/>
      <c r="BK617" s="34"/>
      <c r="BL617" s="34"/>
      <c r="BM617" s="34"/>
      <c r="BN617" s="34"/>
      <c r="BO617" s="34"/>
      <c r="BP617" s="34"/>
      <c r="BY617" s="34"/>
      <c r="BZ617" s="34"/>
      <c r="CA617" s="34"/>
      <c r="CB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</row>
    <row r="618" ht="15.75" customHeight="1">
      <c r="B618" s="34"/>
      <c r="E618" s="34"/>
      <c r="F618" s="34"/>
      <c r="G618" s="34"/>
      <c r="H618" s="34"/>
      <c r="I618" s="34"/>
      <c r="J618" s="34"/>
      <c r="K618" s="34"/>
      <c r="L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AA618" s="34"/>
      <c r="AB618" s="34"/>
      <c r="AC618" s="34"/>
      <c r="AD618" s="34"/>
      <c r="AE618" s="34"/>
      <c r="AF618" s="34"/>
      <c r="AG618" s="34"/>
      <c r="AH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I618" s="34"/>
      <c r="BJ618" s="34"/>
      <c r="BK618" s="34"/>
      <c r="BL618" s="34"/>
      <c r="BM618" s="34"/>
      <c r="BN618" s="34"/>
      <c r="BO618" s="34"/>
      <c r="BP618" s="34"/>
      <c r="BY618" s="34"/>
      <c r="BZ618" s="34"/>
      <c r="CA618" s="34"/>
      <c r="CB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</row>
    <row r="619" ht="15.75" customHeight="1">
      <c r="B619" s="34"/>
      <c r="E619" s="34"/>
      <c r="F619" s="34"/>
      <c r="G619" s="34"/>
      <c r="H619" s="34"/>
      <c r="I619" s="34"/>
      <c r="J619" s="34"/>
      <c r="K619" s="34"/>
      <c r="L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AA619" s="34"/>
      <c r="AB619" s="34"/>
      <c r="AC619" s="34"/>
      <c r="AD619" s="34"/>
      <c r="AE619" s="34"/>
      <c r="AF619" s="34"/>
      <c r="AG619" s="34"/>
      <c r="AH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I619" s="34"/>
      <c r="BJ619" s="34"/>
      <c r="BK619" s="34"/>
      <c r="BL619" s="34"/>
      <c r="BM619" s="34"/>
      <c r="BN619" s="34"/>
      <c r="BO619" s="34"/>
      <c r="BP619" s="34"/>
      <c r="BY619" s="34"/>
      <c r="BZ619" s="34"/>
      <c r="CA619" s="34"/>
      <c r="CB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</row>
    <row r="620" ht="15.75" customHeight="1">
      <c r="B620" s="34"/>
      <c r="E620" s="34"/>
      <c r="F620" s="34"/>
      <c r="G620" s="34"/>
      <c r="H620" s="34"/>
      <c r="I620" s="34"/>
      <c r="J620" s="34"/>
      <c r="K620" s="34"/>
      <c r="L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AA620" s="34"/>
      <c r="AB620" s="34"/>
      <c r="AC620" s="34"/>
      <c r="AD620" s="34"/>
      <c r="AE620" s="34"/>
      <c r="AF620" s="34"/>
      <c r="AG620" s="34"/>
      <c r="AH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I620" s="34"/>
      <c r="BJ620" s="34"/>
      <c r="BK620" s="34"/>
      <c r="BL620" s="34"/>
      <c r="BM620" s="34"/>
      <c r="BN620" s="34"/>
      <c r="BO620" s="34"/>
      <c r="BP620" s="34"/>
      <c r="BY620" s="34"/>
      <c r="BZ620" s="34"/>
      <c r="CA620" s="34"/>
      <c r="CB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</row>
    <row r="621" ht="15.75" customHeight="1">
      <c r="B621" s="34"/>
      <c r="E621" s="34"/>
      <c r="F621" s="34"/>
      <c r="G621" s="34"/>
      <c r="H621" s="34"/>
      <c r="I621" s="34"/>
      <c r="J621" s="34"/>
      <c r="K621" s="34"/>
      <c r="L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AA621" s="34"/>
      <c r="AB621" s="34"/>
      <c r="AC621" s="34"/>
      <c r="AD621" s="34"/>
      <c r="AE621" s="34"/>
      <c r="AF621" s="34"/>
      <c r="AG621" s="34"/>
      <c r="AH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I621" s="34"/>
      <c r="BJ621" s="34"/>
      <c r="BK621" s="34"/>
      <c r="BL621" s="34"/>
      <c r="BM621" s="34"/>
      <c r="BN621" s="34"/>
      <c r="BO621" s="34"/>
      <c r="BP621" s="34"/>
      <c r="BY621" s="34"/>
      <c r="BZ621" s="34"/>
      <c r="CA621" s="34"/>
      <c r="CB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</row>
    <row r="622" ht="15.75" customHeight="1">
      <c r="B622" s="34"/>
      <c r="E622" s="34"/>
      <c r="F622" s="34"/>
      <c r="G622" s="34"/>
      <c r="H622" s="34"/>
      <c r="I622" s="34"/>
      <c r="J622" s="34"/>
      <c r="K622" s="34"/>
      <c r="L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AA622" s="34"/>
      <c r="AB622" s="34"/>
      <c r="AC622" s="34"/>
      <c r="AD622" s="34"/>
      <c r="AE622" s="34"/>
      <c r="AF622" s="34"/>
      <c r="AG622" s="34"/>
      <c r="AH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I622" s="34"/>
      <c r="BJ622" s="34"/>
      <c r="BK622" s="34"/>
      <c r="BL622" s="34"/>
      <c r="BM622" s="34"/>
      <c r="BN622" s="34"/>
      <c r="BO622" s="34"/>
      <c r="BP622" s="34"/>
      <c r="BY622" s="34"/>
      <c r="BZ622" s="34"/>
      <c r="CA622" s="34"/>
      <c r="CB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</row>
    <row r="623" ht="15.75" customHeight="1">
      <c r="B623" s="34"/>
      <c r="E623" s="34"/>
      <c r="F623" s="34"/>
      <c r="G623" s="34"/>
      <c r="H623" s="34"/>
      <c r="I623" s="34"/>
      <c r="J623" s="34"/>
      <c r="K623" s="34"/>
      <c r="L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AA623" s="34"/>
      <c r="AB623" s="34"/>
      <c r="AC623" s="34"/>
      <c r="AD623" s="34"/>
      <c r="AE623" s="34"/>
      <c r="AF623" s="34"/>
      <c r="AG623" s="34"/>
      <c r="AH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I623" s="34"/>
      <c r="BJ623" s="34"/>
      <c r="BK623" s="34"/>
      <c r="BL623" s="34"/>
      <c r="BM623" s="34"/>
      <c r="BN623" s="34"/>
      <c r="BO623" s="34"/>
      <c r="BP623" s="34"/>
      <c r="BY623" s="34"/>
      <c r="BZ623" s="34"/>
      <c r="CA623" s="34"/>
      <c r="CB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</row>
    <row r="624" ht="15.75" customHeight="1">
      <c r="B624" s="34"/>
      <c r="E624" s="34"/>
      <c r="F624" s="34"/>
      <c r="G624" s="34"/>
      <c r="H624" s="34"/>
      <c r="I624" s="34"/>
      <c r="J624" s="34"/>
      <c r="K624" s="34"/>
      <c r="L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AA624" s="34"/>
      <c r="AB624" s="34"/>
      <c r="AC624" s="34"/>
      <c r="AD624" s="34"/>
      <c r="AE624" s="34"/>
      <c r="AF624" s="34"/>
      <c r="AG624" s="34"/>
      <c r="AH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I624" s="34"/>
      <c r="BJ624" s="34"/>
      <c r="BK624" s="34"/>
      <c r="BL624" s="34"/>
      <c r="BM624" s="34"/>
      <c r="BN624" s="34"/>
      <c r="BO624" s="34"/>
      <c r="BP624" s="34"/>
      <c r="BY624" s="34"/>
      <c r="BZ624" s="34"/>
      <c r="CA624" s="34"/>
      <c r="CB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</row>
    <row r="625" ht="15.75" customHeight="1">
      <c r="B625" s="34"/>
      <c r="E625" s="34"/>
      <c r="F625" s="34"/>
      <c r="G625" s="34"/>
      <c r="H625" s="34"/>
      <c r="I625" s="34"/>
      <c r="J625" s="34"/>
      <c r="K625" s="34"/>
      <c r="L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AA625" s="34"/>
      <c r="AB625" s="34"/>
      <c r="AC625" s="34"/>
      <c r="AD625" s="34"/>
      <c r="AE625" s="34"/>
      <c r="AF625" s="34"/>
      <c r="AG625" s="34"/>
      <c r="AH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I625" s="34"/>
      <c r="BJ625" s="34"/>
      <c r="BK625" s="34"/>
      <c r="BL625" s="34"/>
      <c r="BM625" s="34"/>
      <c r="BN625" s="34"/>
      <c r="BO625" s="34"/>
      <c r="BP625" s="34"/>
      <c r="BY625" s="34"/>
      <c r="BZ625" s="34"/>
      <c r="CA625" s="34"/>
      <c r="CB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</row>
    <row r="626" ht="15.75" customHeight="1">
      <c r="B626" s="34"/>
      <c r="E626" s="34"/>
      <c r="F626" s="34"/>
      <c r="G626" s="34"/>
      <c r="H626" s="34"/>
      <c r="I626" s="34"/>
      <c r="J626" s="34"/>
      <c r="K626" s="34"/>
      <c r="L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AA626" s="34"/>
      <c r="AB626" s="34"/>
      <c r="AC626" s="34"/>
      <c r="AD626" s="34"/>
      <c r="AE626" s="34"/>
      <c r="AF626" s="34"/>
      <c r="AG626" s="34"/>
      <c r="AH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I626" s="34"/>
      <c r="BJ626" s="34"/>
      <c r="BK626" s="34"/>
      <c r="BL626" s="34"/>
      <c r="BM626" s="34"/>
      <c r="BN626" s="34"/>
      <c r="BO626" s="34"/>
      <c r="BP626" s="34"/>
      <c r="BY626" s="34"/>
      <c r="BZ626" s="34"/>
      <c r="CA626" s="34"/>
      <c r="CB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</row>
    <row r="627" ht="15.75" customHeight="1">
      <c r="B627" s="34"/>
      <c r="E627" s="34"/>
      <c r="F627" s="34"/>
      <c r="G627" s="34"/>
      <c r="H627" s="34"/>
      <c r="I627" s="34"/>
      <c r="J627" s="34"/>
      <c r="K627" s="34"/>
      <c r="L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AA627" s="34"/>
      <c r="AB627" s="34"/>
      <c r="AC627" s="34"/>
      <c r="AD627" s="34"/>
      <c r="AE627" s="34"/>
      <c r="AF627" s="34"/>
      <c r="AG627" s="34"/>
      <c r="AH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I627" s="34"/>
      <c r="BJ627" s="34"/>
      <c r="BK627" s="34"/>
      <c r="BL627" s="34"/>
      <c r="BM627" s="34"/>
      <c r="BN627" s="34"/>
      <c r="BO627" s="34"/>
      <c r="BP627" s="34"/>
      <c r="BY627" s="34"/>
      <c r="BZ627" s="34"/>
      <c r="CA627" s="34"/>
      <c r="CB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Q627" s="34"/>
      <c r="CR627" s="34"/>
      <c r="CS627" s="34"/>
      <c r="CT627" s="34"/>
      <c r="CU627" s="34"/>
      <c r="CV627" s="34"/>
      <c r="CW627" s="34"/>
      <c r="CX627" s="34"/>
      <c r="CY627" s="34"/>
      <c r="CZ627" s="34"/>
      <c r="DC627" s="34"/>
      <c r="DD627" s="34"/>
      <c r="DE627" s="34"/>
      <c r="DF627" s="34"/>
      <c r="DG627" s="34"/>
      <c r="DH627" s="34"/>
      <c r="DI627" s="34"/>
      <c r="DJ627" s="34"/>
      <c r="DK627" s="34"/>
      <c r="DL627" s="34"/>
    </row>
    <row r="628" ht="15.75" customHeight="1">
      <c r="B628" s="34"/>
      <c r="E628" s="34"/>
      <c r="F628" s="34"/>
      <c r="G628" s="34"/>
      <c r="H628" s="34"/>
      <c r="I628" s="34"/>
      <c r="J628" s="34"/>
      <c r="K628" s="34"/>
      <c r="L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AA628" s="34"/>
      <c r="AB628" s="34"/>
      <c r="AC628" s="34"/>
      <c r="AD628" s="34"/>
      <c r="AE628" s="34"/>
      <c r="AF628" s="34"/>
      <c r="AG628" s="34"/>
      <c r="AH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I628" s="34"/>
      <c r="BJ628" s="34"/>
      <c r="BK628" s="34"/>
      <c r="BL628" s="34"/>
      <c r="BM628" s="34"/>
      <c r="BN628" s="34"/>
      <c r="BO628" s="34"/>
      <c r="BP628" s="34"/>
      <c r="BY628" s="34"/>
      <c r="BZ628" s="34"/>
      <c r="CA628" s="34"/>
      <c r="CB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Q628" s="34"/>
      <c r="CR628" s="34"/>
      <c r="CS628" s="34"/>
      <c r="CT628" s="34"/>
      <c r="CU628" s="34"/>
      <c r="CV628" s="34"/>
      <c r="CW628" s="34"/>
      <c r="CX628" s="34"/>
      <c r="CY628" s="34"/>
      <c r="CZ628" s="34"/>
      <c r="DC628" s="34"/>
      <c r="DD628" s="34"/>
      <c r="DE628" s="34"/>
      <c r="DF628" s="34"/>
      <c r="DG628" s="34"/>
      <c r="DH628" s="34"/>
      <c r="DI628" s="34"/>
      <c r="DJ628" s="34"/>
      <c r="DK628" s="34"/>
      <c r="DL628" s="34"/>
    </row>
    <row r="629" ht="15.75" customHeight="1">
      <c r="B629" s="34"/>
      <c r="E629" s="34"/>
      <c r="F629" s="34"/>
      <c r="G629" s="34"/>
      <c r="H629" s="34"/>
      <c r="I629" s="34"/>
      <c r="J629" s="34"/>
      <c r="K629" s="34"/>
      <c r="L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AA629" s="34"/>
      <c r="AB629" s="34"/>
      <c r="AC629" s="34"/>
      <c r="AD629" s="34"/>
      <c r="AE629" s="34"/>
      <c r="AF629" s="34"/>
      <c r="AG629" s="34"/>
      <c r="AH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I629" s="34"/>
      <c r="BJ629" s="34"/>
      <c r="BK629" s="34"/>
      <c r="BL629" s="34"/>
      <c r="BM629" s="34"/>
      <c r="BN629" s="34"/>
      <c r="BO629" s="34"/>
      <c r="BP629" s="34"/>
      <c r="BY629" s="34"/>
      <c r="BZ629" s="34"/>
      <c r="CA629" s="34"/>
      <c r="CB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Q629" s="34"/>
      <c r="CR629" s="34"/>
      <c r="CS629" s="34"/>
      <c r="CT629" s="34"/>
      <c r="CU629" s="34"/>
      <c r="CV629" s="34"/>
      <c r="CW629" s="34"/>
      <c r="CX629" s="34"/>
      <c r="CY629" s="34"/>
      <c r="CZ629" s="34"/>
      <c r="DC629" s="34"/>
      <c r="DD629" s="34"/>
      <c r="DE629" s="34"/>
      <c r="DF629" s="34"/>
      <c r="DG629" s="34"/>
      <c r="DH629" s="34"/>
      <c r="DI629" s="34"/>
      <c r="DJ629" s="34"/>
      <c r="DK629" s="34"/>
      <c r="DL629" s="34"/>
    </row>
    <row r="630" ht="15.75" customHeight="1">
      <c r="B630" s="34"/>
      <c r="E630" s="34"/>
      <c r="F630" s="34"/>
      <c r="G630" s="34"/>
      <c r="H630" s="34"/>
      <c r="I630" s="34"/>
      <c r="J630" s="34"/>
      <c r="K630" s="34"/>
      <c r="L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AA630" s="34"/>
      <c r="AB630" s="34"/>
      <c r="AC630" s="34"/>
      <c r="AD630" s="34"/>
      <c r="AE630" s="34"/>
      <c r="AF630" s="34"/>
      <c r="AG630" s="34"/>
      <c r="AH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I630" s="34"/>
      <c r="BJ630" s="34"/>
      <c r="BK630" s="34"/>
      <c r="BL630" s="34"/>
      <c r="BM630" s="34"/>
      <c r="BN630" s="34"/>
      <c r="BO630" s="34"/>
      <c r="BP630" s="34"/>
      <c r="BY630" s="34"/>
      <c r="BZ630" s="34"/>
      <c r="CA630" s="34"/>
      <c r="CB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Q630" s="34"/>
      <c r="CR630" s="34"/>
      <c r="CS630" s="34"/>
      <c r="CT630" s="34"/>
      <c r="CU630" s="34"/>
      <c r="CV630" s="34"/>
      <c r="CW630" s="34"/>
      <c r="CX630" s="34"/>
      <c r="CY630" s="34"/>
      <c r="CZ630" s="34"/>
      <c r="DC630" s="34"/>
      <c r="DD630" s="34"/>
      <c r="DE630" s="34"/>
      <c r="DF630" s="34"/>
      <c r="DG630" s="34"/>
      <c r="DH630" s="34"/>
      <c r="DI630" s="34"/>
      <c r="DJ630" s="34"/>
      <c r="DK630" s="34"/>
      <c r="DL630" s="34"/>
    </row>
    <row r="631" ht="15.75" customHeight="1">
      <c r="B631" s="34"/>
      <c r="E631" s="34"/>
      <c r="F631" s="34"/>
      <c r="G631" s="34"/>
      <c r="H631" s="34"/>
      <c r="I631" s="34"/>
      <c r="J631" s="34"/>
      <c r="K631" s="34"/>
      <c r="L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AA631" s="34"/>
      <c r="AB631" s="34"/>
      <c r="AC631" s="34"/>
      <c r="AD631" s="34"/>
      <c r="AE631" s="34"/>
      <c r="AF631" s="34"/>
      <c r="AG631" s="34"/>
      <c r="AH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I631" s="34"/>
      <c r="BJ631" s="34"/>
      <c r="BK631" s="34"/>
      <c r="BL631" s="34"/>
      <c r="BM631" s="34"/>
      <c r="BN631" s="34"/>
      <c r="BO631" s="34"/>
      <c r="BP631" s="34"/>
      <c r="BY631" s="34"/>
      <c r="BZ631" s="34"/>
      <c r="CA631" s="34"/>
      <c r="CB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Q631" s="34"/>
      <c r="CR631" s="34"/>
      <c r="CS631" s="34"/>
      <c r="CT631" s="34"/>
      <c r="CU631" s="34"/>
      <c r="CV631" s="34"/>
      <c r="CW631" s="34"/>
      <c r="CX631" s="34"/>
      <c r="CY631" s="34"/>
      <c r="CZ631" s="34"/>
      <c r="DC631" s="34"/>
      <c r="DD631" s="34"/>
      <c r="DE631" s="34"/>
      <c r="DF631" s="34"/>
      <c r="DG631" s="34"/>
      <c r="DH631" s="34"/>
      <c r="DI631" s="34"/>
      <c r="DJ631" s="34"/>
      <c r="DK631" s="34"/>
      <c r="DL631" s="34"/>
    </row>
    <row r="632" ht="15.75" customHeight="1">
      <c r="B632" s="34"/>
      <c r="E632" s="34"/>
      <c r="F632" s="34"/>
      <c r="G632" s="34"/>
      <c r="H632" s="34"/>
      <c r="I632" s="34"/>
      <c r="J632" s="34"/>
      <c r="K632" s="34"/>
      <c r="L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AA632" s="34"/>
      <c r="AB632" s="34"/>
      <c r="AC632" s="34"/>
      <c r="AD632" s="34"/>
      <c r="AE632" s="34"/>
      <c r="AF632" s="34"/>
      <c r="AG632" s="34"/>
      <c r="AH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I632" s="34"/>
      <c r="BJ632" s="34"/>
      <c r="BK632" s="34"/>
      <c r="BL632" s="34"/>
      <c r="BM632" s="34"/>
      <c r="BN632" s="34"/>
      <c r="BO632" s="34"/>
      <c r="BP632" s="34"/>
      <c r="BY632" s="34"/>
      <c r="BZ632" s="34"/>
      <c r="CA632" s="34"/>
      <c r="CB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Q632" s="34"/>
      <c r="CR632" s="34"/>
      <c r="CS632" s="34"/>
      <c r="CT632" s="34"/>
      <c r="CU632" s="34"/>
      <c r="CV632" s="34"/>
      <c r="CW632" s="34"/>
      <c r="CX632" s="34"/>
      <c r="CY632" s="34"/>
      <c r="CZ632" s="34"/>
      <c r="DC632" s="34"/>
      <c r="DD632" s="34"/>
      <c r="DE632" s="34"/>
      <c r="DF632" s="34"/>
      <c r="DG632" s="34"/>
      <c r="DH632" s="34"/>
      <c r="DI632" s="34"/>
      <c r="DJ632" s="34"/>
      <c r="DK632" s="34"/>
      <c r="DL632" s="34"/>
    </row>
    <row r="633" ht="15.75" customHeight="1">
      <c r="B633" s="34"/>
      <c r="E633" s="34"/>
      <c r="F633" s="34"/>
      <c r="G633" s="34"/>
      <c r="H633" s="34"/>
      <c r="I633" s="34"/>
      <c r="J633" s="34"/>
      <c r="K633" s="34"/>
      <c r="L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AA633" s="34"/>
      <c r="AB633" s="34"/>
      <c r="AC633" s="34"/>
      <c r="AD633" s="34"/>
      <c r="AE633" s="34"/>
      <c r="AF633" s="34"/>
      <c r="AG633" s="34"/>
      <c r="AH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I633" s="34"/>
      <c r="BJ633" s="34"/>
      <c r="BK633" s="34"/>
      <c r="BL633" s="34"/>
      <c r="BM633" s="34"/>
      <c r="BN633" s="34"/>
      <c r="BO633" s="34"/>
      <c r="BP633" s="34"/>
      <c r="BY633" s="34"/>
      <c r="BZ633" s="34"/>
      <c r="CA633" s="34"/>
      <c r="CB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Q633" s="34"/>
      <c r="CR633" s="34"/>
      <c r="CS633" s="34"/>
      <c r="CT633" s="34"/>
      <c r="CU633" s="34"/>
      <c r="CV633" s="34"/>
      <c r="CW633" s="34"/>
      <c r="CX633" s="34"/>
      <c r="CY633" s="34"/>
      <c r="CZ633" s="34"/>
      <c r="DC633" s="34"/>
      <c r="DD633" s="34"/>
      <c r="DE633" s="34"/>
      <c r="DF633" s="34"/>
      <c r="DG633" s="34"/>
      <c r="DH633" s="34"/>
      <c r="DI633" s="34"/>
      <c r="DJ633" s="34"/>
      <c r="DK633" s="34"/>
      <c r="DL633" s="34"/>
    </row>
    <row r="634" ht="15.75" customHeight="1">
      <c r="B634" s="34"/>
      <c r="E634" s="34"/>
      <c r="F634" s="34"/>
      <c r="G634" s="34"/>
      <c r="H634" s="34"/>
      <c r="I634" s="34"/>
      <c r="J634" s="34"/>
      <c r="K634" s="34"/>
      <c r="L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AA634" s="34"/>
      <c r="AB634" s="34"/>
      <c r="AC634" s="34"/>
      <c r="AD634" s="34"/>
      <c r="AE634" s="34"/>
      <c r="AF634" s="34"/>
      <c r="AG634" s="34"/>
      <c r="AH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I634" s="34"/>
      <c r="BJ634" s="34"/>
      <c r="BK634" s="34"/>
      <c r="BL634" s="34"/>
      <c r="BM634" s="34"/>
      <c r="BN634" s="34"/>
      <c r="BO634" s="34"/>
      <c r="BP634" s="34"/>
      <c r="BY634" s="34"/>
      <c r="BZ634" s="34"/>
      <c r="CA634" s="34"/>
      <c r="CB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Q634" s="34"/>
      <c r="CR634" s="34"/>
      <c r="CS634" s="34"/>
      <c r="CT634" s="34"/>
      <c r="CU634" s="34"/>
      <c r="CV634" s="34"/>
      <c r="CW634" s="34"/>
      <c r="CX634" s="34"/>
      <c r="CY634" s="34"/>
      <c r="CZ634" s="34"/>
      <c r="DC634" s="34"/>
      <c r="DD634" s="34"/>
      <c r="DE634" s="34"/>
      <c r="DF634" s="34"/>
      <c r="DG634" s="34"/>
      <c r="DH634" s="34"/>
      <c r="DI634" s="34"/>
      <c r="DJ634" s="34"/>
      <c r="DK634" s="34"/>
      <c r="DL634" s="34"/>
    </row>
    <row r="635" ht="15.75" customHeight="1">
      <c r="B635" s="34"/>
      <c r="E635" s="34"/>
      <c r="F635" s="34"/>
      <c r="G635" s="34"/>
      <c r="H635" s="34"/>
      <c r="I635" s="34"/>
      <c r="J635" s="34"/>
      <c r="K635" s="34"/>
      <c r="L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AA635" s="34"/>
      <c r="AB635" s="34"/>
      <c r="AC635" s="34"/>
      <c r="AD635" s="34"/>
      <c r="AE635" s="34"/>
      <c r="AF635" s="34"/>
      <c r="AG635" s="34"/>
      <c r="AH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I635" s="34"/>
      <c r="BJ635" s="34"/>
      <c r="BK635" s="34"/>
      <c r="BL635" s="34"/>
      <c r="BM635" s="34"/>
      <c r="BN635" s="34"/>
      <c r="BO635" s="34"/>
      <c r="BP635" s="34"/>
      <c r="BY635" s="34"/>
      <c r="BZ635" s="34"/>
      <c r="CA635" s="34"/>
      <c r="CB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Q635" s="34"/>
      <c r="CR635" s="34"/>
      <c r="CS635" s="34"/>
      <c r="CT635" s="34"/>
      <c r="CU635" s="34"/>
      <c r="CV635" s="34"/>
      <c r="CW635" s="34"/>
      <c r="CX635" s="34"/>
      <c r="CY635" s="34"/>
      <c r="CZ635" s="34"/>
      <c r="DC635" s="34"/>
      <c r="DD635" s="34"/>
      <c r="DE635" s="34"/>
      <c r="DF635" s="34"/>
      <c r="DG635" s="34"/>
      <c r="DH635" s="34"/>
      <c r="DI635" s="34"/>
      <c r="DJ635" s="34"/>
      <c r="DK635" s="34"/>
      <c r="DL635" s="34"/>
    </row>
    <row r="636" ht="15.75" customHeight="1">
      <c r="B636" s="34"/>
      <c r="E636" s="34"/>
      <c r="F636" s="34"/>
      <c r="G636" s="34"/>
      <c r="H636" s="34"/>
      <c r="I636" s="34"/>
      <c r="J636" s="34"/>
      <c r="K636" s="34"/>
      <c r="L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AA636" s="34"/>
      <c r="AB636" s="34"/>
      <c r="AC636" s="34"/>
      <c r="AD636" s="34"/>
      <c r="AE636" s="34"/>
      <c r="AF636" s="34"/>
      <c r="AG636" s="34"/>
      <c r="AH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I636" s="34"/>
      <c r="BJ636" s="34"/>
      <c r="BK636" s="34"/>
      <c r="BL636" s="34"/>
      <c r="BM636" s="34"/>
      <c r="BN636" s="34"/>
      <c r="BO636" s="34"/>
      <c r="BP636" s="34"/>
      <c r="BY636" s="34"/>
      <c r="BZ636" s="34"/>
      <c r="CA636" s="34"/>
      <c r="CB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Q636" s="34"/>
      <c r="CR636" s="34"/>
      <c r="CS636" s="34"/>
      <c r="CT636" s="34"/>
      <c r="CU636" s="34"/>
      <c r="CV636" s="34"/>
      <c r="CW636" s="34"/>
      <c r="CX636" s="34"/>
      <c r="CY636" s="34"/>
      <c r="CZ636" s="34"/>
      <c r="DC636" s="34"/>
      <c r="DD636" s="34"/>
      <c r="DE636" s="34"/>
      <c r="DF636" s="34"/>
      <c r="DG636" s="34"/>
      <c r="DH636" s="34"/>
      <c r="DI636" s="34"/>
      <c r="DJ636" s="34"/>
      <c r="DK636" s="34"/>
      <c r="DL636" s="34"/>
    </row>
    <row r="637" ht="15.75" customHeight="1">
      <c r="B637" s="34"/>
      <c r="E637" s="34"/>
      <c r="F637" s="34"/>
      <c r="G637" s="34"/>
      <c r="H637" s="34"/>
      <c r="I637" s="34"/>
      <c r="J637" s="34"/>
      <c r="K637" s="34"/>
      <c r="L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AA637" s="34"/>
      <c r="AB637" s="34"/>
      <c r="AC637" s="34"/>
      <c r="AD637" s="34"/>
      <c r="AE637" s="34"/>
      <c r="AF637" s="34"/>
      <c r="AG637" s="34"/>
      <c r="AH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I637" s="34"/>
      <c r="BJ637" s="34"/>
      <c r="BK637" s="34"/>
      <c r="BL637" s="34"/>
      <c r="BM637" s="34"/>
      <c r="BN637" s="34"/>
      <c r="BO637" s="34"/>
      <c r="BP637" s="34"/>
      <c r="BY637" s="34"/>
      <c r="BZ637" s="34"/>
      <c r="CA637" s="34"/>
      <c r="CB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Q637" s="34"/>
      <c r="CR637" s="34"/>
      <c r="CS637" s="34"/>
      <c r="CT637" s="34"/>
      <c r="CU637" s="34"/>
      <c r="CV637" s="34"/>
      <c r="CW637" s="34"/>
      <c r="CX637" s="34"/>
      <c r="CY637" s="34"/>
      <c r="CZ637" s="34"/>
      <c r="DC637" s="34"/>
      <c r="DD637" s="34"/>
      <c r="DE637" s="34"/>
      <c r="DF637" s="34"/>
      <c r="DG637" s="34"/>
      <c r="DH637" s="34"/>
      <c r="DI637" s="34"/>
      <c r="DJ637" s="34"/>
      <c r="DK637" s="34"/>
      <c r="DL637" s="34"/>
    </row>
    <row r="638" ht="15.75" customHeight="1">
      <c r="B638" s="34"/>
      <c r="E638" s="34"/>
      <c r="F638" s="34"/>
      <c r="G638" s="34"/>
      <c r="H638" s="34"/>
      <c r="I638" s="34"/>
      <c r="J638" s="34"/>
      <c r="K638" s="34"/>
      <c r="L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AA638" s="34"/>
      <c r="AB638" s="34"/>
      <c r="AC638" s="34"/>
      <c r="AD638" s="34"/>
      <c r="AE638" s="34"/>
      <c r="AF638" s="34"/>
      <c r="AG638" s="34"/>
      <c r="AH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I638" s="34"/>
      <c r="BJ638" s="34"/>
      <c r="BK638" s="34"/>
      <c r="BL638" s="34"/>
      <c r="BM638" s="34"/>
      <c r="BN638" s="34"/>
      <c r="BO638" s="34"/>
      <c r="BP638" s="34"/>
      <c r="BY638" s="34"/>
      <c r="BZ638" s="34"/>
      <c r="CA638" s="34"/>
      <c r="CB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Q638" s="34"/>
      <c r="CR638" s="34"/>
      <c r="CS638" s="34"/>
      <c r="CT638" s="34"/>
      <c r="CU638" s="34"/>
      <c r="CV638" s="34"/>
      <c r="CW638" s="34"/>
      <c r="CX638" s="34"/>
      <c r="CY638" s="34"/>
      <c r="CZ638" s="34"/>
      <c r="DC638" s="34"/>
      <c r="DD638" s="34"/>
      <c r="DE638" s="34"/>
      <c r="DF638" s="34"/>
      <c r="DG638" s="34"/>
      <c r="DH638" s="34"/>
      <c r="DI638" s="34"/>
      <c r="DJ638" s="34"/>
      <c r="DK638" s="34"/>
      <c r="DL638" s="34"/>
    </row>
    <row r="639" ht="15.75" customHeight="1">
      <c r="B639" s="34"/>
      <c r="E639" s="34"/>
      <c r="F639" s="34"/>
      <c r="G639" s="34"/>
      <c r="H639" s="34"/>
      <c r="I639" s="34"/>
      <c r="J639" s="34"/>
      <c r="K639" s="34"/>
      <c r="L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AA639" s="34"/>
      <c r="AB639" s="34"/>
      <c r="AC639" s="34"/>
      <c r="AD639" s="34"/>
      <c r="AE639" s="34"/>
      <c r="AF639" s="34"/>
      <c r="AG639" s="34"/>
      <c r="AH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I639" s="34"/>
      <c r="BJ639" s="34"/>
      <c r="BK639" s="34"/>
      <c r="BL639" s="34"/>
      <c r="BM639" s="34"/>
      <c r="BN639" s="34"/>
      <c r="BO639" s="34"/>
      <c r="BP639" s="34"/>
      <c r="BY639" s="34"/>
      <c r="BZ639" s="34"/>
      <c r="CA639" s="34"/>
      <c r="CB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Q639" s="34"/>
      <c r="CR639" s="34"/>
      <c r="CS639" s="34"/>
      <c r="CT639" s="34"/>
      <c r="CU639" s="34"/>
      <c r="CV639" s="34"/>
      <c r="CW639" s="34"/>
      <c r="CX639" s="34"/>
      <c r="CY639" s="34"/>
      <c r="CZ639" s="34"/>
      <c r="DC639" s="34"/>
      <c r="DD639" s="34"/>
      <c r="DE639" s="34"/>
      <c r="DF639" s="34"/>
      <c r="DG639" s="34"/>
      <c r="DH639" s="34"/>
      <c r="DI639" s="34"/>
      <c r="DJ639" s="34"/>
      <c r="DK639" s="34"/>
      <c r="DL639" s="34"/>
    </row>
    <row r="640" ht="15.75" customHeight="1">
      <c r="B640" s="34"/>
      <c r="E640" s="34"/>
      <c r="F640" s="34"/>
      <c r="G640" s="34"/>
      <c r="H640" s="34"/>
      <c r="I640" s="34"/>
      <c r="J640" s="34"/>
      <c r="K640" s="34"/>
      <c r="L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AA640" s="34"/>
      <c r="AB640" s="34"/>
      <c r="AC640" s="34"/>
      <c r="AD640" s="34"/>
      <c r="AE640" s="34"/>
      <c r="AF640" s="34"/>
      <c r="AG640" s="34"/>
      <c r="AH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I640" s="34"/>
      <c r="BJ640" s="34"/>
      <c r="BK640" s="34"/>
      <c r="BL640" s="34"/>
      <c r="BM640" s="34"/>
      <c r="BN640" s="34"/>
      <c r="BO640" s="34"/>
      <c r="BP640" s="34"/>
      <c r="BY640" s="34"/>
      <c r="BZ640" s="34"/>
      <c r="CA640" s="34"/>
      <c r="CB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Q640" s="34"/>
      <c r="CR640" s="34"/>
      <c r="CS640" s="34"/>
      <c r="CT640" s="34"/>
      <c r="CU640" s="34"/>
      <c r="CV640" s="34"/>
      <c r="CW640" s="34"/>
      <c r="CX640" s="34"/>
      <c r="CY640" s="34"/>
      <c r="CZ640" s="34"/>
      <c r="DC640" s="34"/>
      <c r="DD640" s="34"/>
      <c r="DE640" s="34"/>
      <c r="DF640" s="34"/>
      <c r="DG640" s="34"/>
      <c r="DH640" s="34"/>
      <c r="DI640" s="34"/>
      <c r="DJ640" s="34"/>
      <c r="DK640" s="34"/>
      <c r="DL640" s="34"/>
    </row>
    <row r="641" ht="15.75" customHeight="1">
      <c r="B641" s="34"/>
      <c r="E641" s="34"/>
      <c r="F641" s="34"/>
      <c r="G641" s="34"/>
      <c r="H641" s="34"/>
      <c r="I641" s="34"/>
      <c r="J641" s="34"/>
      <c r="K641" s="34"/>
      <c r="L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AA641" s="34"/>
      <c r="AB641" s="34"/>
      <c r="AC641" s="34"/>
      <c r="AD641" s="34"/>
      <c r="AE641" s="34"/>
      <c r="AF641" s="34"/>
      <c r="AG641" s="34"/>
      <c r="AH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I641" s="34"/>
      <c r="BJ641" s="34"/>
      <c r="BK641" s="34"/>
      <c r="BL641" s="34"/>
      <c r="BM641" s="34"/>
      <c r="BN641" s="34"/>
      <c r="BO641" s="34"/>
      <c r="BP641" s="34"/>
      <c r="BY641" s="34"/>
      <c r="BZ641" s="34"/>
      <c r="CA641" s="34"/>
      <c r="CB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Q641" s="34"/>
      <c r="CR641" s="34"/>
      <c r="CS641" s="34"/>
      <c r="CT641" s="34"/>
      <c r="CU641" s="34"/>
      <c r="CV641" s="34"/>
      <c r="CW641" s="34"/>
      <c r="CX641" s="34"/>
      <c r="CY641" s="34"/>
      <c r="CZ641" s="34"/>
      <c r="DC641" s="34"/>
      <c r="DD641" s="34"/>
      <c r="DE641" s="34"/>
      <c r="DF641" s="34"/>
      <c r="DG641" s="34"/>
      <c r="DH641" s="34"/>
      <c r="DI641" s="34"/>
      <c r="DJ641" s="34"/>
      <c r="DK641" s="34"/>
      <c r="DL641" s="34"/>
    </row>
    <row r="642" ht="15.75" customHeight="1">
      <c r="B642" s="34"/>
      <c r="E642" s="34"/>
      <c r="F642" s="34"/>
      <c r="G642" s="34"/>
      <c r="H642" s="34"/>
      <c r="I642" s="34"/>
      <c r="J642" s="34"/>
      <c r="K642" s="34"/>
      <c r="L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AA642" s="34"/>
      <c r="AB642" s="34"/>
      <c r="AC642" s="34"/>
      <c r="AD642" s="34"/>
      <c r="AE642" s="34"/>
      <c r="AF642" s="34"/>
      <c r="AG642" s="34"/>
      <c r="AH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I642" s="34"/>
      <c r="BJ642" s="34"/>
      <c r="BK642" s="34"/>
      <c r="BL642" s="34"/>
      <c r="BM642" s="34"/>
      <c r="BN642" s="34"/>
      <c r="BO642" s="34"/>
      <c r="BP642" s="34"/>
      <c r="BY642" s="34"/>
      <c r="BZ642" s="34"/>
      <c r="CA642" s="34"/>
      <c r="CB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Q642" s="34"/>
      <c r="CR642" s="34"/>
      <c r="CS642" s="34"/>
      <c r="CT642" s="34"/>
      <c r="CU642" s="34"/>
      <c r="CV642" s="34"/>
      <c r="CW642" s="34"/>
      <c r="CX642" s="34"/>
      <c r="CY642" s="34"/>
      <c r="CZ642" s="34"/>
      <c r="DC642" s="34"/>
      <c r="DD642" s="34"/>
      <c r="DE642" s="34"/>
      <c r="DF642" s="34"/>
      <c r="DG642" s="34"/>
      <c r="DH642" s="34"/>
      <c r="DI642" s="34"/>
      <c r="DJ642" s="34"/>
      <c r="DK642" s="34"/>
      <c r="DL642" s="34"/>
    </row>
    <row r="643" ht="15.75" customHeight="1">
      <c r="B643" s="34"/>
      <c r="E643" s="34"/>
      <c r="F643" s="34"/>
      <c r="G643" s="34"/>
      <c r="H643" s="34"/>
      <c r="I643" s="34"/>
      <c r="J643" s="34"/>
      <c r="K643" s="34"/>
      <c r="L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AA643" s="34"/>
      <c r="AB643" s="34"/>
      <c r="AC643" s="34"/>
      <c r="AD643" s="34"/>
      <c r="AE643" s="34"/>
      <c r="AF643" s="34"/>
      <c r="AG643" s="34"/>
      <c r="AH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I643" s="34"/>
      <c r="BJ643" s="34"/>
      <c r="BK643" s="34"/>
      <c r="BL643" s="34"/>
      <c r="BM643" s="34"/>
      <c r="BN643" s="34"/>
      <c r="BO643" s="34"/>
      <c r="BP643" s="34"/>
      <c r="BY643" s="34"/>
      <c r="BZ643" s="34"/>
      <c r="CA643" s="34"/>
      <c r="CB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</row>
    <row r="644" ht="15.75" customHeight="1">
      <c r="B644" s="34"/>
      <c r="E644" s="34"/>
      <c r="F644" s="34"/>
      <c r="G644" s="34"/>
      <c r="H644" s="34"/>
      <c r="I644" s="34"/>
      <c r="J644" s="34"/>
      <c r="K644" s="34"/>
      <c r="L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AA644" s="34"/>
      <c r="AB644" s="34"/>
      <c r="AC644" s="34"/>
      <c r="AD644" s="34"/>
      <c r="AE644" s="34"/>
      <c r="AF644" s="34"/>
      <c r="AG644" s="34"/>
      <c r="AH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I644" s="34"/>
      <c r="BJ644" s="34"/>
      <c r="BK644" s="34"/>
      <c r="BL644" s="34"/>
      <c r="BM644" s="34"/>
      <c r="BN644" s="34"/>
      <c r="BO644" s="34"/>
      <c r="BP644" s="34"/>
      <c r="BY644" s="34"/>
      <c r="BZ644" s="34"/>
      <c r="CA644" s="34"/>
      <c r="CB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</row>
    <row r="645" ht="15.75" customHeight="1">
      <c r="B645" s="34"/>
      <c r="E645" s="34"/>
      <c r="F645" s="34"/>
      <c r="G645" s="34"/>
      <c r="H645" s="34"/>
      <c r="I645" s="34"/>
      <c r="J645" s="34"/>
      <c r="K645" s="34"/>
      <c r="L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AA645" s="34"/>
      <c r="AB645" s="34"/>
      <c r="AC645" s="34"/>
      <c r="AD645" s="34"/>
      <c r="AE645" s="34"/>
      <c r="AF645" s="34"/>
      <c r="AG645" s="34"/>
      <c r="AH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I645" s="34"/>
      <c r="BJ645" s="34"/>
      <c r="BK645" s="34"/>
      <c r="BL645" s="34"/>
      <c r="BM645" s="34"/>
      <c r="BN645" s="34"/>
      <c r="BO645" s="34"/>
      <c r="BP645" s="34"/>
      <c r="BY645" s="34"/>
      <c r="BZ645" s="34"/>
      <c r="CA645" s="34"/>
      <c r="CB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</row>
    <row r="646" ht="15.75" customHeight="1">
      <c r="B646" s="34"/>
      <c r="E646" s="34"/>
      <c r="F646" s="34"/>
      <c r="G646" s="34"/>
      <c r="H646" s="34"/>
      <c r="I646" s="34"/>
      <c r="J646" s="34"/>
      <c r="K646" s="34"/>
      <c r="L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AA646" s="34"/>
      <c r="AB646" s="34"/>
      <c r="AC646" s="34"/>
      <c r="AD646" s="34"/>
      <c r="AE646" s="34"/>
      <c r="AF646" s="34"/>
      <c r="AG646" s="34"/>
      <c r="AH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I646" s="34"/>
      <c r="BJ646" s="34"/>
      <c r="BK646" s="34"/>
      <c r="BL646" s="34"/>
      <c r="BM646" s="34"/>
      <c r="BN646" s="34"/>
      <c r="BO646" s="34"/>
      <c r="BP646" s="34"/>
      <c r="BY646" s="34"/>
      <c r="BZ646" s="34"/>
      <c r="CA646" s="34"/>
      <c r="CB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</row>
    <row r="647" ht="15.75" customHeight="1">
      <c r="B647" s="34"/>
      <c r="E647" s="34"/>
      <c r="F647" s="34"/>
      <c r="G647" s="34"/>
      <c r="H647" s="34"/>
      <c r="I647" s="34"/>
      <c r="J647" s="34"/>
      <c r="K647" s="34"/>
      <c r="L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AA647" s="34"/>
      <c r="AB647" s="34"/>
      <c r="AC647" s="34"/>
      <c r="AD647" s="34"/>
      <c r="AE647" s="34"/>
      <c r="AF647" s="34"/>
      <c r="AG647" s="34"/>
      <c r="AH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I647" s="34"/>
      <c r="BJ647" s="34"/>
      <c r="BK647" s="34"/>
      <c r="BL647" s="34"/>
      <c r="BM647" s="34"/>
      <c r="BN647" s="34"/>
      <c r="BO647" s="34"/>
      <c r="BP647" s="34"/>
      <c r="BY647" s="34"/>
      <c r="BZ647" s="34"/>
      <c r="CA647" s="34"/>
      <c r="CB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</row>
    <row r="648" ht="15.75" customHeight="1">
      <c r="B648" s="34"/>
      <c r="E648" s="34"/>
      <c r="F648" s="34"/>
      <c r="G648" s="34"/>
      <c r="H648" s="34"/>
      <c r="I648" s="34"/>
      <c r="J648" s="34"/>
      <c r="K648" s="34"/>
      <c r="L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AA648" s="34"/>
      <c r="AB648" s="34"/>
      <c r="AC648" s="34"/>
      <c r="AD648" s="34"/>
      <c r="AE648" s="34"/>
      <c r="AF648" s="34"/>
      <c r="AG648" s="34"/>
      <c r="AH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I648" s="34"/>
      <c r="BJ648" s="34"/>
      <c r="BK648" s="34"/>
      <c r="BL648" s="34"/>
      <c r="BM648" s="34"/>
      <c r="BN648" s="34"/>
      <c r="BO648" s="34"/>
      <c r="BP648" s="34"/>
      <c r="BY648" s="34"/>
      <c r="BZ648" s="34"/>
      <c r="CA648" s="34"/>
      <c r="CB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</row>
    <row r="649" ht="15.75" customHeight="1">
      <c r="B649" s="34"/>
      <c r="E649" s="34"/>
      <c r="F649" s="34"/>
      <c r="G649" s="34"/>
      <c r="H649" s="34"/>
      <c r="I649" s="34"/>
      <c r="J649" s="34"/>
      <c r="K649" s="34"/>
      <c r="L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AA649" s="34"/>
      <c r="AB649" s="34"/>
      <c r="AC649" s="34"/>
      <c r="AD649" s="34"/>
      <c r="AE649" s="34"/>
      <c r="AF649" s="34"/>
      <c r="AG649" s="34"/>
      <c r="AH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I649" s="34"/>
      <c r="BJ649" s="34"/>
      <c r="BK649" s="34"/>
      <c r="BL649" s="34"/>
      <c r="BM649" s="34"/>
      <c r="BN649" s="34"/>
      <c r="BO649" s="34"/>
      <c r="BP649" s="34"/>
      <c r="BY649" s="34"/>
      <c r="BZ649" s="34"/>
      <c r="CA649" s="34"/>
      <c r="CB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</row>
    <row r="650" ht="15.75" customHeight="1">
      <c r="B650" s="34"/>
      <c r="E650" s="34"/>
      <c r="F650" s="34"/>
      <c r="G650" s="34"/>
      <c r="H650" s="34"/>
      <c r="I650" s="34"/>
      <c r="J650" s="34"/>
      <c r="K650" s="34"/>
      <c r="L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AA650" s="34"/>
      <c r="AB650" s="34"/>
      <c r="AC650" s="34"/>
      <c r="AD650" s="34"/>
      <c r="AE650" s="34"/>
      <c r="AF650" s="34"/>
      <c r="AG650" s="34"/>
      <c r="AH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I650" s="34"/>
      <c r="BJ650" s="34"/>
      <c r="BK650" s="34"/>
      <c r="BL650" s="34"/>
      <c r="BM650" s="34"/>
      <c r="BN650" s="34"/>
      <c r="BO650" s="34"/>
      <c r="BP650" s="34"/>
      <c r="BY650" s="34"/>
      <c r="BZ650" s="34"/>
      <c r="CA650" s="34"/>
      <c r="CB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</row>
    <row r="651" ht="15.75" customHeight="1">
      <c r="B651" s="34"/>
      <c r="E651" s="34"/>
      <c r="F651" s="34"/>
      <c r="G651" s="34"/>
      <c r="H651" s="34"/>
      <c r="I651" s="34"/>
      <c r="J651" s="34"/>
      <c r="K651" s="34"/>
      <c r="L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AA651" s="34"/>
      <c r="AB651" s="34"/>
      <c r="AC651" s="34"/>
      <c r="AD651" s="34"/>
      <c r="AE651" s="34"/>
      <c r="AF651" s="34"/>
      <c r="AG651" s="34"/>
      <c r="AH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I651" s="34"/>
      <c r="BJ651" s="34"/>
      <c r="BK651" s="34"/>
      <c r="BL651" s="34"/>
      <c r="BM651" s="34"/>
      <c r="BN651" s="34"/>
      <c r="BO651" s="34"/>
      <c r="BP651" s="34"/>
      <c r="BY651" s="34"/>
      <c r="BZ651" s="34"/>
      <c r="CA651" s="34"/>
      <c r="CB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</row>
    <row r="652" ht="15.75" customHeight="1">
      <c r="B652" s="34"/>
      <c r="E652" s="34"/>
      <c r="F652" s="34"/>
      <c r="G652" s="34"/>
      <c r="H652" s="34"/>
      <c r="I652" s="34"/>
      <c r="J652" s="34"/>
      <c r="K652" s="34"/>
      <c r="L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AA652" s="34"/>
      <c r="AB652" s="34"/>
      <c r="AC652" s="34"/>
      <c r="AD652" s="34"/>
      <c r="AE652" s="34"/>
      <c r="AF652" s="34"/>
      <c r="AG652" s="34"/>
      <c r="AH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I652" s="34"/>
      <c r="BJ652" s="34"/>
      <c r="BK652" s="34"/>
      <c r="BL652" s="34"/>
      <c r="BM652" s="34"/>
      <c r="BN652" s="34"/>
      <c r="BO652" s="34"/>
      <c r="BP652" s="34"/>
      <c r="BY652" s="34"/>
      <c r="BZ652" s="34"/>
      <c r="CA652" s="34"/>
      <c r="CB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</row>
    <row r="653" ht="15.75" customHeight="1">
      <c r="B653" s="34"/>
      <c r="E653" s="34"/>
      <c r="F653" s="34"/>
      <c r="G653" s="34"/>
      <c r="H653" s="34"/>
      <c r="I653" s="34"/>
      <c r="J653" s="34"/>
      <c r="K653" s="34"/>
      <c r="L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AA653" s="34"/>
      <c r="AB653" s="34"/>
      <c r="AC653" s="34"/>
      <c r="AD653" s="34"/>
      <c r="AE653" s="34"/>
      <c r="AF653" s="34"/>
      <c r="AG653" s="34"/>
      <c r="AH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I653" s="34"/>
      <c r="BJ653" s="34"/>
      <c r="BK653" s="34"/>
      <c r="BL653" s="34"/>
      <c r="BM653" s="34"/>
      <c r="BN653" s="34"/>
      <c r="BO653" s="34"/>
      <c r="BP653" s="34"/>
      <c r="BY653" s="34"/>
      <c r="BZ653" s="34"/>
      <c r="CA653" s="34"/>
      <c r="CB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</row>
    <row r="654" ht="15.75" customHeight="1">
      <c r="B654" s="34"/>
      <c r="E654" s="34"/>
      <c r="F654" s="34"/>
      <c r="G654" s="34"/>
      <c r="H654" s="34"/>
      <c r="I654" s="34"/>
      <c r="J654" s="34"/>
      <c r="K654" s="34"/>
      <c r="L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AA654" s="34"/>
      <c r="AB654" s="34"/>
      <c r="AC654" s="34"/>
      <c r="AD654" s="34"/>
      <c r="AE654" s="34"/>
      <c r="AF654" s="34"/>
      <c r="AG654" s="34"/>
      <c r="AH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I654" s="34"/>
      <c r="BJ654" s="34"/>
      <c r="BK654" s="34"/>
      <c r="BL654" s="34"/>
      <c r="BM654" s="34"/>
      <c r="BN654" s="34"/>
      <c r="BO654" s="34"/>
      <c r="BP654" s="34"/>
      <c r="BY654" s="34"/>
      <c r="BZ654" s="34"/>
      <c r="CA654" s="34"/>
      <c r="CB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</row>
    <row r="655" ht="15.75" customHeight="1">
      <c r="B655" s="34"/>
      <c r="E655" s="34"/>
      <c r="F655" s="34"/>
      <c r="G655" s="34"/>
      <c r="H655" s="34"/>
      <c r="I655" s="34"/>
      <c r="J655" s="34"/>
      <c r="K655" s="34"/>
      <c r="L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AA655" s="34"/>
      <c r="AB655" s="34"/>
      <c r="AC655" s="34"/>
      <c r="AD655" s="34"/>
      <c r="AE655" s="34"/>
      <c r="AF655" s="34"/>
      <c r="AG655" s="34"/>
      <c r="AH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I655" s="34"/>
      <c r="BJ655" s="34"/>
      <c r="BK655" s="34"/>
      <c r="BL655" s="34"/>
      <c r="BM655" s="34"/>
      <c r="BN655" s="34"/>
      <c r="BO655" s="34"/>
      <c r="BP655" s="34"/>
      <c r="BY655" s="34"/>
      <c r="BZ655" s="34"/>
      <c r="CA655" s="34"/>
      <c r="CB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</row>
    <row r="656" ht="15.75" customHeight="1">
      <c r="B656" s="34"/>
      <c r="E656" s="34"/>
      <c r="F656" s="34"/>
      <c r="G656" s="34"/>
      <c r="H656" s="34"/>
      <c r="I656" s="34"/>
      <c r="J656" s="34"/>
      <c r="K656" s="34"/>
      <c r="L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AA656" s="34"/>
      <c r="AB656" s="34"/>
      <c r="AC656" s="34"/>
      <c r="AD656" s="34"/>
      <c r="AE656" s="34"/>
      <c r="AF656" s="34"/>
      <c r="AG656" s="34"/>
      <c r="AH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I656" s="34"/>
      <c r="BJ656" s="34"/>
      <c r="BK656" s="34"/>
      <c r="BL656" s="34"/>
      <c r="BM656" s="34"/>
      <c r="BN656" s="34"/>
      <c r="BO656" s="34"/>
      <c r="BP656" s="34"/>
      <c r="BY656" s="34"/>
      <c r="BZ656" s="34"/>
      <c r="CA656" s="34"/>
      <c r="CB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</row>
    <row r="657" ht="15.75" customHeight="1">
      <c r="B657" s="34"/>
      <c r="E657" s="34"/>
      <c r="F657" s="34"/>
      <c r="G657" s="34"/>
      <c r="H657" s="34"/>
      <c r="I657" s="34"/>
      <c r="J657" s="34"/>
      <c r="K657" s="34"/>
      <c r="L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AA657" s="34"/>
      <c r="AB657" s="34"/>
      <c r="AC657" s="34"/>
      <c r="AD657" s="34"/>
      <c r="AE657" s="34"/>
      <c r="AF657" s="34"/>
      <c r="AG657" s="34"/>
      <c r="AH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I657" s="34"/>
      <c r="BJ657" s="34"/>
      <c r="BK657" s="34"/>
      <c r="BL657" s="34"/>
      <c r="BM657" s="34"/>
      <c r="BN657" s="34"/>
      <c r="BO657" s="34"/>
      <c r="BP657" s="34"/>
      <c r="BY657" s="34"/>
      <c r="BZ657" s="34"/>
      <c r="CA657" s="34"/>
      <c r="CB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</row>
    <row r="658" ht="15.75" customHeight="1">
      <c r="B658" s="34"/>
      <c r="E658" s="34"/>
      <c r="F658" s="34"/>
      <c r="G658" s="34"/>
      <c r="H658" s="34"/>
      <c r="I658" s="34"/>
      <c r="J658" s="34"/>
      <c r="K658" s="34"/>
      <c r="L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AA658" s="34"/>
      <c r="AB658" s="34"/>
      <c r="AC658" s="34"/>
      <c r="AD658" s="34"/>
      <c r="AE658" s="34"/>
      <c r="AF658" s="34"/>
      <c r="AG658" s="34"/>
      <c r="AH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I658" s="34"/>
      <c r="BJ658" s="34"/>
      <c r="BK658" s="34"/>
      <c r="BL658" s="34"/>
      <c r="BM658" s="34"/>
      <c r="BN658" s="34"/>
      <c r="BO658" s="34"/>
      <c r="BP658" s="34"/>
      <c r="BY658" s="34"/>
      <c r="BZ658" s="34"/>
      <c r="CA658" s="34"/>
      <c r="CB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</row>
    <row r="659" ht="15.75" customHeight="1">
      <c r="B659" s="34"/>
      <c r="E659" s="34"/>
      <c r="F659" s="34"/>
      <c r="G659" s="34"/>
      <c r="H659" s="34"/>
      <c r="I659" s="34"/>
      <c r="J659" s="34"/>
      <c r="K659" s="34"/>
      <c r="L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AA659" s="34"/>
      <c r="AB659" s="34"/>
      <c r="AC659" s="34"/>
      <c r="AD659" s="34"/>
      <c r="AE659" s="34"/>
      <c r="AF659" s="34"/>
      <c r="AG659" s="34"/>
      <c r="AH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I659" s="34"/>
      <c r="BJ659" s="34"/>
      <c r="BK659" s="34"/>
      <c r="BL659" s="34"/>
      <c r="BM659" s="34"/>
      <c r="BN659" s="34"/>
      <c r="BO659" s="34"/>
      <c r="BP659" s="34"/>
      <c r="BY659" s="34"/>
      <c r="BZ659" s="34"/>
      <c r="CA659" s="34"/>
      <c r="CB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</row>
    <row r="660" ht="15.75" customHeight="1">
      <c r="B660" s="34"/>
      <c r="E660" s="34"/>
      <c r="F660" s="34"/>
      <c r="G660" s="34"/>
      <c r="H660" s="34"/>
      <c r="I660" s="34"/>
      <c r="J660" s="34"/>
      <c r="K660" s="34"/>
      <c r="L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AA660" s="34"/>
      <c r="AB660" s="34"/>
      <c r="AC660" s="34"/>
      <c r="AD660" s="34"/>
      <c r="AE660" s="34"/>
      <c r="AF660" s="34"/>
      <c r="AG660" s="34"/>
      <c r="AH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I660" s="34"/>
      <c r="BJ660" s="34"/>
      <c r="BK660" s="34"/>
      <c r="BL660" s="34"/>
      <c r="BM660" s="34"/>
      <c r="BN660" s="34"/>
      <c r="BO660" s="34"/>
      <c r="BP660" s="34"/>
      <c r="BY660" s="34"/>
      <c r="BZ660" s="34"/>
      <c r="CA660" s="34"/>
      <c r="CB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</row>
    <row r="661" ht="15.75" customHeight="1">
      <c r="B661" s="34"/>
      <c r="E661" s="34"/>
      <c r="F661" s="34"/>
      <c r="G661" s="34"/>
      <c r="H661" s="34"/>
      <c r="I661" s="34"/>
      <c r="J661" s="34"/>
      <c r="K661" s="34"/>
      <c r="L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AA661" s="34"/>
      <c r="AB661" s="34"/>
      <c r="AC661" s="34"/>
      <c r="AD661" s="34"/>
      <c r="AE661" s="34"/>
      <c r="AF661" s="34"/>
      <c r="AG661" s="34"/>
      <c r="AH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I661" s="34"/>
      <c r="BJ661" s="34"/>
      <c r="BK661" s="34"/>
      <c r="BL661" s="34"/>
      <c r="BM661" s="34"/>
      <c r="BN661" s="34"/>
      <c r="BO661" s="34"/>
      <c r="BP661" s="34"/>
      <c r="BY661" s="34"/>
      <c r="BZ661" s="34"/>
      <c r="CA661" s="34"/>
      <c r="CB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</row>
    <row r="662" ht="15.75" customHeight="1">
      <c r="B662" s="34"/>
      <c r="E662" s="34"/>
      <c r="F662" s="34"/>
      <c r="G662" s="34"/>
      <c r="H662" s="34"/>
      <c r="I662" s="34"/>
      <c r="J662" s="34"/>
      <c r="K662" s="34"/>
      <c r="L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AA662" s="34"/>
      <c r="AB662" s="34"/>
      <c r="AC662" s="34"/>
      <c r="AD662" s="34"/>
      <c r="AE662" s="34"/>
      <c r="AF662" s="34"/>
      <c r="AG662" s="34"/>
      <c r="AH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I662" s="34"/>
      <c r="BJ662" s="34"/>
      <c r="BK662" s="34"/>
      <c r="BL662" s="34"/>
      <c r="BM662" s="34"/>
      <c r="BN662" s="34"/>
      <c r="BO662" s="34"/>
      <c r="BP662" s="34"/>
      <c r="BY662" s="34"/>
      <c r="BZ662" s="34"/>
      <c r="CA662" s="34"/>
      <c r="CB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</row>
    <row r="663" ht="15.75" customHeight="1">
      <c r="B663" s="34"/>
      <c r="E663" s="34"/>
      <c r="F663" s="34"/>
      <c r="G663" s="34"/>
      <c r="H663" s="34"/>
      <c r="I663" s="34"/>
      <c r="J663" s="34"/>
      <c r="K663" s="34"/>
      <c r="L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AA663" s="34"/>
      <c r="AB663" s="34"/>
      <c r="AC663" s="34"/>
      <c r="AD663" s="34"/>
      <c r="AE663" s="34"/>
      <c r="AF663" s="34"/>
      <c r="AG663" s="34"/>
      <c r="AH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I663" s="34"/>
      <c r="BJ663" s="34"/>
      <c r="BK663" s="34"/>
      <c r="BL663" s="34"/>
      <c r="BM663" s="34"/>
      <c r="BN663" s="34"/>
      <c r="BO663" s="34"/>
      <c r="BP663" s="34"/>
      <c r="BY663" s="34"/>
      <c r="BZ663" s="34"/>
      <c r="CA663" s="34"/>
      <c r="CB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</row>
    <row r="664" ht="15.75" customHeight="1">
      <c r="B664" s="34"/>
      <c r="E664" s="34"/>
      <c r="F664" s="34"/>
      <c r="G664" s="34"/>
      <c r="H664" s="34"/>
      <c r="I664" s="34"/>
      <c r="J664" s="34"/>
      <c r="K664" s="34"/>
      <c r="L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AA664" s="34"/>
      <c r="AB664" s="34"/>
      <c r="AC664" s="34"/>
      <c r="AD664" s="34"/>
      <c r="AE664" s="34"/>
      <c r="AF664" s="34"/>
      <c r="AG664" s="34"/>
      <c r="AH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I664" s="34"/>
      <c r="BJ664" s="34"/>
      <c r="BK664" s="34"/>
      <c r="BL664" s="34"/>
      <c r="BM664" s="34"/>
      <c r="BN664" s="34"/>
      <c r="BO664" s="34"/>
      <c r="BP664" s="34"/>
      <c r="BY664" s="34"/>
      <c r="BZ664" s="34"/>
      <c r="CA664" s="34"/>
      <c r="CB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</row>
    <row r="665" ht="15.75" customHeight="1">
      <c r="B665" s="34"/>
      <c r="E665" s="34"/>
      <c r="F665" s="34"/>
      <c r="G665" s="34"/>
      <c r="H665" s="34"/>
      <c r="I665" s="34"/>
      <c r="J665" s="34"/>
      <c r="K665" s="34"/>
      <c r="L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AA665" s="34"/>
      <c r="AB665" s="34"/>
      <c r="AC665" s="34"/>
      <c r="AD665" s="34"/>
      <c r="AE665" s="34"/>
      <c r="AF665" s="34"/>
      <c r="AG665" s="34"/>
      <c r="AH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I665" s="34"/>
      <c r="BJ665" s="34"/>
      <c r="BK665" s="34"/>
      <c r="BL665" s="34"/>
      <c r="BM665" s="34"/>
      <c r="BN665" s="34"/>
      <c r="BO665" s="34"/>
      <c r="BP665" s="34"/>
      <c r="BY665" s="34"/>
      <c r="BZ665" s="34"/>
      <c r="CA665" s="34"/>
      <c r="CB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</row>
    <row r="666" ht="15.75" customHeight="1">
      <c r="B666" s="34"/>
      <c r="E666" s="34"/>
      <c r="F666" s="34"/>
      <c r="G666" s="34"/>
      <c r="H666" s="34"/>
      <c r="I666" s="34"/>
      <c r="J666" s="34"/>
      <c r="K666" s="34"/>
      <c r="L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AA666" s="34"/>
      <c r="AB666" s="34"/>
      <c r="AC666" s="34"/>
      <c r="AD666" s="34"/>
      <c r="AE666" s="34"/>
      <c r="AF666" s="34"/>
      <c r="AG666" s="34"/>
      <c r="AH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I666" s="34"/>
      <c r="BJ666" s="34"/>
      <c r="BK666" s="34"/>
      <c r="BL666" s="34"/>
      <c r="BM666" s="34"/>
      <c r="BN666" s="34"/>
      <c r="BO666" s="34"/>
      <c r="BP666" s="34"/>
      <c r="BY666" s="34"/>
      <c r="BZ666" s="34"/>
      <c r="CA666" s="34"/>
      <c r="CB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</row>
    <row r="667" ht="15.75" customHeight="1">
      <c r="B667" s="34"/>
      <c r="E667" s="34"/>
      <c r="F667" s="34"/>
      <c r="G667" s="34"/>
      <c r="H667" s="34"/>
      <c r="I667" s="34"/>
      <c r="J667" s="34"/>
      <c r="K667" s="34"/>
      <c r="L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AA667" s="34"/>
      <c r="AB667" s="34"/>
      <c r="AC667" s="34"/>
      <c r="AD667" s="34"/>
      <c r="AE667" s="34"/>
      <c r="AF667" s="34"/>
      <c r="AG667" s="34"/>
      <c r="AH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I667" s="34"/>
      <c r="BJ667" s="34"/>
      <c r="BK667" s="34"/>
      <c r="BL667" s="34"/>
      <c r="BM667" s="34"/>
      <c r="BN667" s="34"/>
      <c r="BO667" s="34"/>
      <c r="BP667" s="34"/>
      <c r="BY667" s="34"/>
      <c r="BZ667" s="34"/>
      <c r="CA667" s="34"/>
      <c r="CB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</row>
    <row r="668" ht="15.75" customHeight="1">
      <c r="B668" s="34"/>
      <c r="E668" s="34"/>
      <c r="F668" s="34"/>
      <c r="G668" s="34"/>
      <c r="H668" s="34"/>
      <c r="I668" s="34"/>
      <c r="J668" s="34"/>
      <c r="K668" s="34"/>
      <c r="L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AA668" s="34"/>
      <c r="AB668" s="34"/>
      <c r="AC668" s="34"/>
      <c r="AD668" s="34"/>
      <c r="AE668" s="34"/>
      <c r="AF668" s="34"/>
      <c r="AG668" s="34"/>
      <c r="AH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I668" s="34"/>
      <c r="BJ668" s="34"/>
      <c r="BK668" s="34"/>
      <c r="BL668" s="34"/>
      <c r="BM668" s="34"/>
      <c r="BN668" s="34"/>
      <c r="BO668" s="34"/>
      <c r="BP668" s="34"/>
      <c r="BY668" s="34"/>
      <c r="BZ668" s="34"/>
      <c r="CA668" s="34"/>
      <c r="CB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</row>
    <row r="669" ht="15.75" customHeight="1">
      <c r="B669" s="34"/>
      <c r="E669" s="34"/>
      <c r="F669" s="34"/>
      <c r="G669" s="34"/>
      <c r="H669" s="34"/>
      <c r="I669" s="34"/>
      <c r="J669" s="34"/>
      <c r="K669" s="34"/>
      <c r="L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AA669" s="34"/>
      <c r="AB669" s="34"/>
      <c r="AC669" s="34"/>
      <c r="AD669" s="34"/>
      <c r="AE669" s="34"/>
      <c r="AF669" s="34"/>
      <c r="AG669" s="34"/>
      <c r="AH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I669" s="34"/>
      <c r="BJ669" s="34"/>
      <c r="BK669" s="34"/>
      <c r="BL669" s="34"/>
      <c r="BM669" s="34"/>
      <c r="BN669" s="34"/>
      <c r="BO669" s="34"/>
      <c r="BP669" s="34"/>
      <c r="BY669" s="34"/>
      <c r="BZ669" s="34"/>
      <c r="CA669" s="34"/>
      <c r="CB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</row>
    <row r="670" ht="15.75" customHeight="1">
      <c r="B670" s="34"/>
      <c r="E670" s="34"/>
      <c r="F670" s="34"/>
      <c r="G670" s="34"/>
      <c r="H670" s="34"/>
      <c r="I670" s="34"/>
      <c r="J670" s="34"/>
      <c r="K670" s="34"/>
      <c r="L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AA670" s="34"/>
      <c r="AB670" s="34"/>
      <c r="AC670" s="34"/>
      <c r="AD670" s="34"/>
      <c r="AE670" s="34"/>
      <c r="AF670" s="34"/>
      <c r="AG670" s="34"/>
      <c r="AH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I670" s="34"/>
      <c r="BJ670" s="34"/>
      <c r="BK670" s="34"/>
      <c r="BL670" s="34"/>
      <c r="BM670" s="34"/>
      <c r="BN670" s="34"/>
      <c r="BO670" s="34"/>
      <c r="BP670" s="34"/>
      <c r="BY670" s="34"/>
      <c r="BZ670" s="34"/>
      <c r="CA670" s="34"/>
      <c r="CB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</row>
    <row r="671" ht="15.75" customHeight="1">
      <c r="B671" s="34"/>
      <c r="E671" s="34"/>
      <c r="F671" s="34"/>
      <c r="G671" s="34"/>
      <c r="H671" s="34"/>
      <c r="I671" s="34"/>
      <c r="J671" s="34"/>
      <c r="K671" s="34"/>
      <c r="L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AA671" s="34"/>
      <c r="AB671" s="34"/>
      <c r="AC671" s="34"/>
      <c r="AD671" s="34"/>
      <c r="AE671" s="34"/>
      <c r="AF671" s="34"/>
      <c r="AG671" s="34"/>
      <c r="AH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I671" s="34"/>
      <c r="BJ671" s="34"/>
      <c r="BK671" s="34"/>
      <c r="BL671" s="34"/>
      <c r="BM671" s="34"/>
      <c r="BN671" s="34"/>
      <c r="BO671" s="34"/>
      <c r="BP671" s="34"/>
      <c r="BY671" s="34"/>
      <c r="BZ671" s="34"/>
      <c r="CA671" s="34"/>
      <c r="CB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</row>
    <row r="672" ht="15.75" customHeight="1">
      <c r="B672" s="34"/>
      <c r="E672" s="34"/>
      <c r="F672" s="34"/>
      <c r="G672" s="34"/>
      <c r="H672" s="34"/>
      <c r="I672" s="34"/>
      <c r="J672" s="34"/>
      <c r="K672" s="34"/>
      <c r="L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AA672" s="34"/>
      <c r="AB672" s="34"/>
      <c r="AC672" s="34"/>
      <c r="AD672" s="34"/>
      <c r="AE672" s="34"/>
      <c r="AF672" s="34"/>
      <c r="AG672" s="34"/>
      <c r="AH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I672" s="34"/>
      <c r="BJ672" s="34"/>
      <c r="BK672" s="34"/>
      <c r="BL672" s="34"/>
      <c r="BM672" s="34"/>
      <c r="BN672" s="34"/>
      <c r="BO672" s="34"/>
      <c r="BP672" s="34"/>
      <c r="BY672" s="34"/>
      <c r="BZ672" s="34"/>
      <c r="CA672" s="34"/>
      <c r="CB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</row>
    <row r="673" ht="15.75" customHeight="1">
      <c r="B673" s="34"/>
      <c r="E673" s="34"/>
      <c r="F673" s="34"/>
      <c r="G673" s="34"/>
      <c r="H673" s="34"/>
      <c r="I673" s="34"/>
      <c r="J673" s="34"/>
      <c r="K673" s="34"/>
      <c r="L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AA673" s="34"/>
      <c r="AB673" s="34"/>
      <c r="AC673" s="34"/>
      <c r="AD673" s="34"/>
      <c r="AE673" s="34"/>
      <c r="AF673" s="34"/>
      <c r="AG673" s="34"/>
      <c r="AH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I673" s="34"/>
      <c r="BJ673" s="34"/>
      <c r="BK673" s="34"/>
      <c r="BL673" s="34"/>
      <c r="BM673" s="34"/>
      <c r="BN673" s="34"/>
      <c r="BO673" s="34"/>
      <c r="BP673" s="34"/>
      <c r="BY673" s="34"/>
      <c r="BZ673" s="34"/>
      <c r="CA673" s="34"/>
      <c r="CB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</row>
    <row r="674" ht="15.75" customHeight="1">
      <c r="B674" s="34"/>
      <c r="E674" s="34"/>
      <c r="F674" s="34"/>
      <c r="G674" s="34"/>
      <c r="H674" s="34"/>
      <c r="I674" s="34"/>
      <c r="J674" s="34"/>
      <c r="K674" s="34"/>
      <c r="L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AA674" s="34"/>
      <c r="AB674" s="34"/>
      <c r="AC674" s="34"/>
      <c r="AD674" s="34"/>
      <c r="AE674" s="34"/>
      <c r="AF674" s="34"/>
      <c r="AG674" s="34"/>
      <c r="AH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I674" s="34"/>
      <c r="BJ674" s="34"/>
      <c r="BK674" s="34"/>
      <c r="BL674" s="34"/>
      <c r="BM674" s="34"/>
      <c r="BN674" s="34"/>
      <c r="BO674" s="34"/>
      <c r="BP674" s="34"/>
      <c r="BY674" s="34"/>
      <c r="BZ674" s="34"/>
      <c r="CA674" s="34"/>
      <c r="CB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</row>
    <row r="675" ht="15.75" customHeight="1">
      <c r="B675" s="34"/>
      <c r="E675" s="34"/>
      <c r="F675" s="34"/>
      <c r="G675" s="34"/>
      <c r="H675" s="34"/>
      <c r="I675" s="34"/>
      <c r="J675" s="34"/>
      <c r="K675" s="34"/>
      <c r="L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AA675" s="34"/>
      <c r="AB675" s="34"/>
      <c r="AC675" s="34"/>
      <c r="AD675" s="34"/>
      <c r="AE675" s="34"/>
      <c r="AF675" s="34"/>
      <c r="AG675" s="34"/>
      <c r="AH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I675" s="34"/>
      <c r="BJ675" s="34"/>
      <c r="BK675" s="34"/>
      <c r="BL675" s="34"/>
      <c r="BM675" s="34"/>
      <c r="BN675" s="34"/>
      <c r="BO675" s="34"/>
      <c r="BP675" s="34"/>
      <c r="BY675" s="34"/>
      <c r="BZ675" s="34"/>
      <c r="CA675" s="34"/>
      <c r="CB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</row>
    <row r="676" ht="15.75" customHeight="1">
      <c r="B676" s="34"/>
      <c r="E676" s="34"/>
      <c r="F676" s="34"/>
      <c r="G676" s="34"/>
      <c r="H676" s="34"/>
      <c r="I676" s="34"/>
      <c r="J676" s="34"/>
      <c r="K676" s="34"/>
      <c r="L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AA676" s="34"/>
      <c r="AB676" s="34"/>
      <c r="AC676" s="34"/>
      <c r="AD676" s="34"/>
      <c r="AE676" s="34"/>
      <c r="AF676" s="34"/>
      <c r="AG676" s="34"/>
      <c r="AH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I676" s="34"/>
      <c r="BJ676" s="34"/>
      <c r="BK676" s="34"/>
      <c r="BL676" s="34"/>
      <c r="BM676" s="34"/>
      <c r="BN676" s="34"/>
      <c r="BO676" s="34"/>
      <c r="BP676" s="34"/>
      <c r="BY676" s="34"/>
      <c r="BZ676" s="34"/>
      <c r="CA676" s="34"/>
      <c r="CB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</row>
    <row r="677" ht="15.75" customHeight="1">
      <c r="B677" s="34"/>
      <c r="E677" s="34"/>
      <c r="F677" s="34"/>
      <c r="G677" s="34"/>
      <c r="H677" s="34"/>
      <c r="I677" s="34"/>
      <c r="J677" s="34"/>
      <c r="K677" s="34"/>
      <c r="L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AA677" s="34"/>
      <c r="AB677" s="34"/>
      <c r="AC677" s="34"/>
      <c r="AD677" s="34"/>
      <c r="AE677" s="34"/>
      <c r="AF677" s="34"/>
      <c r="AG677" s="34"/>
      <c r="AH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I677" s="34"/>
      <c r="BJ677" s="34"/>
      <c r="BK677" s="34"/>
      <c r="BL677" s="34"/>
      <c r="BM677" s="34"/>
      <c r="BN677" s="34"/>
      <c r="BO677" s="34"/>
      <c r="BP677" s="34"/>
      <c r="BY677" s="34"/>
      <c r="BZ677" s="34"/>
      <c r="CA677" s="34"/>
      <c r="CB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</row>
    <row r="678" ht="15.75" customHeight="1">
      <c r="B678" s="34"/>
      <c r="E678" s="34"/>
      <c r="F678" s="34"/>
      <c r="G678" s="34"/>
      <c r="H678" s="34"/>
      <c r="I678" s="34"/>
      <c r="J678" s="34"/>
      <c r="K678" s="34"/>
      <c r="L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AA678" s="34"/>
      <c r="AB678" s="34"/>
      <c r="AC678" s="34"/>
      <c r="AD678" s="34"/>
      <c r="AE678" s="34"/>
      <c r="AF678" s="34"/>
      <c r="AG678" s="34"/>
      <c r="AH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I678" s="34"/>
      <c r="BJ678" s="34"/>
      <c r="BK678" s="34"/>
      <c r="BL678" s="34"/>
      <c r="BM678" s="34"/>
      <c r="BN678" s="34"/>
      <c r="BO678" s="34"/>
      <c r="BP678" s="34"/>
      <c r="BY678" s="34"/>
      <c r="BZ678" s="34"/>
      <c r="CA678" s="34"/>
      <c r="CB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</row>
    <row r="679" ht="15.75" customHeight="1">
      <c r="B679" s="34"/>
      <c r="E679" s="34"/>
      <c r="F679" s="34"/>
      <c r="G679" s="34"/>
      <c r="H679" s="34"/>
      <c r="I679" s="34"/>
      <c r="J679" s="34"/>
      <c r="K679" s="34"/>
      <c r="L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AA679" s="34"/>
      <c r="AB679" s="34"/>
      <c r="AC679" s="34"/>
      <c r="AD679" s="34"/>
      <c r="AE679" s="34"/>
      <c r="AF679" s="34"/>
      <c r="AG679" s="34"/>
      <c r="AH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I679" s="34"/>
      <c r="BJ679" s="34"/>
      <c r="BK679" s="34"/>
      <c r="BL679" s="34"/>
      <c r="BM679" s="34"/>
      <c r="BN679" s="34"/>
      <c r="BO679" s="34"/>
      <c r="BP679" s="34"/>
      <c r="BY679" s="34"/>
      <c r="BZ679" s="34"/>
      <c r="CA679" s="34"/>
      <c r="CB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</row>
    <row r="680" ht="15.75" customHeight="1">
      <c r="B680" s="34"/>
      <c r="E680" s="34"/>
      <c r="F680" s="34"/>
      <c r="G680" s="34"/>
      <c r="H680" s="34"/>
      <c r="I680" s="34"/>
      <c r="J680" s="34"/>
      <c r="K680" s="34"/>
      <c r="L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AA680" s="34"/>
      <c r="AB680" s="34"/>
      <c r="AC680" s="34"/>
      <c r="AD680" s="34"/>
      <c r="AE680" s="34"/>
      <c r="AF680" s="34"/>
      <c r="AG680" s="34"/>
      <c r="AH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I680" s="34"/>
      <c r="BJ680" s="34"/>
      <c r="BK680" s="34"/>
      <c r="BL680" s="34"/>
      <c r="BM680" s="34"/>
      <c r="BN680" s="34"/>
      <c r="BO680" s="34"/>
      <c r="BP680" s="34"/>
      <c r="BY680" s="34"/>
      <c r="BZ680" s="34"/>
      <c r="CA680" s="34"/>
      <c r="CB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</row>
    <row r="681" ht="15.75" customHeight="1">
      <c r="B681" s="34"/>
      <c r="E681" s="34"/>
      <c r="F681" s="34"/>
      <c r="G681" s="34"/>
      <c r="H681" s="34"/>
      <c r="I681" s="34"/>
      <c r="J681" s="34"/>
      <c r="K681" s="34"/>
      <c r="L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AA681" s="34"/>
      <c r="AB681" s="34"/>
      <c r="AC681" s="34"/>
      <c r="AD681" s="34"/>
      <c r="AE681" s="34"/>
      <c r="AF681" s="34"/>
      <c r="AG681" s="34"/>
      <c r="AH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I681" s="34"/>
      <c r="BJ681" s="34"/>
      <c r="BK681" s="34"/>
      <c r="BL681" s="34"/>
      <c r="BM681" s="34"/>
      <c r="BN681" s="34"/>
      <c r="BO681" s="34"/>
      <c r="BP681" s="34"/>
      <c r="BY681" s="34"/>
      <c r="BZ681" s="34"/>
      <c r="CA681" s="34"/>
      <c r="CB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</row>
    <row r="682" ht="15.75" customHeight="1">
      <c r="B682" s="34"/>
      <c r="E682" s="34"/>
      <c r="F682" s="34"/>
      <c r="G682" s="34"/>
      <c r="H682" s="34"/>
      <c r="I682" s="34"/>
      <c r="J682" s="34"/>
      <c r="K682" s="34"/>
      <c r="L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AA682" s="34"/>
      <c r="AB682" s="34"/>
      <c r="AC682" s="34"/>
      <c r="AD682" s="34"/>
      <c r="AE682" s="34"/>
      <c r="AF682" s="34"/>
      <c r="AG682" s="34"/>
      <c r="AH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I682" s="34"/>
      <c r="BJ682" s="34"/>
      <c r="BK682" s="34"/>
      <c r="BL682" s="34"/>
      <c r="BM682" s="34"/>
      <c r="BN682" s="34"/>
      <c r="BO682" s="34"/>
      <c r="BP682" s="34"/>
      <c r="BY682" s="34"/>
      <c r="BZ682" s="34"/>
      <c r="CA682" s="34"/>
      <c r="CB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</row>
    <row r="683" ht="15.75" customHeight="1">
      <c r="B683" s="34"/>
      <c r="E683" s="34"/>
      <c r="F683" s="34"/>
      <c r="G683" s="34"/>
      <c r="H683" s="34"/>
      <c r="I683" s="34"/>
      <c r="J683" s="34"/>
      <c r="K683" s="34"/>
      <c r="L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AA683" s="34"/>
      <c r="AB683" s="34"/>
      <c r="AC683" s="34"/>
      <c r="AD683" s="34"/>
      <c r="AE683" s="34"/>
      <c r="AF683" s="34"/>
      <c r="AG683" s="34"/>
      <c r="AH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I683" s="34"/>
      <c r="BJ683" s="34"/>
      <c r="BK683" s="34"/>
      <c r="BL683" s="34"/>
      <c r="BM683" s="34"/>
      <c r="BN683" s="34"/>
      <c r="BO683" s="34"/>
      <c r="BP683" s="34"/>
      <c r="BY683" s="34"/>
      <c r="BZ683" s="34"/>
      <c r="CA683" s="34"/>
      <c r="CB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</row>
    <row r="684" ht="15.75" customHeight="1">
      <c r="B684" s="34"/>
      <c r="E684" s="34"/>
      <c r="F684" s="34"/>
      <c r="G684" s="34"/>
      <c r="H684" s="34"/>
      <c r="I684" s="34"/>
      <c r="J684" s="34"/>
      <c r="K684" s="34"/>
      <c r="L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AA684" s="34"/>
      <c r="AB684" s="34"/>
      <c r="AC684" s="34"/>
      <c r="AD684" s="34"/>
      <c r="AE684" s="34"/>
      <c r="AF684" s="34"/>
      <c r="AG684" s="34"/>
      <c r="AH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I684" s="34"/>
      <c r="BJ684" s="34"/>
      <c r="BK684" s="34"/>
      <c r="BL684" s="34"/>
      <c r="BM684" s="34"/>
      <c r="BN684" s="34"/>
      <c r="BO684" s="34"/>
      <c r="BP684" s="34"/>
      <c r="BY684" s="34"/>
      <c r="BZ684" s="34"/>
      <c r="CA684" s="34"/>
      <c r="CB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</row>
    <row r="685" ht="15.75" customHeight="1">
      <c r="B685" s="34"/>
      <c r="E685" s="34"/>
      <c r="F685" s="34"/>
      <c r="G685" s="34"/>
      <c r="H685" s="34"/>
      <c r="I685" s="34"/>
      <c r="J685" s="34"/>
      <c r="K685" s="34"/>
      <c r="L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AA685" s="34"/>
      <c r="AB685" s="34"/>
      <c r="AC685" s="34"/>
      <c r="AD685" s="34"/>
      <c r="AE685" s="34"/>
      <c r="AF685" s="34"/>
      <c r="AG685" s="34"/>
      <c r="AH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I685" s="34"/>
      <c r="BJ685" s="34"/>
      <c r="BK685" s="34"/>
      <c r="BL685" s="34"/>
      <c r="BM685" s="34"/>
      <c r="BN685" s="34"/>
      <c r="BO685" s="34"/>
      <c r="BP685" s="34"/>
      <c r="BY685" s="34"/>
      <c r="BZ685" s="34"/>
      <c r="CA685" s="34"/>
      <c r="CB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</row>
    <row r="686" ht="15.75" customHeight="1">
      <c r="B686" s="34"/>
      <c r="E686" s="34"/>
      <c r="F686" s="34"/>
      <c r="G686" s="34"/>
      <c r="H686" s="34"/>
      <c r="I686" s="34"/>
      <c r="J686" s="34"/>
      <c r="K686" s="34"/>
      <c r="L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AA686" s="34"/>
      <c r="AB686" s="34"/>
      <c r="AC686" s="34"/>
      <c r="AD686" s="34"/>
      <c r="AE686" s="34"/>
      <c r="AF686" s="34"/>
      <c r="AG686" s="34"/>
      <c r="AH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I686" s="34"/>
      <c r="BJ686" s="34"/>
      <c r="BK686" s="34"/>
      <c r="BL686" s="34"/>
      <c r="BM686" s="34"/>
      <c r="BN686" s="34"/>
      <c r="BO686" s="34"/>
      <c r="BP686" s="34"/>
      <c r="BY686" s="34"/>
      <c r="BZ686" s="34"/>
      <c r="CA686" s="34"/>
      <c r="CB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</row>
    <row r="687" ht="15.75" customHeight="1">
      <c r="B687" s="34"/>
      <c r="E687" s="34"/>
      <c r="F687" s="34"/>
      <c r="G687" s="34"/>
      <c r="H687" s="34"/>
      <c r="I687" s="34"/>
      <c r="J687" s="34"/>
      <c r="K687" s="34"/>
      <c r="L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AA687" s="34"/>
      <c r="AB687" s="34"/>
      <c r="AC687" s="34"/>
      <c r="AD687" s="34"/>
      <c r="AE687" s="34"/>
      <c r="AF687" s="34"/>
      <c r="AG687" s="34"/>
      <c r="AH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I687" s="34"/>
      <c r="BJ687" s="34"/>
      <c r="BK687" s="34"/>
      <c r="BL687" s="34"/>
      <c r="BM687" s="34"/>
      <c r="BN687" s="34"/>
      <c r="BO687" s="34"/>
      <c r="BP687" s="34"/>
      <c r="BY687" s="34"/>
      <c r="BZ687" s="34"/>
      <c r="CA687" s="34"/>
      <c r="CB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</row>
    <row r="688" ht="15.75" customHeight="1">
      <c r="B688" s="34"/>
      <c r="E688" s="34"/>
      <c r="F688" s="34"/>
      <c r="G688" s="34"/>
      <c r="H688" s="34"/>
      <c r="I688" s="34"/>
      <c r="J688" s="34"/>
      <c r="K688" s="34"/>
      <c r="L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AA688" s="34"/>
      <c r="AB688" s="34"/>
      <c r="AC688" s="34"/>
      <c r="AD688" s="34"/>
      <c r="AE688" s="34"/>
      <c r="AF688" s="34"/>
      <c r="AG688" s="34"/>
      <c r="AH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I688" s="34"/>
      <c r="BJ688" s="34"/>
      <c r="BK688" s="34"/>
      <c r="BL688" s="34"/>
      <c r="BM688" s="34"/>
      <c r="BN688" s="34"/>
      <c r="BO688" s="34"/>
      <c r="BP688" s="34"/>
      <c r="BY688" s="34"/>
      <c r="BZ688" s="34"/>
      <c r="CA688" s="34"/>
      <c r="CB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</row>
    <row r="689" ht="15.75" customHeight="1">
      <c r="B689" s="34"/>
      <c r="E689" s="34"/>
      <c r="F689" s="34"/>
      <c r="G689" s="34"/>
      <c r="H689" s="34"/>
      <c r="I689" s="34"/>
      <c r="J689" s="34"/>
      <c r="K689" s="34"/>
      <c r="L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AA689" s="34"/>
      <c r="AB689" s="34"/>
      <c r="AC689" s="34"/>
      <c r="AD689" s="34"/>
      <c r="AE689" s="34"/>
      <c r="AF689" s="34"/>
      <c r="AG689" s="34"/>
      <c r="AH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I689" s="34"/>
      <c r="BJ689" s="34"/>
      <c r="BK689" s="34"/>
      <c r="BL689" s="34"/>
      <c r="BM689" s="34"/>
      <c r="BN689" s="34"/>
      <c r="BO689" s="34"/>
      <c r="BP689" s="34"/>
      <c r="BY689" s="34"/>
      <c r="BZ689" s="34"/>
      <c r="CA689" s="34"/>
      <c r="CB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</row>
    <row r="690" ht="15.75" customHeight="1">
      <c r="B690" s="34"/>
      <c r="E690" s="34"/>
      <c r="F690" s="34"/>
      <c r="G690" s="34"/>
      <c r="H690" s="34"/>
      <c r="I690" s="34"/>
      <c r="J690" s="34"/>
      <c r="K690" s="34"/>
      <c r="L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AA690" s="34"/>
      <c r="AB690" s="34"/>
      <c r="AC690" s="34"/>
      <c r="AD690" s="34"/>
      <c r="AE690" s="34"/>
      <c r="AF690" s="34"/>
      <c r="AG690" s="34"/>
      <c r="AH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I690" s="34"/>
      <c r="BJ690" s="34"/>
      <c r="BK690" s="34"/>
      <c r="BL690" s="34"/>
      <c r="BM690" s="34"/>
      <c r="BN690" s="34"/>
      <c r="BO690" s="34"/>
      <c r="BP690" s="34"/>
      <c r="BY690" s="34"/>
      <c r="BZ690" s="34"/>
      <c r="CA690" s="34"/>
      <c r="CB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</row>
    <row r="691" ht="15.75" customHeight="1">
      <c r="B691" s="34"/>
      <c r="E691" s="34"/>
      <c r="F691" s="34"/>
      <c r="G691" s="34"/>
      <c r="H691" s="34"/>
      <c r="I691" s="34"/>
      <c r="J691" s="34"/>
      <c r="K691" s="34"/>
      <c r="L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AA691" s="34"/>
      <c r="AB691" s="34"/>
      <c r="AC691" s="34"/>
      <c r="AD691" s="34"/>
      <c r="AE691" s="34"/>
      <c r="AF691" s="34"/>
      <c r="AG691" s="34"/>
      <c r="AH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I691" s="34"/>
      <c r="BJ691" s="34"/>
      <c r="BK691" s="34"/>
      <c r="BL691" s="34"/>
      <c r="BM691" s="34"/>
      <c r="BN691" s="34"/>
      <c r="BO691" s="34"/>
      <c r="BP691" s="34"/>
      <c r="BY691" s="34"/>
      <c r="BZ691" s="34"/>
      <c r="CA691" s="34"/>
      <c r="CB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</row>
    <row r="692" ht="15.75" customHeight="1">
      <c r="B692" s="34"/>
      <c r="E692" s="34"/>
      <c r="F692" s="34"/>
      <c r="G692" s="34"/>
      <c r="H692" s="34"/>
      <c r="I692" s="34"/>
      <c r="J692" s="34"/>
      <c r="K692" s="34"/>
      <c r="L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AA692" s="34"/>
      <c r="AB692" s="34"/>
      <c r="AC692" s="34"/>
      <c r="AD692" s="34"/>
      <c r="AE692" s="34"/>
      <c r="AF692" s="34"/>
      <c r="AG692" s="34"/>
      <c r="AH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I692" s="34"/>
      <c r="BJ692" s="34"/>
      <c r="BK692" s="34"/>
      <c r="BL692" s="34"/>
      <c r="BM692" s="34"/>
      <c r="BN692" s="34"/>
      <c r="BO692" s="34"/>
      <c r="BP692" s="34"/>
      <c r="BY692" s="34"/>
      <c r="BZ692" s="34"/>
      <c r="CA692" s="34"/>
      <c r="CB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</row>
    <row r="693" ht="15.75" customHeight="1">
      <c r="B693" s="34"/>
      <c r="E693" s="34"/>
      <c r="F693" s="34"/>
      <c r="G693" s="34"/>
      <c r="H693" s="34"/>
      <c r="I693" s="34"/>
      <c r="J693" s="34"/>
      <c r="K693" s="34"/>
      <c r="L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AA693" s="34"/>
      <c r="AB693" s="34"/>
      <c r="AC693" s="34"/>
      <c r="AD693" s="34"/>
      <c r="AE693" s="34"/>
      <c r="AF693" s="34"/>
      <c r="AG693" s="34"/>
      <c r="AH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I693" s="34"/>
      <c r="BJ693" s="34"/>
      <c r="BK693" s="34"/>
      <c r="BL693" s="34"/>
      <c r="BM693" s="34"/>
      <c r="BN693" s="34"/>
      <c r="BO693" s="34"/>
      <c r="BP693" s="34"/>
      <c r="BY693" s="34"/>
      <c r="BZ693" s="34"/>
      <c r="CA693" s="34"/>
      <c r="CB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</row>
    <row r="694" ht="15.75" customHeight="1">
      <c r="B694" s="34"/>
      <c r="E694" s="34"/>
      <c r="F694" s="34"/>
      <c r="G694" s="34"/>
      <c r="H694" s="34"/>
      <c r="I694" s="34"/>
      <c r="J694" s="34"/>
      <c r="K694" s="34"/>
      <c r="L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AA694" s="34"/>
      <c r="AB694" s="34"/>
      <c r="AC694" s="34"/>
      <c r="AD694" s="34"/>
      <c r="AE694" s="34"/>
      <c r="AF694" s="34"/>
      <c r="AG694" s="34"/>
      <c r="AH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I694" s="34"/>
      <c r="BJ694" s="34"/>
      <c r="BK694" s="34"/>
      <c r="BL694" s="34"/>
      <c r="BM694" s="34"/>
      <c r="BN694" s="34"/>
      <c r="BO694" s="34"/>
      <c r="BP694" s="34"/>
      <c r="BY694" s="34"/>
      <c r="BZ694" s="34"/>
      <c r="CA694" s="34"/>
      <c r="CB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</row>
    <row r="695" ht="15.75" customHeight="1">
      <c r="B695" s="34"/>
      <c r="E695" s="34"/>
      <c r="F695" s="34"/>
      <c r="G695" s="34"/>
      <c r="H695" s="34"/>
      <c r="I695" s="34"/>
      <c r="J695" s="34"/>
      <c r="K695" s="34"/>
      <c r="L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AA695" s="34"/>
      <c r="AB695" s="34"/>
      <c r="AC695" s="34"/>
      <c r="AD695" s="34"/>
      <c r="AE695" s="34"/>
      <c r="AF695" s="34"/>
      <c r="AG695" s="34"/>
      <c r="AH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I695" s="34"/>
      <c r="BJ695" s="34"/>
      <c r="BK695" s="34"/>
      <c r="BL695" s="34"/>
      <c r="BM695" s="34"/>
      <c r="BN695" s="34"/>
      <c r="BO695" s="34"/>
      <c r="BP695" s="34"/>
      <c r="BY695" s="34"/>
      <c r="BZ695" s="34"/>
      <c r="CA695" s="34"/>
      <c r="CB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</row>
    <row r="696" ht="15.75" customHeight="1">
      <c r="B696" s="34"/>
      <c r="E696" s="34"/>
      <c r="F696" s="34"/>
      <c r="G696" s="34"/>
      <c r="H696" s="34"/>
      <c r="I696" s="34"/>
      <c r="J696" s="34"/>
      <c r="K696" s="34"/>
      <c r="L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AA696" s="34"/>
      <c r="AB696" s="34"/>
      <c r="AC696" s="34"/>
      <c r="AD696" s="34"/>
      <c r="AE696" s="34"/>
      <c r="AF696" s="34"/>
      <c r="AG696" s="34"/>
      <c r="AH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I696" s="34"/>
      <c r="BJ696" s="34"/>
      <c r="BK696" s="34"/>
      <c r="BL696" s="34"/>
      <c r="BM696" s="34"/>
      <c r="BN696" s="34"/>
      <c r="BO696" s="34"/>
      <c r="BP696" s="34"/>
      <c r="BY696" s="34"/>
      <c r="BZ696" s="34"/>
      <c r="CA696" s="34"/>
      <c r="CB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</row>
    <row r="697" ht="15.75" customHeight="1">
      <c r="B697" s="34"/>
      <c r="E697" s="34"/>
      <c r="F697" s="34"/>
      <c r="G697" s="34"/>
      <c r="H697" s="34"/>
      <c r="I697" s="34"/>
      <c r="J697" s="34"/>
      <c r="K697" s="34"/>
      <c r="L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AA697" s="34"/>
      <c r="AB697" s="34"/>
      <c r="AC697" s="34"/>
      <c r="AD697" s="34"/>
      <c r="AE697" s="34"/>
      <c r="AF697" s="34"/>
      <c r="AG697" s="34"/>
      <c r="AH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I697" s="34"/>
      <c r="BJ697" s="34"/>
      <c r="BK697" s="34"/>
      <c r="BL697" s="34"/>
      <c r="BM697" s="34"/>
      <c r="BN697" s="34"/>
      <c r="BO697" s="34"/>
      <c r="BP697" s="34"/>
      <c r="BY697" s="34"/>
      <c r="BZ697" s="34"/>
      <c r="CA697" s="34"/>
      <c r="CB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</row>
    <row r="698" ht="15.75" customHeight="1">
      <c r="B698" s="34"/>
      <c r="E698" s="34"/>
      <c r="F698" s="34"/>
      <c r="G698" s="34"/>
      <c r="H698" s="34"/>
      <c r="I698" s="34"/>
      <c r="J698" s="34"/>
      <c r="K698" s="34"/>
      <c r="L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AA698" s="34"/>
      <c r="AB698" s="34"/>
      <c r="AC698" s="34"/>
      <c r="AD698" s="34"/>
      <c r="AE698" s="34"/>
      <c r="AF698" s="34"/>
      <c r="AG698" s="34"/>
      <c r="AH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I698" s="34"/>
      <c r="BJ698" s="34"/>
      <c r="BK698" s="34"/>
      <c r="BL698" s="34"/>
      <c r="BM698" s="34"/>
      <c r="BN698" s="34"/>
      <c r="BO698" s="34"/>
      <c r="BP698" s="34"/>
      <c r="BY698" s="34"/>
      <c r="BZ698" s="34"/>
      <c r="CA698" s="34"/>
      <c r="CB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</row>
    <row r="699" ht="15.75" customHeight="1">
      <c r="B699" s="34"/>
      <c r="E699" s="34"/>
      <c r="F699" s="34"/>
      <c r="G699" s="34"/>
      <c r="H699" s="34"/>
      <c r="I699" s="34"/>
      <c r="J699" s="34"/>
      <c r="K699" s="34"/>
      <c r="L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AA699" s="34"/>
      <c r="AB699" s="34"/>
      <c r="AC699" s="34"/>
      <c r="AD699" s="34"/>
      <c r="AE699" s="34"/>
      <c r="AF699" s="34"/>
      <c r="AG699" s="34"/>
      <c r="AH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I699" s="34"/>
      <c r="BJ699" s="34"/>
      <c r="BK699" s="34"/>
      <c r="BL699" s="34"/>
      <c r="BM699" s="34"/>
      <c r="BN699" s="34"/>
      <c r="BO699" s="34"/>
      <c r="BP699" s="34"/>
      <c r="BY699" s="34"/>
      <c r="BZ699" s="34"/>
      <c r="CA699" s="34"/>
      <c r="CB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</row>
    <row r="700" ht="15.75" customHeight="1">
      <c r="B700" s="34"/>
      <c r="E700" s="34"/>
      <c r="F700" s="34"/>
      <c r="G700" s="34"/>
      <c r="H700" s="34"/>
      <c r="I700" s="34"/>
      <c r="J700" s="34"/>
      <c r="K700" s="34"/>
      <c r="L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AA700" s="34"/>
      <c r="AB700" s="34"/>
      <c r="AC700" s="34"/>
      <c r="AD700" s="34"/>
      <c r="AE700" s="34"/>
      <c r="AF700" s="34"/>
      <c r="AG700" s="34"/>
      <c r="AH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I700" s="34"/>
      <c r="BJ700" s="34"/>
      <c r="BK700" s="34"/>
      <c r="BL700" s="34"/>
      <c r="BM700" s="34"/>
      <c r="BN700" s="34"/>
      <c r="BO700" s="34"/>
      <c r="BP700" s="34"/>
      <c r="BY700" s="34"/>
      <c r="BZ700" s="34"/>
      <c r="CA700" s="34"/>
      <c r="CB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</row>
    <row r="701" ht="15.75" customHeight="1">
      <c r="B701" s="34"/>
      <c r="E701" s="34"/>
      <c r="F701" s="34"/>
      <c r="G701" s="34"/>
      <c r="H701" s="34"/>
      <c r="I701" s="34"/>
      <c r="J701" s="34"/>
      <c r="K701" s="34"/>
      <c r="L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AA701" s="34"/>
      <c r="AB701" s="34"/>
      <c r="AC701" s="34"/>
      <c r="AD701" s="34"/>
      <c r="AE701" s="34"/>
      <c r="AF701" s="34"/>
      <c r="AG701" s="34"/>
      <c r="AH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I701" s="34"/>
      <c r="BJ701" s="34"/>
      <c r="BK701" s="34"/>
      <c r="BL701" s="34"/>
      <c r="BM701" s="34"/>
      <c r="BN701" s="34"/>
      <c r="BO701" s="34"/>
      <c r="BP701" s="34"/>
      <c r="BY701" s="34"/>
      <c r="BZ701" s="34"/>
      <c r="CA701" s="34"/>
      <c r="CB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</row>
    <row r="702" ht="15.75" customHeight="1">
      <c r="B702" s="34"/>
      <c r="E702" s="34"/>
      <c r="F702" s="34"/>
      <c r="G702" s="34"/>
      <c r="H702" s="34"/>
      <c r="I702" s="34"/>
      <c r="J702" s="34"/>
      <c r="K702" s="34"/>
      <c r="L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AA702" s="34"/>
      <c r="AB702" s="34"/>
      <c r="AC702" s="34"/>
      <c r="AD702" s="34"/>
      <c r="AE702" s="34"/>
      <c r="AF702" s="34"/>
      <c r="AG702" s="34"/>
      <c r="AH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I702" s="34"/>
      <c r="BJ702" s="34"/>
      <c r="BK702" s="34"/>
      <c r="BL702" s="34"/>
      <c r="BM702" s="34"/>
      <c r="BN702" s="34"/>
      <c r="BO702" s="34"/>
      <c r="BP702" s="34"/>
      <c r="BY702" s="34"/>
      <c r="BZ702" s="34"/>
      <c r="CA702" s="34"/>
      <c r="CB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</row>
    <row r="703" ht="15.75" customHeight="1">
      <c r="B703" s="34"/>
      <c r="E703" s="34"/>
      <c r="F703" s="34"/>
      <c r="G703" s="34"/>
      <c r="H703" s="34"/>
      <c r="I703" s="34"/>
      <c r="J703" s="34"/>
      <c r="K703" s="34"/>
      <c r="L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AA703" s="34"/>
      <c r="AB703" s="34"/>
      <c r="AC703" s="34"/>
      <c r="AD703" s="34"/>
      <c r="AE703" s="34"/>
      <c r="AF703" s="34"/>
      <c r="AG703" s="34"/>
      <c r="AH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I703" s="34"/>
      <c r="BJ703" s="34"/>
      <c r="BK703" s="34"/>
      <c r="BL703" s="34"/>
      <c r="BM703" s="34"/>
      <c r="BN703" s="34"/>
      <c r="BO703" s="34"/>
      <c r="BP703" s="34"/>
      <c r="BY703" s="34"/>
      <c r="BZ703" s="34"/>
      <c r="CA703" s="34"/>
      <c r="CB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</row>
    <row r="704" ht="15.75" customHeight="1">
      <c r="B704" s="34"/>
      <c r="E704" s="34"/>
      <c r="F704" s="34"/>
      <c r="G704" s="34"/>
      <c r="H704" s="34"/>
      <c r="I704" s="34"/>
      <c r="J704" s="34"/>
      <c r="K704" s="34"/>
      <c r="L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AA704" s="34"/>
      <c r="AB704" s="34"/>
      <c r="AC704" s="34"/>
      <c r="AD704" s="34"/>
      <c r="AE704" s="34"/>
      <c r="AF704" s="34"/>
      <c r="AG704" s="34"/>
      <c r="AH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I704" s="34"/>
      <c r="BJ704" s="34"/>
      <c r="BK704" s="34"/>
      <c r="BL704" s="34"/>
      <c r="BM704" s="34"/>
      <c r="BN704" s="34"/>
      <c r="BO704" s="34"/>
      <c r="BP704" s="34"/>
      <c r="BY704" s="34"/>
      <c r="BZ704" s="34"/>
      <c r="CA704" s="34"/>
      <c r="CB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</row>
    <row r="705" ht="15.75" customHeight="1">
      <c r="B705" s="34"/>
      <c r="E705" s="34"/>
      <c r="F705" s="34"/>
      <c r="G705" s="34"/>
      <c r="H705" s="34"/>
      <c r="I705" s="34"/>
      <c r="J705" s="34"/>
      <c r="K705" s="34"/>
      <c r="L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AA705" s="34"/>
      <c r="AB705" s="34"/>
      <c r="AC705" s="34"/>
      <c r="AD705" s="34"/>
      <c r="AE705" s="34"/>
      <c r="AF705" s="34"/>
      <c r="AG705" s="34"/>
      <c r="AH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I705" s="34"/>
      <c r="BJ705" s="34"/>
      <c r="BK705" s="34"/>
      <c r="BL705" s="34"/>
      <c r="BM705" s="34"/>
      <c r="BN705" s="34"/>
      <c r="BO705" s="34"/>
      <c r="BP705" s="34"/>
      <c r="BY705" s="34"/>
      <c r="BZ705" s="34"/>
      <c r="CA705" s="34"/>
      <c r="CB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</row>
    <row r="706" ht="15.75" customHeight="1">
      <c r="B706" s="34"/>
      <c r="E706" s="34"/>
      <c r="F706" s="34"/>
      <c r="G706" s="34"/>
      <c r="H706" s="34"/>
      <c r="I706" s="34"/>
      <c r="J706" s="34"/>
      <c r="K706" s="34"/>
      <c r="L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AA706" s="34"/>
      <c r="AB706" s="34"/>
      <c r="AC706" s="34"/>
      <c r="AD706" s="34"/>
      <c r="AE706" s="34"/>
      <c r="AF706" s="34"/>
      <c r="AG706" s="34"/>
      <c r="AH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I706" s="34"/>
      <c r="BJ706" s="34"/>
      <c r="BK706" s="34"/>
      <c r="BL706" s="34"/>
      <c r="BM706" s="34"/>
      <c r="BN706" s="34"/>
      <c r="BO706" s="34"/>
      <c r="BP706" s="34"/>
      <c r="BY706" s="34"/>
      <c r="BZ706" s="34"/>
      <c r="CA706" s="34"/>
      <c r="CB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</row>
    <row r="707" ht="15.75" customHeight="1">
      <c r="B707" s="34"/>
      <c r="E707" s="34"/>
      <c r="F707" s="34"/>
      <c r="G707" s="34"/>
      <c r="H707" s="34"/>
      <c r="I707" s="34"/>
      <c r="J707" s="34"/>
      <c r="K707" s="34"/>
      <c r="L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AA707" s="34"/>
      <c r="AB707" s="34"/>
      <c r="AC707" s="34"/>
      <c r="AD707" s="34"/>
      <c r="AE707" s="34"/>
      <c r="AF707" s="34"/>
      <c r="AG707" s="34"/>
      <c r="AH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I707" s="34"/>
      <c r="BJ707" s="34"/>
      <c r="BK707" s="34"/>
      <c r="BL707" s="34"/>
      <c r="BM707" s="34"/>
      <c r="BN707" s="34"/>
      <c r="BO707" s="34"/>
      <c r="BP707" s="34"/>
      <c r="BY707" s="34"/>
      <c r="BZ707" s="34"/>
      <c r="CA707" s="34"/>
      <c r="CB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</row>
    <row r="708" ht="15.75" customHeight="1">
      <c r="B708" s="34"/>
      <c r="E708" s="34"/>
      <c r="F708" s="34"/>
      <c r="G708" s="34"/>
      <c r="H708" s="34"/>
      <c r="I708" s="34"/>
      <c r="J708" s="34"/>
      <c r="K708" s="34"/>
      <c r="L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AA708" s="34"/>
      <c r="AB708" s="34"/>
      <c r="AC708" s="34"/>
      <c r="AD708" s="34"/>
      <c r="AE708" s="34"/>
      <c r="AF708" s="34"/>
      <c r="AG708" s="34"/>
      <c r="AH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I708" s="34"/>
      <c r="BJ708" s="34"/>
      <c r="BK708" s="34"/>
      <c r="BL708" s="34"/>
      <c r="BM708" s="34"/>
      <c r="BN708" s="34"/>
      <c r="BO708" s="34"/>
      <c r="BP708" s="34"/>
      <c r="BY708" s="34"/>
      <c r="BZ708" s="34"/>
      <c r="CA708" s="34"/>
      <c r="CB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</row>
    <row r="709" ht="15.75" customHeight="1">
      <c r="B709" s="34"/>
      <c r="E709" s="34"/>
      <c r="F709" s="34"/>
      <c r="G709" s="34"/>
      <c r="H709" s="34"/>
      <c r="I709" s="34"/>
      <c r="J709" s="34"/>
      <c r="K709" s="34"/>
      <c r="L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AA709" s="34"/>
      <c r="AB709" s="34"/>
      <c r="AC709" s="34"/>
      <c r="AD709" s="34"/>
      <c r="AE709" s="34"/>
      <c r="AF709" s="34"/>
      <c r="AG709" s="34"/>
      <c r="AH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I709" s="34"/>
      <c r="BJ709" s="34"/>
      <c r="BK709" s="34"/>
      <c r="BL709" s="34"/>
      <c r="BM709" s="34"/>
      <c r="BN709" s="34"/>
      <c r="BO709" s="34"/>
      <c r="BP709" s="34"/>
      <c r="BY709" s="34"/>
      <c r="BZ709" s="34"/>
      <c r="CA709" s="34"/>
      <c r="CB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</row>
    <row r="710" ht="15.75" customHeight="1">
      <c r="B710" s="34"/>
      <c r="E710" s="34"/>
      <c r="F710" s="34"/>
      <c r="G710" s="34"/>
      <c r="H710" s="34"/>
      <c r="I710" s="34"/>
      <c r="J710" s="34"/>
      <c r="K710" s="34"/>
      <c r="L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AA710" s="34"/>
      <c r="AB710" s="34"/>
      <c r="AC710" s="34"/>
      <c r="AD710" s="34"/>
      <c r="AE710" s="34"/>
      <c r="AF710" s="34"/>
      <c r="AG710" s="34"/>
      <c r="AH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I710" s="34"/>
      <c r="BJ710" s="34"/>
      <c r="BK710" s="34"/>
      <c r="BL710" s="34"/>
      <c r="BM710" s="34"/>
      <c r="BN710" s="34"/>
      <c r="BO710" s="34"/>
      <c r="BP710" s="34"/>
      <c r="BY710" s="34"/>
      <c r="BZ710" s="34"/>
      <c r="CA710" s="34"/>
      <c r="CB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</row>
    <row r="711" ht="15.75" customHeight="1">
      <c r="B711" s="34"/>
      <c r="E711" s="34"/>
      <c r="F711" s="34"/>
      <c r="G711" s="34"/>
      <c r="H711" s="34"/>
      <c r="I711" s="34"/>
      <c r="J711" s="34"/>
      <c r="K711" s="34"/>
      <c r="L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AA711" s="34"/>
      <c r="AB711" s="34"/>
      <c r="AC711" s="34"/>
      <c r="AD711" s="34"/>
      <c r="AE711" s="34"/>
      <c r="AF711" s="34"/>
      <c r="AG711" s="34"/>
      <c r="AH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I711" s="34"/>
      <c r="BJ711" s="34"/>
      <c r="BK711" s="34"/>
      <c r="BL711" s="34"/>
      <c r="BM711" s="34"/>
      <c r="BN711" s="34"/>
      <c r="BO711" s="34"/>
      <c r="BP711" s="34"/>
      <c r="BY711" s="34"/>
      <c r="BZ711" s="34"/>
      <c r="CA711" s="34"/>
      <c r="CB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</row>
    <row r="712" ht="15.75" customHeight="1">
      <c r="B712" s="34"/>
      <c r="E712" s="34"/>
      <c r="F712" s="34"/>
      <c r="G712" s="34"/>
      <c r="H712" s="34"/>
      <c r="I712" s="34"/>
      <c r="J712" s="34"/>
      <c r="K712" s="34"/>
      <c r="L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AA712" s="34"/>
      <c r="AB712" s="34"/>
      <c r="AC712" s="34"/>
      <c r="AD712" s="34"/>
      <c r="AE712" s="34"/>
      <c r="AF712" s="34"/>
      <c r="AG712" s="34"/>
      <c r="AH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I712" s="34"/>
      <c r="BJ712" s="34"/>
      <c r="BK712" s="34"/>
      <c r="BL712" s="34"/>
      <c r="BM712" s="34"/>
      <c r="BN712" s="34"/>
      <c r="BO712" s="34"/>
      <c r="BP712" s="34"/>
      <c r="BY712" s="34"/>
      <c r="BZ712" s="34"/>
      <c r="CA712" s="34"/>
      <c r="CB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</row>
    <row r="713" ht="15.75" customHeight="1">
      <c r="B713" s="34"/>
      <c r="E713" s="34"/>
      <c r="F713" s="34"/>
      <c r="G713" s="34"/>
      <c r="H713" s="34"/>
      <c r="I713" s="34"/>
      <c r="J713" s="34"/>
      <c r="K713" s="34"/>
      <c r="L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AA713" s="34"/>
      <c r="AB713" s="34"/>
      <c r="AC713" s="34"/>
      <c r="AD713" s="34"/>
      <c r="AE713" s="34"/>
      <c r="AF713" s="34"/>
      <c r="AG713" s="34"/>
      <c r="AH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I713" s="34"/>
      <c r="BJ713" s="34"/>
      <c r="BK713" s="34"/>
      <c r="BL713" s="34"/>
      <c r="BM713" s="34"/>
      <c r="BN713" s="34"/>
      <c r="BO713" s="34"/>
      <c r="BP713" s="34"/>
      <c r="BY713" s="34"/>
      <c r="BZ713" s="34"/>
      <c r="CA713" s="34"/>
      <c r="CB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</row>
    <row r="714" ht="15.75" customHeight="1">
      <c r="B714" s="34"/>
      <c r="E714" s="34"/>
      <c r="F714" s="34"/>
      <c r="G714" s="34"/>
      <c r="H714" s="34"/>
      <c r="I714" s="34"/>
      <c r="J714" s="34"/>
      <c r="K714" s="34"/>
      <c r="L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AA714" s="34"/>
      <c r="AB714" s="34"/>
      <c r="AC714" s="34"/>
      <c r="AD714" s="34"/>
      <c r="AE714" s="34"/>
      <c r="AF714" s="34"/>
      <c r="AG714" s="34"/>
      <c r="AH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I714" s="34"/>
      <c r="BJ714" s="34"/>
      <c r="BK714" s="34"/>
      <c r="BL714" s="34"/>
      <c r="BM714" s="34"/>
      <c r="BN714" s="34"/>
      <c r="BO714" s="34"/>
      <c r="BP714" s="34"/>
      <c r="BY714" s="34"/>
      <c r="BZ714" s="34"/>
      <c r="CA714" s="34"/>
      <c r="CB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</row>
    <row r="715" ht="15.75" customHeight="1">
      <c r="B715" s="34"/>
      <c r="E715" s="34"/>
      <c r="F715" s="34"/>
      <c r="G715" s="34"/>
      <c r="H715" s="34"/>
      <c r="I715" s="34"/>
      <c r="J715" s="34"/>
      <c r="K715" s="34"/>
      <c r="L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AA715" s="34"/>
      <c r="AB715" s="34"/>
      <c r="AC715" s="34"/>
      <c r="AD715" s="34"/>
      <c r="AE715" s="34"/>
      <c r="AF715" s="34"/>
      <c r="AG715" s="34"/>
      <c r="AH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I715" s="34"/>
      <c r="BJ715" s="34"/>
      <c r="BK715" s="34"/>
      <c r="BL715" s="34"/>
      <c r="BM715" s="34"/>
      <c r="BN715" s="34"/>
      <c r="BO715" s="34"/>
      <c r="BP715" s="34"/>
      <c r="BY715" s="34"/>
      <c r="BZ715" s="34"/>
      <c r="CA715" s="34"/>
      <c r="CB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</row>
    <row r="716" ht="15.75" customHeight="1">
      <c r="B716" s="34"/>
      <c r="E716" s="34"/>
      <c r="F716" s="34"/>
      <c r="G716" s="34"/>
      <c r="H716" s="34"/>
      <c r="I716" s="34"/>
      <c r="J716" s="34"/>
      <c r="K716" s="34"/>
      <c r="L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AA716" s="34"/>
      <c r="AB716" s="34"/>
      <c r="AC716" s="34"/>
      <c r="AD716" s="34"/>
      <c r="AE716" s="34"/>
      <c r="AF716" s="34"/>
      <c r="AG716" s="34"/>
      <c r="AH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I716" s="34"/>
      <c r="BJ716" s="34"/>
      <c r="BK716" s="34"/>
      <c r="BL716" s="34"/>
      <c r="BM716" s="34"/>
      <c r="BN716" s="34"/>
      <c r="BO716" s="34"/>
      <c r="BP716" s="34"/>
      <c r="BY716" s="34"/>
      <c r="BZ716" s="34"/>
      <c r="CA716" s="34"/>
      <c r="CB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</row>
    <row r="717" ht="15.75" customHeight="1">
      <c r="B717" s="34"/>
      <c r="E717" s="34"/>
      <c r="F717" s="34"/>
      <c r="G717" s="34"/>
      <c r="H717" s="34"/>
      <c r="I717" s="34"/>
      <c r="J717" s="34"/>
      <c r="K717" s="34"/>
      <c r="L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AA717" s="34"/>
      <c r="AB717" s="34"/>
      <c r="AC717" s="34"/>
      <c r="AD717" s="34"/>
      <c r="AE717" s="34"/>
      <c r="AF717" s="34"/>
      <c r="AG717" s="34"/>
      <c r="AH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I717" s="34"/>
      <c r="BJ717" s="34"/>
      <c r="BK717" s="34"/>
      <c r="BL717" s="34"/>
      <c r="BM717" s="34"/>
      <c r="BN717" s="34"/>
      <c r="BO717" s="34"/>
      <c r="BP717" s="34"/>
      <c r="BY717" s="34"/>
      <c r="BZ717" s="34"/>
      <c r="CA717" s="34"/>
      <c r="CB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</row>
    <row r="718" ht="15.75" customHeight="1">
      <c r="B718" s="34"/>
      <c r="E718" s="34"/>
      <c r="F718" s="34"/>
      <c r="G718" s="34"/>
      <c r="H718" s="34"/>
      <c r="I718" s="34"/>
      <c r="J718" s="34"/>
      <c r="K718" s="34"/>
      <c r="L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AA718" s="34"/>
      <c r="AB718" s="34"/>
      <c r="AC718" s="34"/>
      <c r="AD718" s="34"/>
      <c r="AE718" s="34"/>
      <c r="AF718" s="34"/>
      <c r="AG718" s="34"/>
      <c r="AH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I718" s="34"/>
      <c r="BJ718" s="34"/>
      <c r="BK718" s="34"/>
      <c r="BL718" s="34"/>
      <c r="BM718" s="34"/>
      <c r="BN718" s="34"/>
      <c r="BO718" s="34"/>
      <c r="BP718" s="34"/>
      <c r="BY718" s="34"/>
      <c r="BZ718" s="34"/>
      <c r="CA718" s="34"/>
      <c r="CB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</row>
    <row r="719" ht="15.75" customHeight="1">
      <c r="B719" s="34"/>
      <c r="E719" s="34"/>
      <c r="F719" s="34"/>
      <c r="G719" s="34"/>
      <c r="H719" s="34"/>
      <c r="I719" s="34"/>
      <c r="J719" s="34"/>
      <c r="K719" s="34"/>
      <c r="L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AA719" s="34"/>
      <c r="AB719" s="34"/>
      <c r="AC719" s="34"/>
      <c r="AD719" s="34"/>
      <c r="AE719" s="34"/>
      <c r="AF719" s="34"/>
      <c r="AG719" s="34"/>
      <c r="AH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I719" s="34"/>
      <c r="BJ719" s="34"/>
      <c r="BK719" s="34"/>
      <c r="BL719" s="34"/>
      <c r="BM719" s="34"/>
      <c r="BN719" s="34"/>
      <c r="BO719" s="34"/>
      <c r="BP719" s="34"/>
      <c r="BY719" s="34"/>
      <c r="BZ719" s="34"/>
      <c r="CA719" s="34"/>
      <c r="CB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</row>
    <row r="720" ht="15.75" customHeight="1">
      <c r="B720" s="34"/>
      <c r="E720" s="34"/>
      <c r="F720" s="34"/>
      <c r="G720" s="34"/>
      <c r="H720" s="34"/>
      <c r="I720" s="34"/>
      <c r="J720" s="34"/>
      <c r="K720" s="34"/>
      <c r="L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AA720" s="34"/>
      <c r="AB720" s="34"/>
      <c r="AC720" s="34"/>
      <c r="AD720" s="34"/>
      <c r="AE720" s="34"/>
      <c r="AF720" s="34"/>
      <c r="AG720" s="34"/>
      <c r="AH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I720" s="34"/>
      <c r="BJ720" s="34"/>
      <c r="BK720" s="34"/>
      <c r="BL720" s="34"/>
      <c r="BM720" s="34"/>
      <c r="BN720" s="34"/>
      <c r="BO720" s="34"/>
      <c r="BP720" s="34"/>
      <c r="BY720" s="34"/>
      <c r="BZ720" s="34"/>
      <c r="CA720" s="34"/>
      <c r="CB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</row>
    <row r="721" ht="15.75" customHeight="1">
      <c r="B721" s="34"/>
      <c r="E721" s="34"/>
      <c r="F721" s="34"/>
      <c r="G721" s="34"/>
      <c r="H721" s="34"/>
      <c r="I721" s="34"/>
      <c r="J721" s="34"/>
      <c r="K721" s="34"/>
      <c r="L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AA721" s="34"/>
      <c r="AB721" s="34"/>
      <c r="AC721" s="34"/>
      <c r="AD721" s="34"/>
      <c r="AE721" s="34"/>
      <c r="AF721" s="34"/>
      <c r="AG721" s="34"/>
      <c r="AH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I721" s="34"/>
      <c r="BJ721" s="34"/>
      <c r="BK721" s="34"/>
      <c r="BL721" s="34"/>
      <c r="BM721" s="34"/>
      <c r="BN721" s="34"/>
      <c r="BO721" s="34"/>
      <c r="BP721" s="34"/>
      <c r="BY721" s="34"/>
      <c r="BZ721" s="34"/>
      <c r="CA721" s="34"/>
      <c r="CB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</row>
    <row r="722" ht="15.75" customHeight="1">
      <c r="B722" s="34"/>
      <c r="E722" s="34"/>
      <c r="F722" s="34"/>
      <c r="G722" s="34"/>
      <c r="H722" s="34"/>
      <c r="I722" s="34"/>
      <c r="J722" s="34"/>
      <c r="K722" s="34"/>
      <c r="L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AA722" s="34"/>
      <c r="AB722" s="34"/>
      <c r="AC722" s="34"/>
      <c r="AD722" s="34"/>
      <c r="AE722" s="34"/>
      <c r="AF722" s="34"/>
      <c r="AG722" s="34"/>
      <c r="AH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I722" s="34"/>
      <c r="BJ722" s="34"/>
      <c r="BK722" s="34"/>
      <c r="BL722" s="34"/>
      <c r="BM722" s="34"/>
      <c r="BN722" s="34"/>
      <c r="BO722" s="34"/>
      <c r="BP722" s="34"/>
      <c r="BY722" s="34"/>
      <c r="BZ722" s="34"/>
      <c r="CA722" s="34"/>
      <c r="CB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</row>
    <row r="723" ht="15.75" customHeight="1">
      <c r="B723" s="34"/>
      <c r="E723" s="34"/>
      <c r="F723" s="34"/>
      <c r="G723" s="34"/>
      <c r="H723" s="34"/>
      <c r="I723" s="34"/>
      <c r="J723" s="34"/>
      <c r="K723" s="34"/>
      <c r="L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AA723" s="34"/>
      <c r="AB723" s="34"/>
      <c r="AC723" s="34"/>
      <c r="AD723" s="34"/>
      <c r="AE723" s="34"/>
      <c r="AF723" s="34"/>
      <c r="AG723" s="34"/>
      <c r="AH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I723" s="34"/>
      <c r="BJ723" s="34"/>
      <c r="BK723" s="34"/>
      <c r="BL723" s="34"/>
      <c r="BM723" s="34"/>
      <c r="BN723" s="34"/>
      <c r="BO723" s="34"/>
      <c r="BP723" s="34"/>
      <c r="BY723" s="34"/>
      <c r="BZ723" s="34"/>
      <c r="CA723" s="34"/>
      <c r="CB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</row>
    <row r="724" ht="15.75" customHeight="1">
      <c r="B724" s="34"/>
      <c r="E724" s="34"/>
      <c r="F724" s="34"/>
      <c r="G724" s="34"/>
      <c r="H724" s="34"/>
      <c r="I724" s="34"/>
      <c r="J724" s="34"/>
      <c r="K724" s="34"/>
      <c r="L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AA724" s="34"/>
      <c r="AB724" s="34"/>
      <c r="AC724" s="34"/>
      <c r="AD724" s="34"/>
      <c r="AE724" s="34"/>
      <c r="AF724" s="34"/>
      <c r="AG724" s="34"/>
      <c r="AH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I724" s="34"/>
      <c r="BJ724" s="34"/>
      <c r="BK724" s="34"/>
      <c r="BL724" s="34"/>
      <c r="BM724" s="34"/>
      <c r="BN724" s="34"/>
      <c r="BO724" s="34"/>
      <c r="BP724" s="34"/>
      <c r="BY724" s="34"/>
      <c r="BZ724" s="34"/>
      <c r="CA724" s="34"/>
      <c r="CB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</row>
    <row r="725" ht="15.75" customHeight="1">
      <c r="B725" s="34"/>
      <c r="E725" s="34"/>
      <c r="F725" s="34"/>
      <c r="G725" s="34"/>
      <c r="H725" s="34"/>
      <c r="I725" s="34"/>
      <c r="J725" s="34"/>
      <c r="K725" s="34"/>
      <c r="L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AA725" s="34"/>
      <c r="AB725" s="34"/>
      <c r="AC725" s="34"/>
      <c r="AD725" s="34"/>
      <c r="AE725" s="34"/>
      <c r="AF725" s="34"/>
      <c r="AG725" s="34"/>
      <c r="AH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I725" s="34"/>
      <c r="BJ725" s="34"/>
      <c r="BK725" s="34"/>
      <c r="BL725" s="34"/>
      <c r="BM725" s="34"/>
      <c r="BN725" s="34"/>
      <c r="BO725" s="34"/>
      <c r="BP725" s="34"/>
      <c r="BY725" s="34"/>
      <c r="BZ725" s="34"/>
      <c r="CA725" s="34"/>
      <c r="CB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</row>
    <row r="726" ht="15.75" customHeight="1">
      <c r="B726" s="34"/>
      <c r="E726" s="34"/>
      <c r="F726" s="34"/>
      <c r="G726" s="34"/>
      <c r="H726" s="34"/>
      <c r="I726" s="34"/>
      <c r="J726" s="34"/>
      <c r="K726" s="34"/>
      <c r="L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AA726" s="34"/>
      <c r="AB726" s="34"/>
      <c r="AC726" s="34"/>
      <c r="AD726" s="34"/>
      <c r="AE726" s="34"/>
      <c r="AF726" s="34"/>
      <c r="AG726" s="34"/>
      <c r="AH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I726" s="34"/>
      <c r="BJ726" s="34"/>
      <c r="BK726" s="34"/>
      <c r="BL726" s="34"/>
      <c r="BM726" s="34"/>
      <c r="BN726" s="34"/>
      <c r="BO726" s="34"/>
      <c r="BP726" s="34"/>
      <c r="BY726" s="34"/>
      <c r="BZ726" s="34"/>
      <c r="CA726" s="34"/>
      <c r="CB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</row>
    <row r="727" ht="15.75" customHeight="1">
      <c r="B727" s="34"/>
      <c r="E727" s="34"/>
      <c r="F727" s="34"/>
      <c r="G727" s="34"/>
      <c r="H727" s="34"/>
      <c r="I727" s="34"/>
      <c r="J727" s="34"/>
      <c r="K727" s="34"/>
      <c r="L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AA727" s="34"/>
      <c r="AB727" s="34"/>
      <c r="AC727" s="34"/>
      <c r="AD727" s="34"/>
      <c r="AE727" s="34"/>
      <c r="AF727" s="34"/>
      <c r="AG727" s="34"/>
      <c r="AH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I727" s="34"/>
      <c r="BJ727" s="34"/>
      <c r="BK727" s="34"/>
      <c r="BL727" s="34"/>
      <c r="BM727" s="34"/>
      <c r="BN727" s="34"/>
      <c r="BO727" s="34"/>
      <c r="BP727" s="34"/>
      <c r="BY727" s="34"/>
      <c r="BZ727" s="34"/>
      <c r="CA727" s="34"/>
      <c r="CB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</row>
    <row r="728" ht="15.75" customHeight="1">
      <c r="B728" s="34"/>
      <c r="E728" s="34"/>
      <c r="F728" s="34"/>
      <c r="G728" s="34"/>
      <c r="H728" s="34"/>
      <c r="I728" s="34"/>
      <c r="J728" s="34"/>
      <c r="K728" s="34"/>
      <c r="L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AA728" s="34"/>
      <c r="AB728" s="34"/>
      <c r="AC728" s="34"/>
      <c r="AD728" s="34"/>
      <c r="AE728" s="34"/>
      <c r="AF728" s="34"/>
      <c r="AG728" s="34"/>
      <c r="AH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I728" s="34"/>
      <c r="BJ728" s="34"/>
      <c r="BK728" s="34"/>
      <c r="BL728" s="34"/>
      <c r="BM728" s="34"/>
      <c r="BN728" s="34"/>
      <c r="BO728" s="34"/>
      <c r="BP728" s="34"/>
      <c r="BY728" s="34"/>
      <c r="BZ728" s="34"/>
      <c r="CA728" s="34"/>
      <c r="CB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</row>
    <row r="729" ht="15.75" customHeight="1">
      <c r="B729" s="34"/>
      <c r="E729" s="34"/>
      <c r="F729" s="34"/>
      <c r="G729" s="34"/>
      <c r="H729" s="34"/>
      <c r="I729" s="34"/>
      <c r="J729" s="34"/>
      <c r="K729" s="34"/>
      <c r="L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AA729" s="34"/>
      <c r="AB729" s="34"/>
      <c r="AC729" s="34"/>
      <c r="AD729" s="34"/>
      <c r="AE729" s="34"/>
      <c r="AF729" s="34"/>
      <c r="AG729" s="34"/>
      <c r="AH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I729" s="34"/>
      <c r="BJ729" s="34"/>
      <c r="BK729" s="34"/>
      <c r="BL729" s="34"/>
      <c r="BM729" s="34"/>
      <c r="BN729" s="34"/>
      <c r="BO729" s="34"/>
      <c r="BP729" s="34"/>
      <c r="BY729" s="34"/>
      <c r="BZ729" s="34"/>
      <c r="CA729" s="34"/>
      <c r="CB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</row>
    <row r="730" ht="15.75" customHeight="1">
      <c r="B730" s="34"/>
      <c r="E730" s="34"/>
      <c r="F730" s="34"/>
      <c r="G730" s="34"/>
      <c r="H730" s="34"/>
      <c r="I730" s="34"/>
      <c r="J730" s="34"/>
      <c r="K730" s="34"/>
      <c r="L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AA730" s="34"/>
      <c r="AB730" s="34"/>
      <c r="AC730" s="34"/>
      <c r="AD730" s="34"/>
      <c r="AE730" s="34"/>
      <c r="AF730" s="34"/>
      <c r="AG730" s="34"/>
      <c r="AH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I730" s="34"/>
      <c r="BJ730" s="34"/>
      <c r="BK730" s="34"/>
      <c r="BL730" s="34"/>
      <c r="BM730" s="34"/>
      <c r="BN730" s="34"/>
      <c r="BO730" s="34"/>
      <c r="BP730" s="34"/>
      <c r="BY730" s="34"/>
      <c r="BZ730" s="34"/>
      <c r="CA730" s="34"/>
      <c r="CB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</row>
    <row r="731" ht="15.75" customHeight="1">
      <c r="B731" s="34"/>
      <c r="E731" s="34"/>
      <c r="F731" s="34"/>
      <c r="G731" s="34"/>
      <c r="H731" s="34"/>
      <c r="I731" s="34"/>
      <c r="J731" s="34"/>
      <c r="K731" s="34"/>
      <c r="L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AA731" s="34"/>
      <c r="AB731" s="34"/>
      <c r="AC731" s="34"/>
      <c r="AD731" s="34"/>
      <c r="AE731" s="34"/>
      <c r="AF731" s="34"/>
      <c r="AG731" s="34"/>
      <c r="AH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I731" s="34"/>
      <c r="BJ731" s="34"/>
      <c r="BK731" s="34"/>
      <c r="BL731" s="34"/>
      <c r="BM731" s="34"/>
      <c r="BN731" s="34"/>
      <c r="BO731" s="34"/>
      <c r="BP731" s="34"/>
      <c r="BY731" s="34"/>
      <c r="BZ731" s="34"/>
      <c r="CA731" s="34"/>
      <c r="CB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</row>
    <row r="732" ht="15.75" customHeight="1">
      <c r="B732" s="34"/>
      <c r="E732" s="34"/>
      <c r="F732" s="34"/>
      <c r="G732" s="34"/>
      <c r="H732" s="34"/>
      <c r="I732" s="34"/>
      <c r="J732" s="34"/>
      <c r="K732" s="34"/>
      <c r="L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AA732" s="34"/>
      <c r="AB732" s="34"/>
      <c r="AC732" s="34"/>
      <c r="AD732" s="34"/>
      <c r="AE732" s="34"/>
      <c r="AF732" s="34"/>
      <c r="AG732" s="34"/>
      <c r="AH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I732" s="34"/>
      <c r="BJ732" s="34"/>
      <c r="BK732" s="34"/>
      <c r="BL732" s="34"/>
      <c r="BM732" s="34"/>
      <c r="BN732" s="34"/>
      <c r="BO732" s="34"/>
      <c r="BP732" s="34"/>
      <c r="BY732" s="34"/>
      <c r="BZ732" s="34"/>
      <c r="CA732" s="34"/>
      <c r="CB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</row>
    <row r="733" ht="15.75" customHeight="1">
      <c r="B733" s="34"/>
      <c r="E733" s="34"/>
      <c r="F733" s="34"/>
      <c r="G733" s="34"/>
      <c r="H733" s="34"/>
      <c r="I733" s="34"/>
      <c r="J733" s="34"/>
      <c r="K733" s="34"/>
      <c r="L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AA733" s="34"/>
      <c r="AB733" s="34"/>
      <c r="AC733" s="34"/>
      <c r="AD733" s="34"/>
      <c r="AE733" s="34"/>
      <c r="AF733" s="34"/>
      <c r="AG733" s="34"/>
      <c r="AH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I733" s="34"/>
      <c r="BJ733" s="34"/>
      <c r="BK733" s="34"/>
      <c r="BL733" s="34"/>
      <c r="BM733" s="34"/>
      <c r="BN733" s="34"/>
      <c r="BO733" s="34"/>
      <c r="BP733" s="34"/>
      <c r="BY733" s="34"/>
      <c r="BZ733" s="34"/>
      <c r="CA733" s="34"/>
      <c r="CB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</row>
    <row r="734" ht="15.75" customHeight="1">
      <c r="B734" s="34"/>
      <c r="E734" s="34"/>
      <c r="F734" s="34"/>
      <c r="G734" s="34"/>
      <c r="H734" s="34"/>
      <c r="I734" s="34"/>
      <c r="J734" s="34"/>
      <c r="K734" s="34"/>
      <c r="L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AA734" s="34"/>
      <c r="AB734" s="34"/>
      <c r="AC734" s="34"/>
      <c r="AD734" s="34"/>
      <c r="AE734" s="34"/>
      <c r="AF734" s="34"/>
      <c r="AG734" s="34"/>
      <c r="AH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I734" s="34"/>
      <c r="BJ734" s="34"/>
      <c r="BK734" s="34"/>
      <c r="BL734" s="34"/>
      <c r="BM734" s="34"/>
      <c r="BN734" s="34"/>
      <c r="BO734" s="34"/>
      <c r="BP734" s="34"/>
      <c r="BY734" s="34"/>
      <c r="BZ734" s="34"/>
      <c r="CA734" s="34"/>
      <c r="CB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</row>
    <row r="735" ht="15.75" customHeight="1">
      <c r="B735" s="34"/>
      <c r="E735" s="34"/>
      <c r="F735" s="34"/>
      <c r="G735" s="34"/>
      <c r="H735" s="34"/>
      <c r="I735" s="34"/>
      <c r="J735" s="34"/>
      <c r="K735" s="34"/>
      <c r="L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AA735" s="34"/>
      <c r="AB735" s="34"/>
      <c r="AC735" s="34"/>
      <c r="AD735" s="34"/>
      <c r="AE735" s="34"/>
      <c r="AF735" s="34"/>
      <c r="AG735" s="34"/>
      <c r="AH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I735" s="34"/>
      <c r="BJ735" s="34"/>
      <c r="BK735" s="34"/>
      <c r="BL735" s="34"/>
      <c r="BM735" s="34"/>
      <c r="BN735" s="34"/>
      <c r="BO735" s="34"/>
      <c r="BP735" s="34"/>
      <c r="BY735" s="34"/>
      <c r="BZ735" s="34"/>
      <c r="CA735" s="34"/>
      <c r="CB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</row>
    <row r="736" ht="15.75" customHeight="1">
      <c r="B736" s="34"/>
      <c r="E736" s="34"/>
      <c r="F736" s="34"/>
      <c r="G736" s="34"/>
      <c r="H736" s="34"/>
      <c r="I736" s="34"/>
      <c r="J736" s="34"/>
      <c r="K736" s="34"/>
      <c r="L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AA736" s="34"/>
      <c r="AB736" s="34"/>
      <c r="AC736" s="34"/>
      <c r="AD736" s="34"/>
      <c r="AE736" s="34"/>
      <c r="AF736" s="34"/>
      <c r="AG736" s="34"/>
      <c r="AH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I736" s="34"/>
      <c r="BJ736" s="34"/>
      <c r="BK736" s="34"/>
      <c r="BL736" s="34"/>
      <c r="BM736" s="34"/>
      <c r="BN736" s="34"/>
      <c r="BO736" s="34"/>
      <c r="BP736" s="34"/>
      <c r="BY736" s="34"/>
      <c r="BZ736" s="34"/>
      <c r="CA736" s="34"/>
      <c r="CB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</row>
    <row r="737" ht="15.75" customHeight="1">
      <c r="B737" s="34"/>
      <c r="E737" s="34"/>
      <c r="F737" s="34"/>
      <c r="G737" s="34"/>
      <c r="H737" s="34"/>
      <c r="I737" s="34"/>
      <c r="J737" s="34"/>
      <c r="K737" s="34"/>
      <c r="L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AA737" s="34"/>
      <c r="AB737" s="34"/>
      <c r="AC737" s="34"/>
      <c r="AD737" s="34"/>
      <c r="AE737" s="34"/>
      <c r="AF737" s="34"/>
      <c r="AG737" s="34"/>
      <c r="AH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I737" s="34"/>
      <c r="BJ737" s="34"/>
      <c r="BK737" s="34"/>
      <c r="BL737" s="34"/>
      <c r="BM737" s="34"/>
      <c r="BN737" s="34"/>
      <c r="BO737" s="34"/>
      <c r="BP737" s="34"/>
      <c r="BY737" s="34"/>
      <c r="BZ737" s="34"/>
      <c r="CA737" s="34"/>
      <c r="CB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</row>
    <row r="738" ht="15.75" customHeight="1">
      <c r="B738" s="34"/>
      <c r="E738" s="34"/>
      <c r="F738" s="34"/>
      <c r="G738" s="34"/>
      <c r="H738" s="34"/>
      <c r="I738" s="34"/>
      <c r="J738" s="34"/>
      <c r="K738" s="34"/>
      <c r="L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AA738" s="34"/>
      <c r="AB738" s="34"/>
      <c r="AC738" s="34"/>
      <c r="AD738" s="34"/>
      <c r="AE738" s="34"/>
      <c r="AF738" s="34"/>
      <c r="AG738" s="34"/>
      <c r="AH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I738" s="34"/>
      <c r="BJ738" s="34"/>
      <c r="BK738" s="34"/>
      <c r="BL738" s="34"/>
      <c r="BM738" s="34"/>
      <c r="BN738" s="34"/>
      <c r="BO738" s="34"/>
      <c r="BP738" s="34"/>
      <c r="BY738" s="34"/>
      <c r="BZ738" s="34"/>
      <c r="CA738" s="34"/>
      <c r="CB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</row>
    <row r="739" ht="15.75" customHeight="1">
      <c r="B739" s="34"/>
      <c r="E739" s="34"/>
      <c r="F739" s="34"/>
      <c r="G739" s="34"/>
      <c r="H739" s="34"/>
      <c r="I739" s="34"/>
      <c r="J739" s="34"/>
      <c r="K739" s="34"/>
      <c r="L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AA739" s="34"/>
      <c r="AB739" s="34"/>
      <c r="AC739" s="34"/>
      <c r="AD739" s="34"/>
      <c r="AE739" s="34"/>
      <c r="AF739" s="34"/>
      <c r="AG739" s="34"/>
      <c r="AH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I739" s="34"/>
      <c r="BJ739" s="34"/>
      <c r="BK739" s="34"/>
      <c r="BL739" s="34"/>
      <c r="BM739" s="34"/>
      <c r="BN739" s="34"/>
      <c r="BO739" s="34"/>
      <c r="BP739" s="34"/>
      <c r="BY739" s="34"/>
      <c r="BZ739" s="34"/>
      <c r="CA739" s="34"/>
      <c r="CB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</row>
    <row r="740" ht="15.75" customHeight="1">
      <c r="B740" s="34"/>
      <c r="E740" s="34"/>
      <c r="F740" s="34"/>
      <c r="G740" s="34"/>
      <c r="H740" s="34"/>
      <c r="I740" s="34"/>
      <c r="J740" s="34"/>
      <c r="K740" s="34"/>
      <c r="L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AA740" s="34"/>
      <c r="AB740" s="34"/>
      <c r="AC740" s="34"/>
      <c r="AD740" s="34"/>
      <c r="AE740" s="34"/>
      <c r="AF740" s="34"/>
      <c r="AG740" s="34"/>
      <c r="AH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I740" s="34"/>
      <c r="BJ740" s="34"/>
      <c r="BK740" s="34"/>
      <c r="BL740" s="34"/>
      <c r="BM740" s="34"/>
      <c r="BN740" s="34"/>
      <c r="BO740" s="34"/>
      <c r="BP740" s="34"/>
      <c r="BY740" s="34"/>
      <c r="BZ740" s="34"/>
      <c r="CA740" s="34"/>
      <c r="CB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</row>
    <row r="741" ht="15.75" customHeight="1">
      <c r="B741" s="34"/>
      <c r="E741" s="34"/>
      <c r="F741" s="34"/>
      <c r="G741" s="34"/>
      <c r="H741" s="34"/>
      <c r="I741" s="34"/>
      <c r="J741" s="34"/>
      <c r="K741" s="34"/>
      <c r="L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AA741" s="34"/>
      <c r="AB741" s="34"/>
      <c r="AC741" s="34"/>
      <c r="AD741" s="34"/>
      <c r="AE741" s="34"/>
      <c r="AF741" s="34"/>
      <c r="AG741" s="34"/>
      <c r="AH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I741" s="34"/>
      <c r="BJ741" s="34"/>
      <c r="BK741" s="34"/>
      <c r="BL741" s="34"/>
      <c r="BM741" s="34"/>
      <c r="BN741" s="34"/>
      <c r="BO741" s="34"/>
      <c r="BP741" s="34"/>
      <c r="BY741" s="34"/>
      <c r="BZ741" s="34"/>
      <c r="CA741" s="34"/>
      <c r="CB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</row>
    <row r="742" ht="15.75" customHeight="1">
      <c r="B742" s="34"/>
      <c r="E742" s="34"/>
      <c r="F742" s="34"/>
      <c r="G742" s="34"/>
      <c r="H742" s="34"/>
      <c r="I742" s="34"/>
      <c r="J742" s="34"/>
      <c r="K742" s="34"/>
      <c r="L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AA742" s="34"/>
      <c r="AB742" s="34"/>
      <c r="AC742" s="34"/>
      <c r="AD742" s="34"/>
      <c r="AE742" s="34"/>
      <c r="AF742" s="34"/>
      <c r="AG742" s="34"/>
      <c r="AH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I742" s="34"/>
      <c r="BJ742" s="34"/>
      <c r="BK742" s="34"/>
      <c r="BL742" s="34"/>
      <c r="BM742" s="34"/>
      <c r="BN742" s="34"/>
      <c r="BO742" s="34"/>
      <c r="BP742" s="34"/>
      <c r="BY742" s="34"/>
      <c r="BZ742" s="34"/>
      <c r="CA742" s="34"/>
      <c r="CB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</row>
    <row r="743" ht="15.75" customHeight="1">
      <c r="B743" s="34"/>
      <c r="E743" s="34"/>
      <c r="F743" s="34"/>
      <c r="G743" s="34"/>
      <c r="H743" s="34"/>
      <c r="I743" s="34"/>
      <c r="J743" s="34"/>
      <c r="K743" s="34"/>
      <c r="L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AA743" s="34"/>
      <c r="AB743" s="34"/>
      <c r="AC743" s="34"/>
      <c r="AD743" s="34"/>
      <c r="AE743" s="34"/>
      <c r="AF743" s="34"/>
      <c r="AG743" s="34"/>
      <c r="AH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I743" s="34"/>
      <c r="BJ743" s="34"/>
      <c r="BK743" s="34"/>
      <c r="BL743" s="34"/>
      <c r="BM743" s="34"/>
      <c r="BN743" s="34"/>
      <c r="BO743" s="34"/>
      <c r="BP743" s="34"/>
      <c r="BY743" s="34"/>
      <c r="BZ743" s="34"/>
      <c r="CA743" s="34"/>
      <c r="CB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</row>
    <row r="744" ht="15.75" customHeight="1">
      <c r="B744" s="34"/>
      <c r="E744" s="34"/>
      <c r="F744" s="34"/>
      <c r="G744" s="34"/>
      <c r="H744" s="34"/>
      <c r="I744" s="34"/>
      <c r="J744" s="34"/>
      <c r="K744" s="34"/>
      <c r="L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AA744" s="34"/>
      <c r="AB744" s="34"/>
      <c r="AC744" s="34"/>
      <c r="AD744" s="34"/>
      <c r="AE744" s="34"/>
      <c r="AF744" s="34"/>
      <c r="AG744" s="34"/>
      <c r="AH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I744" s="34"/>
      <c r="BJ744" s="34"/>
      <c r="BK744" s="34"/>
      <c r="BL744" s="34"/>
      <c r="BM744" s="34"/>
      <c r="BN744" s="34"/>
      <c r="BO744" s="34"/>
      <c r="BP744" s="34"/>
      <c r="BY744" s="34"/>
      <c r="BZ744" s="34"/>
      <c r="CA744" s="34"/>
      <c r="CB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</row>
    <row r="745" ht="15.75" customHeight="1">
      <c r="B745" s="34"/>
      <c r="E745" s="34"/>
      <c r="F745" s="34"/>
      <c r="G745" s="34"/>
      <c r="H745" s="34"/>
      <c r="I745" s="34"/>
      <c r="J745" s="34"/>
      <c r="K745" s="34"/>
      <c r="L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AA745" s="34"/>
      <c r="AB745" s="34"/>
      <c r="AC745" s="34"/>
      <c r="AD745" s="34"/>
      <c r="AE745" s="34"/>
      <c r="AF745" s="34"/>
      <c r="AG745" s="34"/>
      <c r="AH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I745" s="34"/>
      <c r="BJ745" s="34"/>
      <c r="BK745" s="34"/>
      <c r="BL745" s="34"/>
      <c r="BM745" s="34"/>
      <c r="BN745" s="34"/>
      <c r="BO745" s="34"/>
      <c r="BP745" s="34"/>
      <c r="BY745" s="34"/>
      <c r="BZ745" s="34"/>
      <c r="CA745" s="34"/>
      <c r="CB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</row>
    <row r="746" ht="15.75" customHeight="1">
      <c r="B746" s="34"/>
      <c r="E746" s="34"/>
      <c r="F746" s="34"/>
      <c r="G746" s="34"/>
      <c r="H746" s="34"/>
      <c r="I746" s="34"/>
      <c r="J746" s="34"/>
      <c r="K746" s="34"/>
      <c r="L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AA746" s="34"/>
      <c r="AB746" s="34"/>
      <c r="AC746" s="34"/>
      <c r="AD746" s="34"/>
      <c r="AE746" s="34"/>
      <c r="AF746" s="34"/>
      <c r="AG746" s="34"/>
      <c r="AH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I746" s="34"/>
      <c r="BJ746" s="34"/>
      <c r="BK746" s="34"/>
      <c r="BL746" s="34"/>
      <c r="BM746" s="34"/>
      <c r="BN746" s="34"/>
      <c r="BO746" s="34"/>
      <c r="BP746" s="34"/>
      <c r="BY746" s="34"/>
      <c r="BZ746" s="34"/>
      <c r="CA746" s="34"/>
      <c r="CB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</row>
    <row r="747" ht="15.75" customHeight="1">
      <c r="B747" s="34"/>
      <c r="E747" s="34"/>
      <c r="F747" s="34"/>
      <c r="G747" s="34"/>
      <c r="H747" s="34"/>
      <c r="I747" s="34"/>
      <c r="J747" s="34"/>
      <c r="K747" s="34"/>
      <c r="L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AA747" s="34"/>
      <c r="AB747" s="34"/>
      <c r="AC747" s="34"/>
      <c r="AD747" s="34"/>
      <c r="AE747" s="34"/>
      <c r="AF747" s="34"/>
      <c r="AG747" s="34"/>
      <c r="AH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I747" s="34"/>
      <c r="BJ747" s="34"/>
      <c r="BK747" s="34"/>
      <c r="BL747" s="34"/>
      <c r="BM747" s="34"/>
      <c r="BN747" s="34"/>
      <c r="BO747" s="34"/>
      <c r="BP747" s="34"/>
      <c r="BY747" s="34"/>
      <c r="BZ747" s="34"/>
      <c r="CA747" s="34"/>
      <c r="CB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</row>
    <row r="748" ht="15.75" customHeight="1">
      <c r="B748" s="34"/>
      <c r="E748" s="34"/>
      <c r="F748" s="34"/>
      <c r="G748" s="34"/>
      <c r="H748" s="34"/>
      <c r="I748" s="34"/>
      <c r="J748" s="34"/>
      <c r="K748" s="34"/>
      <c r="L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AA748" s="34"/>
      <c r="AB748" s="34"/>
      <c r="AC748" s="34"/>
      <c r="AD748" s="34"/>
      <c r="AE748" s="34"/>
      <c r="AF748" s="34"/>
      <c r="AG748" s="34"/>
      <c r="AH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I748" s="34"/>
      <c r="BJ748" s="34"/>
      <c r="BK748" s="34"/>
      <c r="BL748" s="34"/>
      <c r="BM748" s="34"/>
      <c r="BN748" s="34"/>
      <c r="BO748" s="34"/>
      <c r="BP748" s="34"/>
      <c r="BY748" s="34"/>
      <c r="BZ748" s="34"/>
      <c r="CA748" s="34"/>
      <c r="CB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</row>
    <row r="749" ht="15.75" customHeight="1">
      <c r="B749" s="34"/>
      <c r="E749" s="34"/>
      <c r="F749" s="34"/>
      <c r="G749" s="34"/>
      <c r="H749" s="34"/>
      <c r="I749" s="34"/>
      <c r="J749" s="34"/>
      <c r="K749" s="34"/>
      <c r="L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AA749" s="34"/>
      <c r="AB749" s="34"/>
      <c r="AC749" s="34"/>
      <c r="AD749" s="34"/>
      <c r="AE749" s="34"/>
      <c r="AF749" s="34"/>
      <c r="AG749" s="34"/>
      <c r="AH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I749" s="34"/>
      <c r="BJ749" s="34"/>
      <c r="BK749" s="34"/>
      <c r="BL749" s="34"/>
      <c r="BM749" s="34"/>
      <c r="BN749" s="34"/>
      <c r="BO749" s="34"/>
      <c r="BP749" s="34"/>
      <c r="BY749" s="34"/>
      <c r="BZ749" s="34"/>
      <c r="CA749" s="34"/>
      <c r="CB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</row>
    <row r="750" ht="15.75" customHeight="1">
      <c r="B750" s="34"/>
      <c r="E750" s="34"/>
      <c r="F750" s="34"/>
      <c r="G750" s="34"/>
      <c r="H750" s="34"/>
      <c r="I750" s="34"/>
      <c r="J750" s="34"/>
      <c r="K750" s="34"/>
      <c r="L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AA750" s="34"/>
      <c r="AB750" s="34"/>
      <c r="AC750" s="34"/>
      <c r="AD750" s="34"/>
      <c r="AE750" s="34"/>
      <c r="AF750" s="34"/>
      <c r="AG750" s="34"/>
      <c r="AH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I750" s="34"/>
      <c r="BJ750" s="34"/>
      <c r="BK750" s="34"/>
      <c r="BL750" s="34"/>
      <c r="BM750" s="34"/>
      <c r="BN750" s="34"/>
      <c r="BO750" s="34"/>
      <c r="BP750" s="34"/>
      <c r="BY750" s="34"/>
      <c r="BZ750" s="34"/>
      <c r="CA750" s="34"/>
      <c r="CB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</row>
    <row r="751" ht="15.75" customHeight="1">
      <c r="B751" s="34"/>
      <c r="E751" s="34"/>
      <c r="F751" s="34"/>
      <c r="G751" s="34"/>
      <c r="H751" s="34"/>
      <c r="I751" s="34"/>
      <c r="J751" s="34"/>
      <c r="K751" s="34"/>
      <c r="L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AA751" s="34"/>
      <c r="AB751" s="34"/>
      <c r="AC751" s="34"/>
      <c r="AD751" s="34"/>
      <c r="AE751" s="34"/>
      <c r="AF751" s="34"/>
      <c r="AG751" s="34"/>
      <c r="AH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I751" s="34"/>
      <c r="BJ751" s="34"/>
      <c r="BK751" s="34"/>
      <c r="BL751" s="34"/>
      <c r="BM751" s="34"/>
      <c r="BN751" s="34"/>
      <c r="BO751" s="34"/>
      <c r="BP751" s="34"/>
      <c r="BY751" s="34"/>
      <c r="BZ751" s="34"/>
      <c r="CA751" s="34"/>
      <c r="CB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</row>
    <row r="752" ht="15.75" customHeight="1">
      <c r="B752" s="34"/>
      <c r="E752" s="34"/>
      <c r="F752" s="34"/>
      <c r="G752" s="34"/>
      <c r="H752" s="34"/>
      <c r="I752" s="34"/>
      <c r="J752" s="34"/>
      <c r="K752" s="34"/>
      <c r="L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AA752" s="34"/>
      <c r="AB752" s="34"/>
      <c r="AC752" s="34"/>
      <c r="AD752" s="34"/>
      <c r="AE752" s="34"/>
      <c r="AF752" s="34"/>
      <c r="AG752" s="34"/>
      <c r="AH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I752" s="34"/>
      <c r="BJ752" s="34"/>
      <c r="BK752" s="34"/>
      <c r="BL752" s="34"/>
      <c r="BM752" s="34"/>
      <c r="BN752" s="34"/>
      <c r="BO752" s="34"/>
      <c r="BP752" s="34"/>
      <c r="BY752" s="34"/>
      <c r="BZ752" s="34"/>
      <c r="CA752" s="34"/>
      <c r="CB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</row>
    <row r="753" ht="15.75" customHeight="1">
      <c r="B753" s="34"/>
      <c r="E753" s="34"/>
      <c r="F753" s="34"/>
      <c r="G753" s="34"/>
      <c r="H753" s="34"/>
      <c r="I753" s="34"/>
      <c r="J753" s="34"/>
      <c r="K753" s="34"/>
      <c r="L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AA753" s="34"/>
      <c r="AB753" s="34"/>
      <c r="AC753" s="34"/>
      <c r="AD753" s="34"/>
      <c r="AE753" s="34"/>
      <c r="AF753" s="34"/>
      <c r="AG753" s="34"/>
      <c r="AH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I753" s="34"/>
      <c r="BJ753" s="34"/>
      <c r="BK753" s="34"/>
      <c r="BL753" s="34"/>
      <c r="BM753" s="34"/>
      <c r="BN753" s="34"/>
      <c r="BO753" s="34"/>
      <c r="BP753" s="34"/>
      <c r="BY753" s="34"/>
      <c r="BZ753" s="34"/>
      <c r="CA753" s="34"/>
      <c r="CB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</row>
    <row r="754" ht="15.75" customHeight="1">
      <c r="B754" s="34"/>
      <c r="E754" s="34"/>
      <c r="F754" s="34"/>
      <c r="G754" s="34"/>
      <c r="H754" s="34"/>
      <c r="I754" s="34"/>
      <c r="J754" s="34"/>
      <c r="K754" s="34"/>
      <c r="L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AA754" s="34"/>
      <c r="AB754" s="34"/>
      <c r="AC754" s="34"/>
      <c r="AD754" s="34"/>
      <c r="AE754" s="34"/>
      <c r="AF754" s="34"/>
      <c r="AG754" s="34"/>
      <c r="AH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I754" s="34"/>
      <c r="BJ754" s="34"/>
      <c r="BK754" s="34"/>
      <c r="BL754" s="34"/>
      <c r="BM754" s="34"/>
      <c r="BN754" s="34"/>
      <c r="BO754" s="34"/>
      <c r="BP754" s="34"/>
      <c r="BY754" s="34"/>
      <c r="BZ754" s="34"/>
      <c r="CA754" s="34"/>
      <c r="CB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</row>
    <row r="755" ht="15.75" customHeight="1">
      <c r="B755" s="34"/>
      <c r="E755" s="34"/>
      <c r="F755" s="34"/>
      <c r="G755" s="34"/>
      <c r="H755" s="34"/>
      <c r="I755" s="34"/>
      <c r="J755" s="34"/>
      <c r="K755" s="34"/>
      <c r="L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AA755" s="34"/>
      <c r="AB755" s="34"/>
      <c r="AC755" s="34"/>
      <c r="AD755" s="34"/>
      <c r="AE755" s="34"/>
      <c r="AF755" s="34"/>
      <c r="AG755" s="34"/>
      <c r="AH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I755" s="34"/>
      <c r="BJ755" s="34"/>
      <c r="BK755" s="34"/>
      <c r="BL755" s="34"/>
      <c r="BM755" s="34"/>
      <c r="BN755" s="34"/>
      <c r="BO755" s="34"/>
      <c r="BP755" s="34"/>
      <c r="BY755" s="34"/>
      <c r="BZ755" s="34"/>
      <c r="CA755" s="34"/>
      <c r="CB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</row>
    <row r="756" ht="15.75" customHeight="1">
      <c r="B756" s="34"/>
      <c r="E756" s="34"/>
      <c r="F756" s="34"/>
      <c r="G756" s="34"/>
      <c r="H756" s="34"/>
      <c r="I756" s="34"/>
      <c r="J756" s="34"/>
      <c r="K756" s="34"/>
      <c r="L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AA756" s="34"/>
      <c r="AB756" s="34"/>
      <c r="AC756" s="34"/>
      <c r="AD756" s="34"/>
      <c r="AE756" s="34"/>
      <c r="AF756" s="34"/>
      <c r="AG756" s="34"/>
      <c r="AH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I756" s="34"/>
      <c r="BJ756" s="34"/>
      <c r="BK756" s="34"/>
      <c r="BL756" s="34"/>
      <c r="BM756" s="34"/>
      <c r="BN756" s="34"/>
      <c r="BO756" s="34"/>
      <c r="BP756" s="34"/>
      <c r="BY756" s="34"/>
      <c r="BZ756" s="34"/>
      <c r="CA756" s="34"/>
      <c r="CB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</row>
    <row r="757" ht="15.75" customHeight="1">
      <c r="B757" s="34"/>
      <c r="E757" s="34"/>
      <c r="F757" s="34"/>
      <c r="G757" s="34"/>
      <c r="H757" s="34"/>
      <c r="I757" s="34"/>
      <c r="J757" s="34"/>
      <c r="K757" s="34"/>
      <c r="L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AA757" s="34"/>
      <c r="AB757" s="34"/>
      <c r="AC757" s="34"/>
      <c r="AD757" s="34"/>
      <c r="AE757" s="34"/>
      <c r="AF757" s="34"/>
      <c r="AG757" s="34"/>
      <c r="AH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I757" s="34"/>
      <c r="BJ757" s="34"/>
      <c r="BK757" s="34"/>
      <c r="BL757" s="34"/>
      <c r="BM757" s="34"/>
      <c r="BN757" s="34"/>
      <c r="BO757" s="34"/>
      <c r="BP757" s="34"/>
      <c r="BY757" s="34"/>
      <c r="BZ757" s="34"/>
      <c r="CA757" s="34"/>
      <c r="CB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</row>
    <row r="758" ht="15.75" customHeight="1">
      <c r="B758" s="34"/>
      <c r="E758" s="34"/>
      <c r="F758" s="34"/>
      <c r="G758" s="34"/>
      <c r="H758" s="34"/>
      <c r="I758" s="34"/>
      <c r="J758" s="34"/>
      <c r="K758" s="34"/>
      <c r="L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AA758" s="34"/>
      <c r="AB758" s="34"/>
      <c r="AC758" s="34"/>
      <c r="AD758" s="34"/>
      <c r="AE758" s="34"/>
      <c r="AF758" s="34"/>
      <c r="AG758" s="34"/>
      <c r="AH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I758" s="34"/>
      <c r="BJ758" s="34"/>
      <c r="BK758" s="34"/>
      <c r="BL758" s="34"/>
      <c r="BM758" s="34"/>
      <c r="BN758" s="34"/>
      <c r="BO758" s="34"/>
      <c r="BP758" s="34"/>
      <c r="BY758" s="34"/>
      <c r="BZ758" s="34"/>
      <c r="CA758" s="34"/>
      <c r="CB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</row>
    <row r="759" ht="15.75" customHeight="1">
      <c r="B759" s="34"/>
      <c r="E759" s="34"/>
      <c r="F759" s="34"/>
      <c r="G759" s="34"/>
      <c r="H759" s="34"/>
      <c r="I759" s="34"/>
      <c r="J759" s="34"/>
      <c r="K759" s="34"/>
      <c r="L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AA759" s="34"/>
      <c r="AB759" s="34"/>
      <c r="AC759" s="34"/>
      <c r="AD759" s="34"/>
      <c r="AE759" s="34"/>
      <c r="AF759" s="34"/>
      <c r="AG759" s="34"/>
      <c r="AH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I759" s="34"/>
      <c r="BJ759" s="34"/>
      <c r="BK759" s="34"/>
      <c r="BL759" s="34"/>
      <c r="BM759" s="34"/>
      <c r="BN759" s="34"/>
      <c r="BO759" s="34"/>
      <c r="BP759" s="34"/>
      <c r="BY759" s="34"/>
      <c r="BZ759" s="34"/>
      <c r="CA759" s="34"/>
      <c r="CB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</row>
    <row r="760" ht="15.75" customHeight="1">
      <c r="B760" s="34"/>
      <c r="E760" s="34"/>
      <c r="F760" s="34"/>
      <c r="G760" s="34"/>
      <c r="H760" s="34"/>
      <c r="I760" s="34"/>
      <c r="J760" s="34"/>
      <c r="K760" s="34"/>
      <c r="L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AA760" s="34"/>
      <c r="AB760" s="34"/>
      <c r="AC760" s="34"/>
      <c r="AD760" s="34"/>
      <c r="AE760" s="34"/>
      <c r="AF760" s="34"/>
      <c r="AG760" s="34"/>
      <c r="AH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I760" s="34"/>
      <c r="BJ760" s="34"/>
      <c r="BK760" s="34"/>
      <c r="BL760" s="34"/>
      <c r="BM760" s="34"/>
      <c r="BN760" s="34"/>
      <c r="BO760" s="34"/>
      <c r="BP760" s="34"/>
      <c r="BY760" s="34"/>
      <c r="BZ760" s="34"/>
      <c r="CA760" s="34"/>
      <c r="CB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</row>
    <row r="761" ht="15.75" customHeight="1">
      <c r="B761" s="34"/>
      <c r="E761" s="34"/>
      <c r="F761" s="34"/>
      <c r="G761" s="34"/>
      <c r="H761" s="34"/>
      <c r="I761" s="34"/>
      <c r="J761" s="34"/>
      <c r="K761" s="34"/>
      <c r="L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AA761" s="34"/>
      <c r="AB761" s="34"/>
      <c r="AC761" s="34"/>
      <c r="AD761" s="34"/>
      <c r="AE761" s="34"/>
      <c r="AF761" s="34"/>
      <c r="AG761" s="34"/>
      <c r="AH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I761" s="34"/>
      <c r="BJ761" s="34"/>
      <c r="BK761" s="34"/>
      <c r="BL761" s="34"/>
      <c r="BM761" s="34"/>
      <c r="BN761" s="34"/>
      <c r="BO761" s="34"/>
      <c r="BP761" s="34"/>
      <c r="BY761" s="34"/>
      <c r="BZ761" s="34"/>
      <c r="CA761" s="34"/>
      <c r="CB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</row>
    <row r="762" ht="15.75" customHeight="1">
      <c r="B762" s="34"/>
      <c r="E762" s="34"/>
      <c r="F762" s="34"/>
      <c r="G762" s="34"/>
      <c r="H762" s="34"/>
      <c r="I762" s="34"/>
      <c r="J762" s="34"/>
      <c r="K762" s="34"/>
      <c r="L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AA762" s="34"/>
      <c r="AB762" s="34"/>
      <c r="AC762" s="34"/>
      <c r="AD762" s="34"/>
      <c r="AE762" s="34"/>
      <c r="AF762" s="34"/>
      <c r="AG762" s="34"/>
      <c r="AH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I762" s="34"/>
      <c r="BJ762" s="34"/>
      <c r="BK762" s="34"/>
      <c r="BL762" s="34"/>
      <c r="BM762" s="34"/>
      <c r="BN762" s="34"/>
      <c r="BO762" s="34"/>
      <c r="BP762" s="34"/>
      <c r="BY762" s="34"/>
      <c r="BZ762" s="34"/>
      <c r="CA762" s="34"/>
      <c r="CB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</row>
    <row r="763" ht="15.75" customHeight="1">
      <c r="B763" s="34"/>
      <c r="E763" s="34"/>
      <c r="F763" s="34"/>
      <c r="G763" s="34"/>
      <c r="H763" s="34"/>
      <c r="I763" s="34"/>
      <c r="J763" s="34"/>
      <c r="K763" s="34"/>
      <c r="L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AA763" s="34"/>
      <c r="AB763" s="34"/>
      <c r="AC763" s="34"/>
      <c r="AD763" s="34"/>
      <c r="AE763" s="34"/>
      <c r="AF763" s="34"/>
      <c r="AG763" s="34"/>
      <c r="AH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I763" s="34"/>
      <c r="BJ763" s="34"/>
      <c r="BK763" s="34"/>
      <c r="BL763" s="34"/>
      <c r="BM763" s="34"/>
      <c r="BN763" s="34"/>
      <c r="BO763" s="34"/>
      <c r="BP763" s="34"/>
      <c r="BY763" s="34"/>
      <c r="BZ763" s="34"/>
      <c r="CA763" s="34"/>
      <c r="CB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</row>
    <row r="764" ht="15.75" customHeight="1">
      <c r="B764" s="34"/>
      <c r="E764" s="34"/>
      <c r="F764" s="34"/>
      <c r="G764" s="34"/>
      <c r="H764" s="34"/>
      <c r="I764" s="34"/>
      <c r="J764" s="34"/>
      <c r="K764" s="34"/>
      <c r="L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AA764" s="34"/>
      <c r="AB764" s="34"/>
      <c r="AC764" s="34"/>
      <c r="AD764" s="34"/>
      <c r="AE764" s="34"/>
      <c r="AF764" s="34"/>
      <c r="AG764" s="34"/>
      <c r="AH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I764" s="34"/>
      <c r="BJ764" s="34"/>
      <c r="BK764" s="34"/>
      <c r="BL764" s="34"/>
      <c r="BM764" s="34"/>
      <c r="BN764" s="34"/>
      <c r="BO764" s="34"/>
      <c r="BP764" s="34"/>
      <c r="BY764" s="34"/>
      <c r="BZ764" s="34"/>
      <c r="CA764" s="34"/>
      <c r="CB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</row>
    <row r="765" ht="15.75" customHeight="1">
      <c r="B765" s="34"/>
      <c r="E765" s="34"/>
      <c r="F765" s="34"/>
      <c r="G765" s="34"/>
      <c r="H765" s="34"/>
      <c r="I765" s="34"/>
      <c r="J765" s="34"/>
      <c r="K765" s="34"/>
      <c r="L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AA765" s="34"/>
      <c r="AB765" s="34"/>
      <c r="AC765" s="34"/>
      <c r="AD765" s="34"/>
      <c r="AE765" s="34"/>
      <c r="AF765" s="34"/>
      <c r="AG765" s="34"/>
      <c r="AH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I765" s="34"/>
      <c r="BJ765" s="34"/>
      <c r="BK765" s="34"/>
      <c r="BL765" s="34"/>
      <c r="BM765" s="34"/>
      <c r="BN765" s="34"/>
      <c r="BO765" s="34"/>
      <c r="BP765" s="34"/>
      <c r="BY765" s="34"/>
      <c r="BZ765" s="34"/>
      <c r="CA765" s="34"/>
      <c r="CB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</row>
    <row r="766" ht="15.75" customHeight="1">
      <c r="B766" s="34"/>
      <c r="E766" s="34"/>
      <c r="F766" s="34"/>
      <c r="G766" s="34"/>
      <c r="H766" s="34"/>
      <c r="I766" s="34"/>
      <c r="J766" s="34"/>
      <c r="K766" s="34"/>
      <c r="L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AA766" s="34"/>
      <c r="AB766" s="34"/>
      <c r="AC766" s="34"/>
      <c r="AD766" s="34"/>
      <c r="AE766" s="34"/>
      <c r="AF766" s="34"/>
      <c r="AG766" s="34"/>
      <c r="AH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I766" s="34"/>
      <c r="BJ766" s="34"/>
      <c r="BK766" s="34"/>
      <c r="BL766" s="34"/>
      <c r="BM766" s="34"/>
      <c r="BN766" s="34"/>
      <c r="BO766" s="34"/>
      <c r="BP766" s="34"/>
      <c r="BY766" s="34"/>
      <c r="BZ766" s="34"/>
      <c r="CA766" s="34"/>
      <c r="CB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</row>
    <row r="767" ht="15.75" customHeight="1">
      <c r="B767" s="34"/>
      <c r="E767" s="34"/>
      <c r="F767" s="34"/>
      <c r="G767" s="34"/>
      <c r="H767" s="34"/>
      <c r="I767" s="34"/>
      <c r="J767" s="34"/>
      <c r="K767" s="34"/>
      <c r="L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AA767" s="34"/>
      <c r="AB767" s="34"/>
      <c r="AC767" s="34"/>
      <c r="AD767" s="34"/>
      <c r="AE767" s="34"/>
      <c r="AF767" s="34"/>
      <c r="AG767" s="34"/>
      <c r="AH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I767" s="34"/>
      <c r="BJ767" s="34"/>
      <c r="BK767" s="34"/>
      <c r="BL767" s="34"/>
      <c r="BM767" s="34"/>
      <c r="BN767" s="34"/>
      <c r="BO767" s="34"/>
      <c r="BP767" s="34"/>
      <c r="BY767" s="34"/>
      <c r="BZ767" s="34"/>
      <c r="CA767" s="34"/>
      <c r="CB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</row>
    <row r="768" ht="15.75" customHeight="1">
      <c r="B768" s="34"/>
      <c r="E768" s="34"/>
      <c r="F768" s="34"/>
      <c r="G768" s="34"/>
      <c r="H768" s="34"/>
      <c r="I768" s="34"/>
      <c r="J768" s="34"/>
      <c r="K768" s="34"/>
      <c r="L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AA768" s="34"/>
      <c r="AB768" s="34"/>
      <c r="AC768" s="34"/>
      <c r="AD768" s="34"/>
      <c r="AE768" s="34"/>
      <c r="AF768" s="34"/>
      <c r="AG768" s="34"/>
      <c r="AH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I768" s="34"/>
      <c r="BJ768" s="34"/>
      <c r="BK768" s="34"/>
      <c r="BL768" s="34"/>
      <c r="BM768" s="34"/>
      <c r="BN768" s="34"/>
      <c r="BO768" s="34"/>
      <c r="BP768" s="34"/>
      <c r="BY768" s="34"/>
      <c r="BZ768" s="34"/>
      <c r="CA768" s="34"/>
      <c r="CB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</row>
    <row r="769" ht="15.75" customHeight="1">
      <c r="B769" s="34"/>
      <c r="E769" s="34"/>
      <c r="F769" s="34"/>
      <c r="G769" s="34"/>
      <c r="H769" s="34"/>
      <c r="I769" s="34"/>
      <c r="J769" s="34"/>
      <c r="K769" s="34"/>
      <c r="L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AA769" s="34"/>
      <c r="AB769" s="34"/>
      <c r="AC769" s="34"/>
      <c r="AD769" s="34"/>
      <c r="AE769" s="34"/>
      <c r="AF769" s="34"/>
      <c r="AG769" s="34"/>
      <c r="AH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I769" s="34"/>
      <c r="BJ769" s="34"/>
      <c r="BK769" s="34"/>
      <c r="BL769" s="34"/>
      <c r="BM769" s="34"/>
      <c r="BN769" s="34"/>
      <c r="BO769" s="34"/>
      <c r="BP769" s="34"/>
      <c r="BY769" s="34"/>
      <c r="BZ769" s="34"/>
      <c r="CA769" s="34"/>
      <c r="CB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</row>
    <row r="770" ht="15.75" customHeight="1">
      <c r="B770" s="34"/>
      <c r="E770" s="34"/>
      <c r="F770" s="34"/>
      <c r="G770" s="34"/>
      <c r="H770" s="34"/>
      <c r="I770" s="34"/>
      <c r="J770" s="34"/>
      <c r="K770" s="34"/>
      <c r="L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AA770" s="34"/>
      <c r="AB770" s="34"/>
      <c r="AC770" s="34"/>
      <c r="AD770" s="34"/>
      <c r="AE770" s="34"/>
      <c r="AF770" s="34"/>
      <c r="AG770" s="34"/>
      <c r="AH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I770" s="34"/>
      <c r="BJ770" s="34"/>
      <c r="BK770" s="34"/>
      <c r="BL770" s="34"/>
      <c r="BM770" s="34"/>
      <c r="BN770" s="34"/>
      <c r="BO770" s="34"/>
      <c r="BP770" s="34"/>
      <c r="BY770" s="34"/>
      <c r="BZ770" s="34"/>
      <c r="CA770" s="34"/>
      <c r="CB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</row>
    <row r="771" ht="15.75" customHeight="1">
      <c r="B771" s="34"/>
      <c r="E771" s="34"/>
      <c r="F771" s="34"/>
      <c r="G771" s="34"/>
      <c r="H771" s="34"/>
      <c r="I771" s="34"/>
      <c r="J771" s="34"/>
      <c r="K771" s="34"/>
      <c r="L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AA771" s="34"/>
      <c r="AB771" s="34"/>
      <c r="AC771" s="34"/>
      <c r="AD771" s="34"/>
      <c r="AE771" s="34"/>
      <c r="AF771" s="34"/>
      <c r="AG771" s="34"/>
      <c r="AH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I771" s="34"/>
      <c r="BJ771" s="34"/>
      <c r="BK771" s="34"/>
      <c r="BL771" s="34"/>
      <c r="BM771" s="34"/>
      <c r="BN771" s="34"/>
      <c r="BO771" s="34"/>
      <c r="BP771" s="34"/>
      <c r="BY771" s="34"/>
      <c r="BZ771" s="34"/>
      <c r="CA771" s="34"/>
      <c r="CB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</row>
    <row r="772" ht="15.75" customHeight="1">
      <c r="B772" s="34"/>
      <c r="E772" s="34"/>
      <c r="F772" s="34"/>
      <c r="G772" s="34"/>
      <c r="H772" s="34"/>
      <c r="I772" s="34"/>
      <c r="J772" s="34"/>
      <c r="K772" s="34"/>
      <c r="L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AA772" s="34"/>
      <c r="AB772" s="34"/>
      <c r="AC772" s="34"/>
      <c r="AD772" s="34"/>
      <c r="AE772" s="34"/>
      <c r="AF772" s="34"/>
      <c r="AG772" s="34"/>
      <c r="AH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I772" s="34"/>
      <c r="BJ772" s="34"/>
      <c r="BK772" s="34"/>
      <c r="BL772" s="34"/>
      <c r="BM772" s="34"/>
      <c r="BN772" s="34"/>
      <c r="BO772" s="34"/>
      <c r="BP772" s="34"/>
      <c r="BY772" s="34"/>
      <c r="BZ772" s="34"/>
      <c r="CA772" s="34"/>
      <c r="CB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</row>
    <row r="773" ht="15.75" customHeight="1">
      <c r="B773" s="34"/>
      <c r="E773" s="34"/>
      <c r="F773" s="34"/>
      <c r="G773" s="34"/>
      <c r="H773" s="34"/>
      <c r="I773" s="34"/>
      <c r="J773" s="34"/>
      <c r="K773" s="34"/>
      <c r="L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AA773" s="34"/>
      <c r="AB773" s="34"/>
      <c r="AC773" s="34"/>
      <c r="AD773" s="34"/>
      <c r="AE773" s="34"/>
      <c r="AF773" s="34"/>
      <c r="AG773" s="34"/>
      <c r="AH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I773" s="34"/>
      <c r="BJ773" s="34"/>
      <c r="BK773" s="34"/>
      <c r="BL773" s="34"/>
      <c r="BM773" s="34"/>
      <c r="BN773" s="34"/>
      <c r="BO773" s="34"/>
      <c r="BP773" s="34"/>
      <c r="BY773" s="34"/>
      <c r="BZ773" s="34"/>
      <c r="CA773" s="34"/>
      <c r="CB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</row>
    <row r="774" ht="15.75" customHeight="1">
      <c r="B774" s="34"/>
      <c r="E774" s="34"/>
      <c r="F774" s="34"/>
      <c r="G774" s="34"/>
      <c r="H774" s="34"/>
      <c r="I774" s="34"/>
      <c r="J774" s="34"/>
      <c r="K774" s="34"/>
      <c r="L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AA774" s="34"/>
      <c r="AB774" s="34"/>
      <c r="AC774" s="34"/>
      <c r="AD774" s="34"/>
      <c r="AE774" s="34"/>
      <c r="AF774" s="34"/>
      <c r="AG774" s="34"/>
      <c r="AH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I774" s="34"/>
      <c r="BJ774" s="34"/>
      <c r="BK774" s="34"/>
      <c r="BL774" s="34"/>
      <c r="BM774" s="34"/>
      <c r="BN774" s="34"/>
      <c r="BO774" s="34"/>
      <c r="BP774" s="34"/>
      <c r="BY774" s="34"/>
      <c r="BZ774" s="34"/>
      <c r="CA774" s="34"/>
      <c r="CB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</row>
    <row r="775" ht="15.75" customHeight="1">
      <c r="B775" s="34"/>
      <c r="E775" s="34"/>
      <c r="F775" s="34"/>
      <c r="G775" s="34"/>
      <c r="H775" s="34"/>
      <c r="I775" s="34"/>
      <c r="J775" s="34"/>
      <c r="K775" s="34"/>
      <c r="L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AA775" s="34"/>
      <c r="AB775" s="34"/>
      <c r="AC775" s="34"/>
      <c r="AD775" s="34"/>
      <c r="AE775" s="34"/>
      <c r="AF775" s="34"/>
      <c r="AG775" s="34"/>
      <c r="AH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I775" s="34"/>
      <c r="BJ775" s="34"/>
      <c r="BK775" s="34"/>
      <c r="BL775" s="34"/>
      <c r="BM775" s="34"/>
      <c r="BN775" s="34"/>
      <c r="BO775" s="34"/>
      <c r="BP775" s="34"/>
      <c r="BY775" s="34"/>
      <c r="BZ775" s="34"/>
      <c r="CA775" s="34"/>
      <c r="CB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</row>
    <row r="776" ht="15.75" customHeight="1">
      <c r="B776" s="34"/>
      <c r="E776" s="34"/>
      <c r="F776" s="34"/>
      <c r="G776" s="34"/>
      <c r="H776" s="34"/>
      <c r="I776" s="34"/>
      <c r="J776" s="34"/>
      <c r="K776" s="34"/>
      <c r="L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AA776" s="34"/>
      <c r="AB776" s="34"/>
      <c r="AC776" s="34"/>
      <c r="AD776" s="34"/>
      <c r="AE776" s="34"/>
      <c r="AF776" s="34"/>
      <c r="AG776" s="34"/>
      <c r="AH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I776" s="34"/>
      <c r="BJ776" s="34"/>
      <c r="BK776" s="34"/>
      <c r="BL776" s="34"/>
      <c r="BM776" s="34"/>
      <c r="BN776" s="34"/>
      <c r="BO776" s="34"/>
      <c r="BP776" s="34"/>
      <c r="BY776" s="34"/>
      <c r="BZ776" s="34"/>
      <c r="CA776" s="34"/>
      <c r="CB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</row>
    <row r="777" ht="15.75" customHeight="1">
      <c r="B777" s="34"/>
      <c r="E777" s="34"/>
      <c r="F777" s="34"/>
      <c r="G777" s="34"/>
      <c r="H777" s="34"/>
      <c r="I777" s="34"/>
      <c r="J777" s="34"/>
      <c r="K777" s="34"/>
      <c r="L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AA777" s="34"/>
      <c r="AB777" s="34"/>
      <c r="AC777" s="34"/>
      <c r="AD777" s="34"/>
      <c r="AE777" s="34"/>
      <c r="AF777" s="34"/>
      <c r="AG777" s="34"/>
      <c r="AH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I777" s="34"/>
      <c r="BJ777" s="34"/>
      <c r="BK777" s="34"/>
      <c r="BL777" s="34"/>
      <c r="BM777" s="34"/>
      <c r="BN777" s="34"/>
      <c r="BO777" s="34"/>
      <c r="BP777" s="34"/>
      <c r="BY777" s="34"/>
      <c r="BZ777" s="34"/>
      <c r="CA777" s="34"/>
      <c r="CB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</row>
    <row r="778" ht="15.75" customHeight="1">
      <c r="B778" s="34"/>
      <c r="E778" s="34"/>
      <c r="F778" s="34"/>
      <c r="G778" s="34"/>
      <c r="H778" s="34"/>
      <c r="I778" s="34"/>
      <c r="J778" s="34"/>
      <c r="K778" s="34"/>
      <c r="L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AA778" s="34"/>
      <c r="AB778" s="34"/>
      <c r="AC778" s="34"/>
      <c r="AD778" s="34"/>
      <c r="AE778" s="34"/>
      <c r="AF778" s="34"/>
      <c r="AG778" s="34"/>
      <c r="AH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I778" s="34"/>
      <c r="BJ778" s="34"/>
      <c r="BK778" s="34"/>
      <c r="BL778" s="34"/>
      <c r="BM778" s="34"/>
      <c r="BN778" s="34"/>
      <c r="BO778" s="34"/>
      <c r="BP778" s="34"/>
      <c r="BY778" s="34"/>
      <c r="BZ778" s="34"/>
      <c r="CA778" s="34"/>
      <c r="CB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</row>
    <row r="779" ht="15.75" customHeight="1">
      <c r="B779" s="34"/>
      <c r="E779" s="34"/>
      <c r="F779" s="34"/>
      <c r="G779" s="34"/>
      <c r="H779" s="34"/>
      <c r="I779" s="34"/>
      <c r="J779" s="34"/>
      <c r="K779" s="34"/>
      <c r="L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AA779" s="34"/>
      <c r="AB779" s="34"/>
      <c r="AC779" s="34"/>
      <c r="AD779" s="34"/>
      <c r="AE779" s="34"/>
      <c r="AF779" s="34"/>
      <c r="AG779" s="34"/>
      <c r="AH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I779" s="34"/>
      <c r="BJ779" s="34"/>
      <c r="BK779" s="34"/>
      <c r="BL779" s="34"/>
      <c r="BM779" s="34"/>
      <c r="BN779" s="34"/>
      <c r="BO779" s="34"/>
      <c r="BP779" s="34"/>
      <c r="BY779" s="34"/>
      <c r="BZ779" s="34"/>
      <c r="CA779" s="34"/>
      <c r="CB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</row>
    <row r="780" ht="15.75" customHeight="1">
      <c r="B780" s="34"/>
      <c r="E780" s="34"/>
      <c r="F780" s="34"/>
      <c r="G780" s="34"/>
      <c r="H780" s="34"/>
      <c r="I780" s="34"/>
      <c r="J780" s="34"/>
      <c r="K780" s="34"/>
      <c r="L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AA780" s="34"/>
      <c r="AB780" s="34"/>
      <c r="AC780" s="34"/>
      <c r="AD780" s="34"/>
      <c r="AE780" s="34"/>
      <c r="AF780" s="34"/>
      <c r="AG780" s="34"/>
      <c r="AH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I780" s="34"/>
      <c r="BJ780" s="34"/>
      <c r="BK780" s="34"/>
      <c r="BL780" s="34"/>
      <c r="BM780" s="34"/>
      <c r="BN780" s="34"/>
      <c r="BO780" s="34"/>
      <c r="BP780" s="34"/>
      <c r="BY780" s="34"/>
      <c r="BZ780" s="34"/>
      <c r="CA780" s="34"/>
      <c r="CB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</row>
    <row r="781" ht="15.75" customHeight="1">
      <c r="B781" s="34"/>
      <c r="E781" s="34"/>
      <c r="F781" s="34"/>
      <c r="G781" s="34"/>
      <c r="H781" s="34"/>
      <c r="I781" s="34"/>
      <c r="J781" s="34"/>
      <c r="K781" s="34"/>
      <c r="L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AA781" s="34"/>
      <c r="AB781" s="34"/>
      <c r="AC781" s="34"/>
      <c r="AD781" s="34"/>
      <c r="AE781" s="34"/>
      <c r="AF781" s="34"/>
      <c r="AG781" s="34"/>
      <c r="AH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I781" s="34"/>
      <c r="BJ781" s="34"/>
      <c r="BK781" s="34"/>
      <c r="BL781" s="34"/>
      <c r="BM781" s="34"/>
      <c r="BN781" s="34"/>
      <c r="BO781" s="34"/>
      <c r="BP781" s="34"/>
      <c r="BY781" s="34"/>
      <c r="BZ781" s="34"/>
      <c r="CA781" s="34"/>
      <c r="CB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</row>
    <row r="782" ht="15.75" customHeight="1">
      <c r="B782" s="34"/>
      <c r="E782" s="34"/>
      <c r="F782" s="34"/>
      <c r="G782" s="34"/>
      <c r="H782" s="34"/>
      <c r="I782" s="34"/>
      <c r="J782" s="34"/>
      <c r="K782" s="34"/>
      <c r="L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AA782" s="34"/>
      <c r="AB782" s="34"/>
      <c r="AC782" s="34"/>
      <c r="AD782" s="34"/>
      <c r="AE782" s="34"/>
      <c r="AF782" s="34"/>
      <c r="AG782" s="34"/>
      <c r="AH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I782" s="34"/>
      <c r="BJ782" s="34"/>
      <c r="BK782" s="34"/>
      <c r="BL782" s="34"/>
      <c r="BM782" s="34"/>
      <c r="BN782" s="34"/>
      <c r="BO782" s="34"/>
      <c r="BP782" s="34"/>
      <c r="BY782" s="34"/>
      <c r="BZ782" s="34"/>
      <c r="CA782" s="34"/>
      <c r="CB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</row>
    <row r="783" ht="15.75" customHeight="1">
      <c r="B783" s="34"/>
      <c r="E783" s="34"/>
      <c r="F783" s="34"/>
      <c r="G783" s="34"/>
      <c r="H783" s="34"/>
      <c r="I783" s="34"/>
      <c r="J783" s="34"/>
      <c r="K783" s="34"/>
      <c r="L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AA783" s="34"/>
      <c r="AB783" s="34"/>
      <c r="AC783" s="34"/>
      <c r="AD783" s="34"/>
      <c r="AE783" s="34"/>
      <c r="AF783" s="34"/>
      <c r="AG783" s="34"/>
      <c r="AH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I783" s="34"/>
      <c r="BJ783" s="34"/>
      <c r="BK783" s="34"/>
      <c r="BL783" s="34"/>
      <c r="BM783" s="34"/>
      <c r="BN783" s="34"/>
      <c r="BO783" s="34"/>
      <c r="BP783" s="34"/>
      <c r="BY783" s="34"/>
      <c r="BZ783" s="34"/>
      <c r="CA783" s="34"/>
      <c r="CB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</row>
    <row r="784" ht="15.75" customHeight="1">
      <c r="B784" s="34"/>
      <c r="E784" s="34"/>
      <c r="F784" s="34"/>
      <c r="G784" s="34"/>
      <c r="H784" s="34"/>
      <c r="I784" s="34"/>
      <c r="J784" s="34"/>
      <c r="K784" s="34"/>
      <c r="L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AA784" s="34"/>
      <c r="AB784" s="34"/>
      <c r="AC784" s="34"/>
      <c r="AD784" s="34"/>
      <c r="AE784" s="34"/>
      <c r="AF784" s="34"/>
      <c r="AG784" s="34"/>
      <c r="AH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I784" s="34"/>
      <c r="BJ784" s="34"/>
      <c r="BK784" s="34"/>
      <c r="BL784" s="34"/>
      <c r="BM784" s="34"/>
      <c r="BN784" s="34"/>
      <c r="BO784" s="34"/>
      <c r="BP784" s="34"/>
      <c r="BY784" s="34"/>
      <c r="BZ784" s="34"/>
      <c r="CA784" s="34"/>
      <c r="CB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</row>
    <row r="785" ht="15.75" customHeight="1">
      <c r="B785" s="34"/>
      <c r="E785" s="34"/>
      <c r="F785" s="34"/>
      <c r="G785" s="34"/>
      <c r="H785" s="34"/>
      <c r="I785" s="34"/>
      <c r="J785" s="34"/>
      <c r="K785" s="34"/>
      <c r="L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AA785" s="34"/>
      <c r="AB785" s="34"/>
      <c r="AC785" s="34"/>
      <c r="AD785" s="34"/>
      <c r="AE785" s="34"/>
      <c r="AF785" s="34"/>
      <c r="AG785" s="34"/>
      <c r="AH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I785" s="34"/>
      <c r="BJ785" s="34"/>
      <c r="BK785" s="34"/>
      <c r="BL785" s="34"/>
      <c r="BM785" s="34"/>
      <c r="BN785" s="34"/>
      <c r="BO785" s="34"/>
      <c r="BP785" s="34"/>
      <c r="BY785" s="34"/>
      <c r="BZ785" s="34"/>
      <c r="CA785" s="34"/>
      <c r="CB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</row>
    <row r="786" ht="15.75" customHeight="1">
      <c r="B786" s="34"/>
      <c r="E786" s="34"/>
      <c r="F786" s="34"/>
      <c r="G786" s="34"/>
      <c r="H786" s="34"/>
      <c r="I786" s="34"/>
      <c r="J786" s="34"/>
      <c r="K786" s="34"/>
      <c r="L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AA786" s="34"/>
      <c r="AB786" s="34"/>
      <c r="AC786" s="34"/>
      <c r="AD786" s="34"/>
      <c r="AE786" s="34"/>
      <c r="AF786" s="34"/>
      <c r="AG786" s="34"/>
      <c r="AH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I786" s="34"/>
      <c r="BJ786" s="34"/>
      <c r="BK786" s="34"/>
      <c r="BL786" s="34"/>
      <c r="BM786" s="34"/>
      <c r="BN786" s="34"/>
      <c r="BO786" s="34"/>
      <c r="BP786" s="34"/>
      <c r="BY786" s="34"/>
      <c r="BZ786" s="34"/>
      <c r="CA786" s="34"/>
      <c r="CB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</row>
    <row r="787" ht="15.75" customHeight="1">
      <c r="B787" s="34"/>
      <c r="E787" s="34"/>
      <c r="F787" s="34"/>
      <c r="G787" s="34"/>
      <c r="H787" s="34"/>
      <c r="I787" s="34"/>
      <c r="J787" s="34"/>
      <c r="K787" s="34"/>
      <c r="L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AA787" s="34"/>
      <c r="AB787" s="34"/>
      <c r="AC787" s="34"/>
      <c r="AD787" s="34"/>
      <c r="AE787" s="34"/>
      <c r="AF787" s="34"/>
      <c r="AG787" s="34"/>
      <c r="AH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I787" s="34"/>
      <c r="BJ787" s="34"/>
      <c r="BK787" s="34"/>
      <c r="BL787" s="34"/>
      <c r="BM787" s="34"/>
      <c r="BN787" s="34"/>
      <c r="BO787" s="34"/>
      <c r="BP787" s="34"/>
      <c r="BY787" s="34"/>
      <c r="BZ787" s="34"/>
      <c r="CA787" s="34"/>
      <c r="CB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</row>
    <row r="788" ht="15.75" customHeight="1">
      <c r="B788" s="34"/>
      <c r="E788" s="34"/>
      <c r="F788" s="34"/>
      <c r="G788" s="34"/>
      <c r="H788" s="34"/>
      <c r="I788" s="34"/>
      <c r="J788" s="34"/>
      <c r="K788" s="34"/>
      <c r="L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AA788" s="34"/>
      <c r="AB788" s="34"/>
      <c r="AC788" s="34"/>
      <c r="AD788" s="34"/>
      <c r="AE788" s="34"/>
      <c r="AF788" s="34"/>
      <c r="AG788" s="34"/>
      <c r="AH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I788" s="34"/>
      <c r="BJ788" s="34"/>
      <c r="BK788" s="34"/>
      <c r="BL788" s="34"/>
      <c r="BM788" s="34"/>
      <c r="BN788" s="34"/>
      <c r="BO788" s="34"/>
      <c r="BP788" s="34"/>
      <c r="BY788" s="34"/>
      <c r="BZ788" s="34"/>
      <c r="CA788" s="34"/>
      <c r="CB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</row>
    <row r="789" ht="15.75" customHeight="1">
      <c r="B789" s="34"/>
      <c r="E789" s="34"/>
      <c r="F789" s="34"/>
      <c r="G789" s="34"/>
      <c r="H789" s="34"/>
      <c r="I789" s="34"/>
      <c r="J789" s="34"/>
      <c r="K789" s="34"/>
      <c r="L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AA789" s="34"/>
      <c r="AB789" s="34"/>
      <c r="AC789" s="34"/>
      <c r="AD789" s="34"/>
      <c r="AE789" s="34"/>
      <c r="AF789" s="34"/>
      <c r="AG789" s="34"/>
      <c r="AH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I789" s="34"/>
      <c r="BJ789" s="34"/>
      <c r="BK789" s="34"/>
      <c r="BL789" s="34"/>
      <c r="BM789" s="34"/>
      <c r="BN789" s="34"/>
      <c r="BO789" s="34"/>
      <c r="BP789" s="34"/>
      <c r="BY789" s="34"/>
      <c r="BZ789" s="34"/>
      <c r="CA789" s="34"/>
      <c r="CB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</row>
    <row r="790" ht="15.75" customHeight="1">
      <c r="B790" s="34"/>
      <c r="E790" s="34"/>
      <c r="F790" s="34"/>
      <c r="G790" s="34"/>
      <c r="H790" s="34"/>
      <c r="I790" s="34"/>
      <c r="J790" s="34"/>
      <c r="K790" s="34"/>
      <c r="L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AA790" s="34"/>
      <c r="AB790" s="34"/>
      <c r="AC790" s="34"/>
      <c r="AD790" s="34"/>
      <c r="AE790" s="34"/>
      <c r="AF790" s="34"/>
      <c r="AG790" s="34"/>
      <c r="AH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I790" s="34"/>
      <c r="BJ790" s="34"/>
      <c r="BK790" s="34"/>
      <c r="BL790" s="34"/>
      <c r="BM790" s="34"/>
      <c r="BN790" s="34"/>
      <c r="BO790" s="34"/>
      <c r="BP790" s="34"/>
      <c r="BY790" s="34"/>
      <c r="BZ790" s="34"/>
      <c r="CA790" s="34"/>
      <c r="CB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</row>
    <row r="791" ht="15.75" customHeight="1">
      <c r="B791" s="34"/>
      <c r="E791" s="34"/>
      <c r="F791" s="34"/>
      <c r="G791" s="34"/>
      <c r="H791" s="34"/>
      <c r="I791" s="34"/>
      <c r="J791" s="34"/>
      <c r="K791" s="34"/>
      <c r="L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AA791" s="34"/>
      <c r="AB791" s="34"/>
      <c r="AC791" s="34"/>
      <c r="AD791" s="34"/>
      <c r="AE791" s="34"/>
      <c r="AF791" s="34"/>
      <c r="AG791" s="34"/>
      <c r="AH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I791" s="34"/>
      <c r="BJ791" s="34"/>
      <c r="BK791" s="34"/>
      <c r="BL791" s="34"/>
      <c r="BM791" s="34"/>
      <c r="BN791" s="34"/>
      <c r="BO791" s="34"/>
      <c r="BP791" s="34"/>
      <c r="BY791" s="34"/>
      <c r="BZ791" s="34"/>
      <c r="CA791" s="34"/>
      <c r="CB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</row>
    <row r="792" ht="15.75" customHeight="1">
      <c r="B792" s="34"/>
      <c r="E792" s="34"/>
      <c r="F792" s="34"/>
      <c r="G792" s="34"/>
      <c r="H792" s="34"/>
      <c r="I792" s="34"/>
      <c r="J792" s="34"/>
      <c r="K792" s="34"/>
      <c r="L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AA792" s="34"/>
      <c r="AB792" s="34"/>
      <c r="AC792" s="34"/>
      <c r="AD792" s="34"/>
      <c r="AE792" s="34"/>
      <c r="AF792" s="34"/>
      <c r="AG792" s="34"/>
      <c r="AH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I792" s="34"/>
      <c r="BJ792" s="34"/>
      <c r="BK792" s="34"/>
      <c r="BL792" s="34"/>
      <c r="BM792" s="34"/>
      <c r="BN792" s="34"/>
      <c r="BO792" s="34"/>
      <c r="BP792" s="34"/>
      <c r="BY792" s="34"/>
      <c r="BZ792" s="34"/>
      <c r="CA792" s="34"/>
      <c r="CB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</row>
    <row r="793" ht="15.75" customHeight="1">
      <c r="B793" s="34"/>
      <c r="E793" s="34"/>
      <c r="F793" s="34"/>
      <c r="G793" s="34"/>
      <c r="H793" s="34"/>
      <c r="I793" s="34"/>
      <c r="J793" s="34"/>
      <c r="K793" s="34"/>
      <c r="L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AA793" s="34"/>
      <c r="AB793" s="34"/>
      <c r="AC793" s="34"/>
      <c r="AD793" s="34"/>
      <c r="AE793" s="34"/>
      <c r="AF793" s="34"/>
      <c r="AG793" s="34"/>
      <c r="AH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I793" s="34"/>
      <c r="BJ793" s="34"/>
      <c r="BK793" s="34"/>
      <c r="BL793" s="34"/>
      <c r="BM793" s="34"/>
      <c r="BN793" s="34"/>
      <c r="BO793" s="34"/>
      <c r="BP793" s="34"/>
      <c r="BY793" s="34"/>
      <c r="BZ793" s="34"/>
      <c r="CA793" s="34"/>
      <c r="CB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</row>
    <row r="794" ht="15.75" customHeight="1">
      <c r="B794" s="34"/>
      <c r="E794" s="34"/>
      <c r="F794" s="34"/>
      <c r="G794" s="34"/>
      <c r="H794" s="34"/>
      <c r="I794" s="34"/>
      <c r="J794" s="34"/>
      <c r="K794" s="34"/>
      <c r="L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AA794" s="34"/>
      <c r="AB794" s="34"/>
      <c r="AC794" s="34"/>
      <c r="AD794" s="34"/>
      <c r="AE794" s="34"/>
      <c r="AF794" s="34"/>
      <c r="AG794" s="34"/>
      <c r="AH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I794" s="34"/>
      <c r="BJ794" s="34"/>
      <c r="BK794" s="34"/>
      <c r="BL794" s="34"/>
      <c r="BM794" s="34"/>
      <c r="BN794" s="34"/>
      <c r="BO794" s="34"/>
      <c r="BP794" s="34"/>
      <c r="BY794" s="34"/>
      <c r="BZ794" s="34"/>
      <c r="CA794" s="34"/>
      <c r="CB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</row>
    <row r="795" ht="15.75" customHeight="1">
      <c r="B795" s="34"/>
      <c r="E795" s="34"/>
      <c r="F795" s="34"/>
      <c r="G795" s="34"/>
      <c r="H795" s="34"/>
      <c r="I795" s="34"/>
      <c r="J795" s="34"/>
      <c r="K795" s="34"/>
      <c r="L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AA795" s="34"/>
      <c r="AB795" s="34"/>
      <c r="AC795" s="34"/>
      <c r="AD795" s="34"/>
      <c r="AE795" s="34"/>
      <c r="AF795" s="34"/>
      <c r="AG795" s="34"/>
      <c r="AH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I795" s="34"/>
      <c r="BJ795" s="34"/>
      <c r="BK795" s="34"/>
      <c r="BL795" s="34"/>
      <c r="BM795" s="34"/>
      <c r="BN795" s="34"/>
      <c r="BO795" s="34"/>
      <c r="BP795" s="34"/>
      <c r="BY795" s="34"/>
      <c r="BZ795" s="34"/>
      <c r="CA795" s="34"/>
      <c r="CB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</row>
    <row r="796" ht="15.75" customHeight="1">
      <c r="B796" s="34"/>
      <c r="E796" s="34"/>
      <c r="F796" s="34"/>
      <c r="G796" s="34"/>
      <c r="H796" s="34"/>
      <c r="I796" s="34"/>
      <c r="J796" s="34"/>
      <c r="K796" s="34"/>
      <c r="L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AA796" s="34"/>
      <c r="AB796" s="34"/>
      <c r="AC796" s="34"/>
      <c r="AD796" s="34"/>
      <c r="AE796" s="34"/>
      <c r="AF796" s="34"/>
      <c r="AG796" s="34"/>
      <c r="AH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I796" s="34"/>
      <c r="BJ796" s="34"/>
      <c r="BK796" s="34"/>
      <c r="BL796" s="34"/>
      <c r="BM796" s="34"/>
      <c r="BN796" s="34"/>
      <c r="BO796" s="34"/>
      <c r="BP796" s="34"/>
      <c r="BY796" s="34"/>
      <c r="BZ796" s="34"/>
      <c r="CA796" s="34"/>
      <c r="CB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</row>
    <row r="797" ht="15.75" customHeight="1">
      <c r="B797" s="34"/>
      <c r="E797" s="34"/>
      <c r="F797" s="34"/>
      <c r="G797" s="34"/>
      <c r="H797" s="34"/>
      <c r="I797" s="34"/>
      <c r="J797" s="34"/>
      <c r="K797" s="34"/>
      <c r="L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AA797" s="34"/>
      <c r="AB797" s="34"/>
      <c r="AC797" s="34"/>
      <c r="AD797" s="34"/>
      <c r="AE797" s="34"/>
      <c r="AF797" s="34"/>
      <c r="AG797" s="34"/>
      <c r="AH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I797" s="34"/>
      <c r="BJ797" s="34"/>
      <c r="BK797" s="34"/>
      <c r="BL797" s="34"/>
      <c r="BM797" s="34"/>
      <c r="BN797" s="34"/>
      <c r="BO797" s="34"/>
      <c r="BP797" s="34"/>
      <c r="BY797" s="34"/>
      <c r="BZ797" s="34"/>
      <c r="CA797" s="34"/>
      <c r="CB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</row>
    <row r="798" ht="15.75" customHeight="1">
      <c r="B798" s="34"/>
      <c r="E798" s="34"/>
      <c r="F798" s="34"/>
      <c r="G798" s="34"/>
      <c r="H798" s="34"/>
      <c r="I798" s="34"/>
      <c r="J798" s="34"/>
      <c r="K798" s="34"/>
      <c r="L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AA798" s="34"/>
      <c r="AB798" s="34"/>
      <c r="AC798" s="34"/>
      <c r="AD798" s="34"/>
      <c r="AE798" s="34"/>
      <c r="AF798" s="34"/>
      <c r="AG798" s="34"/>
      <c r="AH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I798" s="34"/>
      <c r="BJ798" s="34"/>
      <c r="BK798" s="34"/>
      <c r="BL798" s="34"/>
      <c r="BM798" s="34"/>
      <c r="BN798" s="34"/>
      <c r="BO798" s="34"/>
      <c r="BP798" s="34"/>
      <c r="BY798" s="34"/>
      <c r="BZ798" s="34"/>
      <c r="CA798" s="34"/>
      <c r="CB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</row>
    <row r="799" ht="15.75" customHeight="1">
      <c r="B799" s="34"/>
      <c r="E799" s="34"/>
      <c r="F799" s="34"/>
      <c r="G799" s="34"/>
      <c r="H799" s="34"/>
      <c r="I799" s="34"/>
      <c r="J799" s="34"/>
      <c r="K799" s="34"/>
      <c r="L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AA799" s="34"/>
      <c r="AB799" s="34"/>
      <c r="AC799" s="34"/>
      <c r="AD799" s="34"/>
      <c r="AE799" s="34"/>
      <c r="AF799" s="34"/>
      <c r="AG799" s="34"/>
      <c r="AH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I799" s="34"/>
      <c r="BJ799" s="34"/>
      <c r="BK799" s="34"/>
      <c r="BL799" s="34"/>
      <c r="BM799" s="34"/>
      <c r="BN799" s="34"/>
      <c r="BO799" s="34"/>
      <c r="BP799" s="34"/>
      <c r="BY799" s="34"/>
      <c r="BZ799" s="34"/>
      <c r="CA799" s="34"/>
      <c r="CB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</row>
    <row r="800" ht="15.75" customHeight="1">
      <c r="B800" s="34"/>
      <c r="E800" s="34"/>
      <c r="F800" s="34"/>
      <c r="G800" s="34"/>
      <c r="H800" s="34"/>
      <c r="I800" s="34"/>
      <c r="J800" s="34"/>
      <c r="K800" s="34"/>
      <c r="L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AA800" s="34"/>
      <c r="AB800" s="34"/>
      <c r="AC800" s="34"/>
      <c r="AD800" s="34"/>
      <c r="AE800" s="34"/>
      <c r="AF800" s="34"/>
      <c r="AG800" s="34"/>
      <c r="AH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I800" s="34"/>
      <c r="BJ800" s="34"/>
      <c r="BK800" s="34"/>
      <c r="BL800" s="34"/>
      <c r="BM800" s="34"/>
      <c r="BN800" s="34"/>
      <c r="BO800" s="34"/>
      <c r="BP800" s="34"/>
      <c r="BY800" s="34"/>
      <c r="BZ800" s="34"/>
      <c r="CA800" s="34"/>
      <c r="CB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</row>
    <row r="801" ht="15.75" customHeight="1">
      <c r="B801" s="34"/>
      <c r="E801" s="34"/>
      <c r="F801" s="34"/>
      <c r="G801" s="34"/>
      <c r="H801" s="34"/>
      <c r="I801" s="34"/>
      <c r="J801" s="34"/>
      <c r="K801" s="34"/>
      <c r="L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AA801" s="34"/>
      <c r="AB801" s="34"/>
      <c r="AC801" s="34"/>
      <c r="AD801" s="34"/>
      <c r="AE801" s="34"/>
      <c r="AF801" s="34"/>
      <c r="AG801" s="34"/>
      <c r="AH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I801" s="34"/>
      <c r="BJ801" s="34"/>
      <c r="BK801" s="34"/>
      <c r="BL801" s="34"/>
      <c r="BM801" s="34"/>
      <c r="BN801" s="34"/>
      <c r="BO801" s="34"/>
      <c r="BP801" s="34"/>
      <c r="BY801" s="34"/>
      <c r="BZ801" s="34"/>
      <c r="CA801" s="34"/>
      <c r="CB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</row>
    <row r="802" ht="15.75" customHeight="1">
      <c r="B802" s="34"/>
      <c r="E802" s="34"/>
      <c r="F802" s="34"/>
      <c r="G802" s="34"/>
      <c r="H802" s="34"/>
      <c r="I802" s="34"/>
      <c r="J802" s="34"/>
      <c r="K802" s="34"/>
      <c r="L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AA802" s="34"/>
      <c r="AB802" s="34"/>
      <c r="AC802" s="34"/>
      <c r="AD802" s="34"/>
      <c r="AE802" s="34"/>
      <c r="AF802" s="34"/>
      <c r="AG802" s="34"/>
      <c r="AH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I802" s="34"/>
      <c r="BJ802" s="34"/>
      <c r="BK802" s="34"/>
      <c r="BL802" s="34"/>
      <c r="BM802" s="34"/>
      <c r="BN802" s="34"/>
      <c r="BO802" s="34"/>
      <c r="BP802" s="34"/>
      <c r="BY802" s="34"/>
      <c r="BZ802" s="34"/>
      <c r="CA802" s="34"/>
      <c r="CB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</row>
    <row r="803" ht="15.75" customHeight="1">
      <c r="B803" s="34"/>
      <c r="E803" s="34"/>
      <c r="F803" s="34"/>
      <c r="G803" s="34"/>
      <c r="H803" s="34"/>
      <c r="I803" s="34"/>
      <c r="J803" s="34"/>
      <c r="K803" s="34"/>
      <c r="L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AA803" s="34"/>
      <c r="AB803" s="34"/>
      <c r="AC803" s="34"/>
      <c r="AD803" s="34"/>
      <c r="AE803" s="34"/>
      <c r="AF803" s="34"/>
      <c r="AG803" s="34"/>
      <c r="AH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I803" s="34"/>
      <c r="BJ803" s="34"/>
      <c r="BK803" s="34"/>
      <c r="BL803" s="34"/>
      <c r="BM803" s="34"/>
      <c r="BN803" s="34"/>
      <c r="BO803" s="34"/>
      <c r="BP803" s="34"/>
      <c r="BY803" s="34"/>
      <c r="BZ803" s="34"/>
      <c r="CA803" s="34"/>
      <c r="CB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</row>
    <row r="804" ht="15.75" customHeight="1">
      <c r="B804" s="34"/>
      <c r="E804" s="34"/>
      <c r="F804" s="34"/>
      <c r="G804" s="34"/>
      <c r="H804" s="34"/>
      <c r="I804" s="34"/>
      <c r="J804" s="34"/>
      <c r="K804" s="34"/>
      <c r="L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AA804" s="34"/>
      <c r="AB804" s="34"/>
      <c r="AC804" s="34"/>
      <c r="AD804" s="34"/>
      <c r="AE804" s="34"/>
      <c r="AF804" s="34"/>
      <c r="AG804" s="34"/>
      <c r="AH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I804" s="34"/>
      <c r="BJ804" s="34"/>
      <c r="BK804" s="34"/>
      <c r="BL804" s="34"/>
      <c r="BM804" s="34"/>
      <c r="BN804" s="34"/>
      <c r="BO804" s="34"/>
      <c r="BP804" s="34"/>
      <c r="BY804" s="34"/>
      <c r="BZ804" s="34"/>
      <c r="CA804" s="34"/>
      <c r="CB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</row>
    <row r="805" ht="15.75" customHeight="1">
      <c r="B805" s="34"/>
      <c r="E805" s="34"/>
      <c r="F805" s="34"/>
      <c r="G805" s="34"/>
      <c r="H805" s="34"/>
      <c r="I805" s="34"/>
      <c r="J805" s="34"/>
      <c r="K805" s="34"/>
      <c r="L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AA805" s="34"/>
      <c r="AB805" s="34"/>
      <c r="AC805" s="34"/>
      <c r="AD805" s="34"/>
      <c r="AE805" s="34"/>
      <c r="AF805" s="34"/>
      <c r="AG805" s="34"/>
      <c r="AH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I805" s="34"/>
      <c r="BJ805" s="34"/>
      <c r="BK805" s="34"/>
      <c r="BL805" s="34"/>
      <c r="BM805" s="34"/>
      <c r="BN805" s="34"/>
      <c r="BO805" s="34"/>
      <c r="BP805" s="34"/>
      <c r="BY805" s="34"/>
      <c r="BZ805" s="34"/>
      <c r="CA805" s="34"/>
      <c r="CB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</row>
    <row r="806" ht="15.75" customHeight="1">
      <c r="B806" s="34"/>
      <c r="E806" s="34"/>
      <c r="F806" s="34"/>
      <c r="G806" s="34"/>
      <c r="H806" s="34"/>
      <c r="I806" s="34"/>
      <c r="J806" s="34"/>
      <c r="K806" s="34"/>
      <c r="L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AA806" s="34"/>
      <c r="AB806" s="34"/>
      <c r="AC806" s="34"/>
      <c r="AD806" s="34"/>
      <c r="AE806" s="34"/>
      <c r="AF806" s="34"/>
      <c r="AG806" s="34"/>
      <c r="AH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I806" s="34"/>
      <c r="BJ806" s="34"/>
      <c r="BK806" s="34"/>
      <c r="BL806" s="34"/>
      <c r="BM806" s="34"/>
      <c r="BN806" s="34"/>
      <c r="BO806" s="34"/>
      <c r="BP806" s="34"/>
      <c r="BY806" s="34"/>
      <c r="BZ806" s="34"/>
      <c r="CA806" s="34"/>
      <c r="CB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</row>
    <row r="807" ht="15.75" customHeight="1">
      <c r="B807" s="34"/>
      <c r="E807" s="34"/>
      <c r="F807" s="34"/>
      <c r="G807" s="34"/>
      <c r="H807" s="34"/>
      <c r="I807" s="34"/>
      <c r="J807" s="34"/>
      <c r="K807" s="34"/>
      <c r="L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AA807" s="34"/>
      <c r="AB807" s="34"/>
      <c r="AC807" s="34"/>
      <c r="AD807" s="34"/>
      <c r="AE807" s="34"/>
      <c r="AF807" s="34"/>
      <c r="AG807" s="34"/>
      <c r="AH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I807" s="34"/>
      <c r="BJ807" s="34"/>
      <c r="BK807" s="34"/>
      <c r="BL807" s="34"/>
      <c r="BM807" s="34"/>
      <c r="BN807" s="34"/>
      <c r="BO807" s="34"/>
      <c r="BP807" s="34"/>
      <c r="BY807" s="34"/>
      <c r="BZ807" s="34"/>
      <c r="CA807" s="34"/>
      <c r="CB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</row>
    <row r="808" ht="15.75" customHeight="1">
      <c r="B808" s="34"/>
      <c r="E808" s="34"/>
      <c r="F808" s="34"/>
      <c r="G808" s="34"/>
      <c r="H808" s="34"/>
      <c r="I808" s="34"/>
      <c r="J808" s="34"/>
      <c r="K808" s="34"/>
      <c r="L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AA808" s="34"/>
      <c r="AB808" s="34"/>
      <c r="AC808" s="34"/>
      <c r="AD808" s="34"/>
      <c r="AE808" s="34"/>
      <c r="AF808" s="34"/>
      <c r="AG808" s="34"/>
      <c r="AH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I808" s="34"/>
      <c r="BJ808" s="34"/>
      <c r="BK808" s="34"/>
      <c r="BL808" s="34"/>
      <c r="BM808" s="34"/>
      <c r="BN808" s="34"/>
      <c r="BO808" s="34"/>
      <c r="BP808" s="34"/>
      <c r="BY808" s="34"/>
      <c r="BZ808" s="34"/>
      <c r="CA808" s="34"/>
      <c r="CB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</row>
    <row r="809" ht="15.75" customHeight="1">
      <c r="B809" s="34"/>
      <c r="E809" s="34"/>
      <c r="F809" s="34"/>
      <c r="G809" s="34"/>
      <c r="H809" s="34"/>
      <c r="I809" s="34"/>
      <c r="J809" s="34"/>
      <c r="K809" s="34"/>
      <c r="L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AA809" s="34"/>
      <c r="AB809" s="34"/>
      <c r="AC809" s="34"/>
      <c r="AD809" s="34"/>
      <c r="AE809" s="34"/>
      <c r="AF809" s="34"/>
      <c r="AG809" s="34"/>
      <c r="AH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I809" s="34"/>
      <c r="BJ809" s="34"/>
      <c r="BK809" s="34"/>
      <c r="BL809" s="34"/>
      <c r="BM809" s="34"/>
      <c r="BN809" s="34"/>
      <c r="BO809" s="34"/>
      <c r="BP809" s="34"/>
      <c r="BY809" s="34"/>
      <c r="BZ809" s="34"/>
      <c r="CA809" s="34"/>
      <c r="CB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</row>
    <row r="810" ht="15.75" customHeight="1">
      <c r="B810" s="34"/>
      <c r="E810" s="34"/>
      <c r="F810" s="34"/>
      <c r="G810" s="34"/>
      <c r="H810" s="34"/>
      <c r="I810" s="34"/>
      <c r="J810" s="34"/>
      <c r="K810" s="34"/>
      <c r="L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AA810" s="34"/>
      <c r="AB810" s="34"/>
      <c r="AC810" s="34"/>
      <c r="AD810" s="34"/>
      <c r="AE810" s="34"/>
      <c r="AF810" s="34"/>
      <c r="AG810" s="34"/>
      <c r="AH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I810" s="34"/>
      <c r="BJ810" s="34"/>
      <c r="BK810" s="34"/>
      <c r="BL810" s="34"/>
      <c r="BM810" s="34"/>
      <c r="BN810" s="34"/>
      <c r="BO810" s="34"/>
      <c r="BP810" s="34"/>
      <c r="BY810" s="34"/>
      <c r="BZ810" s="34"/>
      <c r="CA810" s="34"/>
      <c r="CB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</row>
    <row r="811" ht="15.75" customHeight="1">
      <c r="B811" s="34"/>
      <c r="E811" s="34"/>
      <c r="F811" s="34"/>
      <c r="G811" s="34"/>
      <c r="H811" s="34"/>
      <c r="I811" s="34"/>
      <c r="J811" s="34"/>
      <c r="K811" s="34"/>
      <c r="L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AA811" s="34"/>
      <c r="AB811" s="34"/>
      <c r="AC811" s="34"/>
      <c r="AD811" s="34"/>
      <c r="AE811" s="34"/>
      <c r="AF811" s="34"/>
      <c r="AG811" s="34"/>
      <c r="AH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I811" s="34"/>
      <c r="BJ811" s="34"/>
      <c r="BK811" s="34"/>
      <c r="BL811" s="34"/>
      <c r="BM811" s="34"/>
      <c r="BN811" s="34"/>
      <c r="BO811" s="34"/>
      <c r="BP811" s="34"/>
      <c r="BY811" s="34"/>
      <c r="BZ811" s="34"/>
      <c r="CA811" s="34"/>
      <c r="CB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</row>
    <row r="812" ht="15.75" customHeight="1">
      <c r="B812" s="34"/>
      <c r="E812" s="34"/>
      <c r="F812" s="34"/>
      <c r="G812" s="34"/>
      <c r="H812" s="34"/>
      <c r="I812" s="34"/>
      <c r="J812" s="34"/>
      <c r="K812" s="34"/>
      <c r="L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AA812" s="34"/>
      <c r="AB812" s="34"/>
      <c r="AC812" s="34"/>
      <c r="AD812" s="34"/>
      <c r="AE812" s="34"/>
      <c r="AF812" s="34"/>
      <c r="AG812" s="34"/>
      <c r="AH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I812" s="34"/>
      <c r="BJ812" s="34"/>
      <c r="BK812" s="34"/>
      <c r="BL812" s="34"/>
      <c r="BM812" s="34"/>
      <c r="BN812" s="34"/>
      <c r="BO812" s="34"/>
      <c r="BP812" s="34"/>
      <c r="BY812" s="34"/>
      <c r="BZ812" s="34"/>
      <c r="CA812" s="34"/>
      <c r="CB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</row>
    <row r="813" ht="15.75" customHeight="1">
      <c r="B813" s="34"/>
      <c r="E813" s="34"/>
      <c r="F813" s="34"/>
      <c r="G813" s="34"/>
      <c r="H813" s="34"/>
      <c r="I813" s="34"/>
      <c r="J813" s="34"/>
      <c r="K813" s="34"/>
      <c r="L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AA813" s="34"/>
      <c r="AB813" s="34"/>
      <c r="AC813" s="34"/>
      <c r="AD813" s="34"/>
      <c r="AE813" s="34"/>
      <c r="AF813" s="34"/>
      <c r="AG813" s="34"/>
      <c r="AH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I813" s="34"/>
      <c r="BJ813" s="34"/>
      <c r="BK813" s="34"/>
      <c r="BL813" s="34"/>
      <c r="BM813" s="34"/>
      <c r="BN813" s="34"/>
      <c r="BO813" s="34"/>
      <c r="BP813" s="34"/>
      <c r="BY813" s="34"/>
      <c r="BZ813" s="34"/>
      <c r="CA813" s="34"/>
      <c r="CB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</row>
    <row r="814" ht="15.75" customHeight="1">
      <c r="B814" s="34"/>
      <c r="E814" s="34"/>
      <c r="F814" s="34"/>
      <c r="G814" s="34"/>
      <c r="H814" s="34"/>
      <c r="I814" s="34"/>
      <c r="J814" s="34"/>
      <c r="K814" s="34"/>
      <c r="L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AA814" s="34"/>
      <c r="AB814" s="34"/>
      <c r="AC814" s="34"/>
      <c r="AD814" s="34"/>
      <c r="AE814" s="34"/>
      <c r="AF814" s="34"/>
      <c r="AG814" s="34"/>
      <c r="AH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I814" s="34"/>
      <c r="BJ814" s="34"/>
      <c r="BK814" s="34"/>
      <c r="BL814" s="34"/>
      <c r="BM814" s="34"/>
      <c r="BN814" s="34"/>
      <c r="BO814" s="34"/>
      <c r="BP814" s="34"/>
      <c r="BY814" s="34"/>
      <c r="BZ814" s="34"/>
      <c r="CA814" s="34"/>
      <c r="CB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</row>
    <row r="815" ht="15.75" customHeight="1">
      <c r="B815" s="34"/>
      <c r="E815" s="34"/>
      <c r="F815" s="34"/>
      <c r="G815" s="34"/>
      <c r="H815" s="34"/>
      <c r="I815" s="34"/>
      <c r="J815" s="34"/>
      <c r="K815" s="34"/>
      <c r="L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AA815" s="34"/>
      <c r="AB815" s="34"/>
      <c r="AC815" s="34"/>
      <c r="AD815" s="34"/>
      <c r="AE815" s="34"/>
      <c r="AF815" s="34"/>
      <c r="AG815" s="34"/>
      <c r="AH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I815" s="34"/>
      <c r="BJ815" s="34"/>
      <c r="BK815" s="34"/>
      <c r="BL815" s="34"/>
      <c r="BM815" s="34"/>
      <c r="BN815" s="34"/>
      <c r="BO815" s="34"/>
      <c r="BP815" s="34"/>
      <c r="BY815" s="34"/>
      <c r="BZ815" s="34"/>
      <c r="CA815" s="34"/>
      <c r="CB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</row>
    <row r="816" ht="15.75" customHeight="1">
      <c r="B816" s="34"/>
      <c r="E816" s="34"/>
      <c r="F816" s="34"/>
      <c r="G816" s="34"/>
      <c r="H816" s="34"/>
      <c r="I816" s="34"/>
      <c r="J816" s="34"/>
      <c r="K816" s="34"/>
      <c r="L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AA816" s="34"/>
      <c r="AB816" s="34"/>
      <c r="AC816" s="34"/>
      <c r="AD816" s="34"/>
      <c r="AE816" s="34"/>
      <c r="AF816" s="34"/>
      <c r="AG816" s="34"/>
      <c r="AH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I816" s="34"/>
      <c r="BJ816" s="34"/>
      <c r="BK816" s="34"/>
      <c r="BL816" s="34"/>
      <c r="BM816" s="34"/>
      <c r="BN816" s="34"/>
      <c r="BO816" s="34"/>
      <c r="BP816" s="34"/>
      <c r="BY816" s="34"/>
      <c r="BZ816" s="34"/>
      <c r="CA816" s="34"/>
      <c r="CB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</row>
    <row r="817" ht="15.75" customHeight="1">
      <c r="B817" s="34"/>
      <c r="E817" s="34"/>
      <c r="F817" s="34"/>
      <c r="G817" s="34"/>
      <c r="H817" s="34"/>
      <c r="I817" s="34"/>
      <c r="J817" s="34"/>
      <c r="K817" s="34"/>
      <c r="L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AA817" s="34"/>
      <c r="AB817" s="34"/>
      <c r="AC817" s="34"/>
      <c r="AD817" s="34"/>
      <c r="AE817" s="34"/>
      <c r="AF817" s="34"/>
      <c r="AG817" s="34"/>
      <c r="AH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I817" s="34"/>
      <c r="BJ817" s="34"/>
      <c r="BK817" s="34"/>
      <c r="BL817" s="34"/>
      <c r="BM817" s="34"/>
      <c r="BN817" s="34"/>
      <c r="BO817" s="34"/>
      <c r="BP817" s="34"/>
      <c r="BY817" s="34"/>
      <c r="BZ817" s="34"/>
      <c r="CA817" s="34"/>
      <c r="CB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</row>
    <row r="818" ht="15.75" customHeight="1">
      <c r="B818" s="34"/>
      <c r="E818" s="34"/>
      <c r="F818" s="34"/>
      <c r="G818" s="34"/>
      <c r="H818" s="34"/>
      <c r="I818" s="34"/>
      <c r="J818" s="34"/>
      <c r="K818" s="34"/>
      <c r="L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AA818" s="34"/>
      <c r="AB818" s="34"/>
      <c r="AC818" s="34"/>
      <c r="AD818" s="34"/>
      <c r="AE818" s="34"/>
      <c r="AF818" s="34"/>
      <c r="AG818" s="34"/>
      <c r="AH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I818" s="34"/>
      <c r="BJ818" s="34"/>
      <c r="BK818" s="34"/>
      <c r="BL818" s="34"/>
      <c r="BM818" s="34"/>
      <c r="BN818" s="34"/>
      <c r="BO818" s="34"/>
      <c r="BP818" s="34"/>
      <c r="BY818" s="34"/>
      <c r="BZ818" s="34"/>
      <c r="CA818" s="34"/>
      <c r="CB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</row>
    <row r="819" ht="15.75" customHeight="1">
      <c r="B819" s="34"/>
      <c r="E819" s="34"/>
      <c r="F819" s="34"/>
      <c r="G819" s="34"/>
      <c r="H819" s="34"/>
      <c r="I819" s="34"/>
      <c r="J819" s="34"/>
      <c r="K819" s="34"/>
      <c r="L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AA819" s="34"/>
      <c r="AB819" s="34"/>
      <c r="AC819" s="34"/>
      <c r="AD819" s="34"/>
      <c r="AE819" s="34"/>
      <c r="AF819" s="34"/>
      <c r="AG819" s="34"/>
      <c r="AH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I819" s="34"/>
      <c r="BJ819" s="34"/>
      <c r="BK819" s="34"/>
      <c r="BL819" s="34"/>
      <c r="BM819" s="34"/>
      <c r="BN819" s="34"/>
      <c r="BO819" s="34"/>
      <c r="BP819" s="34"/>
      <c r="BY819" s="34"/>
      <c r="BZ819" s="34"/>
      <c r="CA819" s="34"/>
      <c r="CB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</row>
    <row r="820" ht="15.75" customHeight="1">
      <c r="B820" s="34"/>
      <c r="E820" s="34"/>
      <c r="F820" s="34"/>
      <c r="G820" s="34"/>
      <c r="H820" s="34"/>
      <c r="I820" s="34"/>
      <c r="J820" s="34"/>
      <c r="K820" s="34"/>
      <c r="L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AA820" s="34"/>
      <c r="AB820" s="34"/>
      <c r="AC820" s="34"/>
      <c r="AD820" s="34"/>
      <c r="AE820" s="34"/>
      <c r="AF820" s="34"/>
      <c r="AG820" s="34"/>
      <c r="AH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I820" s="34"/>
      <c r="BJ820" s="34"/>
      <c r="BK820" s="34"/>
      <c r="BL820" s="34"/>
      <c r="BM820" s="34"/>
      <c r="BN820" s="34"/>
      <c r="BO820" s="34"/>
      <c r="BP820" s="34"/>
      <c r="BY820" s="34"/>
      <c r="BZ820" s="34"/>
      <c r="CA820" s="34"/>
      <c r="CB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</row>
    <row r="821" ht="15.75" customHeight="1">
      <c r="B821" s="34"/>
      <c r="E821" s="34"/>
      <c r="F821" s="34"/>
      <c r="G821" s="34"/>
      <c r="H821" s="34"/>
      <c r="I821" s="34"/>
      <c r="J821" s="34"/>
      <c r="K821" s="34"/>
      <c r="L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AA821" s="34"/>
      <c r="AB821" s="34"/>
      <c r="AC821" s="34"/>
      <c r="AD821" s="34"/>
      <c r="AE821" s="34"/>
      <c r="AF821" s="34"/>
      <c r="AG821" s="34"/>
      <c r="AH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I821" s="34"/>
      <c r="BJ821" s="34"/>
      <c r="BK821" s="34"/>
      <c r="BL821" s="34"/>
      <c r="BM821" s="34"/>
      <c r="BN821" s="34"/>
      <c r="BO821" s="34"/>
      <c r="BP821" s="34"/>
      <c r="BY821" s="34"/>
      <c r="BZ821" s="34"/>
      <c r="CA821" s="34"/>
      <c r="CB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</row>
    <row r="822" ht="15.75" customHeight="1">
      <c r="B822" s="34"/>
      <c r="E822" s="34"/>
      <c r="F822" s="34"/>
      <c r="G822" s="34"/>
      <c r="H822" s="34"/>
      <c r="I822" s="34"/>
      <c r="J822" s="34"/>
      <c r="K822" s="34"/>
      <c r="L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AA822" s="34"/>
      <c r="AB822" s="34"/>
      <c r="AC822" s="34"/>
      <c r="AD822" s="34"/>
      <c r="AE822" s="34"/>
      <c r="AF822" s="34"/>
      <c r="AG822" s="34"/>
      <c r="AH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I822" s="34"/>
      <c r="BJ822" s="34"/>
      <c r="BK822" s="34"/>
      <c r="BL822" s="34"/>
      <c r="BM822" s="34"/>
      <c r="BN822" s="34"/>
      <c r="BO822" s="34"/>
      <c r="BP822" s="34"/>
      <c r="BY822" s="34"/>
      <c r="BZ822" s="34"/>
      <c r="CA822" s="34"/>
      <c r="CB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</row>
    <row r="823" ht="15.75" customHeight="1">
      <c r="B823" s="34"/>
      <c r="E823" s="34"/>
      <c r="F823" s="34"/>
      <c r="G823" s="34"/>
      <c r="H823" s="34"/>
      <c r="I823" s="34"/>
      <c r="J823" s="34"/>
      <c r="K823" s="34"/>
      <c r="L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AA823" s="34"/>
      <c r="AB823" s="34"/>
      <c r="AC823" s="34"/>
      <c r="AD823" s="34"/>
      <c r="AE823" s="34"/>
      <c r="AF823" s="34"/>
      <c r="AG823" s="34"/>
      <c r="AH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I823" s="34"/>
      <c r="BJ823" s="34"/>
      <c r="BK823" s="34"/>
      <c r="BL823" s="34"/>
      <c r="BM823" s="34"/>
      <c r="BN823" s="34"/>
      <c r="BO823" s="34"/>
      <c r="BP823" s="34"/>
      <c r="BY823" s="34"/>
      <c r="BZ823" s="34"/>
      <c r="CA823" s="34"/>
      <c r="CB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</row>
    <row r="824" ht="15.75" customHeight="1">
      <c r="B824" s="34"/>
      <c r="E824" s="34"/>
      <c r="F824" s="34"/>
      <c r="G824" s="34"/>
      <c r="H824" s="34"/>
      <c r="I824" s="34"/>
      <c r="J824" s="34"/>
      <c r="K824" s="34"/>
      <c r="L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AA824" s="34"/>
      <c r="AB824" s="34"/>
      <c r="AC824" s="34"/>
      <c r="AD824" s="34"/>
      <c r="AE824" s="34"/>
      <c r="AF824" s="34"/>
      <c r="AG824" s="34"/>
      <c r="AH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I824" s="34"/>
      <c r="BJ824" s="34"/>
      <c r="BK824" s="34"/>
      <c r="BL824" s="34"/>
      <c r="BM824" s="34"/>
      <c r="BN824" s="34"/>
      <c r="BO824" s="34"/>
      <c r="BP824" s="34"/>
      <c r="BY824" s="34"/>
      <c r="BZ824" s="34"/>
      <c r="CA824" s="34"/>
      <c r="CB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</row>
    <row r="825" ht="15.75" customHeight="1">
      <c r="B825" s="34"/>
      <c r="E825" s="34"/>
      <c r="F825" s="34"/>
      <c r="G825" s="34"/>
      <c r="H825" s="34"/>
      <c r="I825" s="34"/>
      <c r="J825" s="34"/>
      <c r="K825" s="34"/>
      <c r="L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AA825" s="34"/>
      <c r="AB825" s="34"/>
      <c r="AC825" s="34"/>
      <c r="AD825" s="34"/>
      <c r="AE825" s="34"/>
      <c r="AF825" s="34"/>
      <c r="AG825" s="34"/>
      <c r="AH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I825" s="34"/>
      <c r="BJ825" s="34"/>
      <c r="BK825" s="34"/>
      <c r="BL825" s="34"/>
      <c r="BM825" s="34"/>
      <c r="BN825" s="34"/>
      <c r="BO825" s="34"/>
      <c r="BP825" s="34"/>
      <c r="BY825" s="34"/>
      <c r="BZ825" s="34"/>
      <c r="CA825" s="34"/>
      <c r="CB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</row>
    <row r="826" ht="15.75" customHeight="1">
      <c r="B826" s="34"/>
      <c r="E826" s="34"/>
      <c r="F826" s="34"/>
      <c r="G826" s="34"/>
      <c r="H826" s="34"/>
      <c r="I826" s="34"/>
      <c r="J826" s="34"/>
      <c r="K826" s="34"/>
      <c r="L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AA826" s="34"/>
      <c r="AB826" s="34"/>
      <c r="AC826" s="34"/>
      <c r="AD826" s="34"/>
      <c r="AE826" s="34"/>
      <c r="AF826" s="34"/>
      <c r="AG826" s="34"/>
      <c r="AH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I826" s="34"/>
      <c r="BJ826" s="34"/>
      <c r="BK826" s="34"/>
      <c r="BL826" s="34"/>
      <c r="BM826" s="34"/>
      <c r="BN826" s="34"/>
      <c r="BO826" s="34"/>
      <c r="BP826" s="34"/>
      <c r="BY826" s="34"/>
      <c r="BZ826" s="34"/>
      <c r="CA826" s="34"/>
      <c r="CB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</row>
    <row r="827" ht="15.75" customHeight="1">
      <c r="B827" s="34"/>
      <c r="E827" s="34"/>
      <c r="F827" s="34"/>
      <c r="G827" s="34"/>
      <c r="H827" s="34"/>
      <c r="I827" s="34"/>
      <c r="J827" s="34"/>
      <c r="K827" s="34"/>
      <c r="L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AA827" s="34"/>
      <c r="AB827" s="34"/>
      <c r="AC827" s="34"/>
      <c r="AD827" s="34"/>
      <c r="AE827" s="34"/>
      <c r="AF827" s="34"/>
      <c r="AG827" s="34"/>
      <c r="AH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I827" s="34"/>
      <c r="BJ827" s="34"/>
      <c r="BK827" s="34"/>
      <c r="BL827" s="34"/>
      <c r="BM827" s="34"/>
      <c r="BN827" s="34"/>
      <c r="BO827" s="34"/>
      <c r="BP827" s="34"/>
      <c r="BY827" s="34"/>
      <c r="BZ827" s="34"/>
      <c r="CA827" s="34"/>
      <c r="CB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</row>
    <row r="828" ht="15.75" customHeight="1">
      <c r="B828" s="34"/>
      <c r="E828" s="34"/>
      <c r="F828" s="34"/>
      <c r="G828" s="34"/>
      <c r="H828" s="34"/>
      <c r="I828" s="34"/>
      <c r="J828" s="34"/>
      <c r="K828" s="34"/>
      <c r="L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AA828" s="34"/>
      <c r="AB828" s="34"/>
      <c r="AC828" s="34"/>
      <c r="AD828" s="34"/>
      <c r="AE828" s="34"/>
      <c r="AF828" s="34"/>
      <c r="AG828" s="34"/>
      <c r="AH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I828" s="34"/>
      <c r="BJ828" s="34"/>
      <c r="BK828" s="34"/>
      <c r="BL828" s="34"/>
      <c r="BM828" s="34"/>
      <c r="BN828" s="34"/>
      <c r="BO828" s="34"/>
      <c r="BP828" s="34"/>
      <c r="BY828" s="34"/>
      <c r="BZ828" s="34"/>
      <c r="CA828" s="34"/>
      <c r="CB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</row>
    <row r="829" ht="15.75" customHeight="1">
      <c r="B829" s="34"/>
      <c r="E829" s="34"/>
      <c r="F829" s="34"/>
      <c r="G829" s="34"/>
      <c r="H829" s="34"/>
      <c r="I829" s="34"/>
      <c r="J829" s="34"/>
      <c r="K829" s="34"/>
      <c r="L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AA829" s="34"/>
      <c r="AB829" s="34"/>
      <c r="AC829" s="34"/>
      <c r="AD829" s="34"/>
      <c r="AE829" s="34"/>
      <c r="AF829" s="34"/>
      <c r="AG829" s="34"/>
      <c r="AH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I829" s="34"/>
      <c r="BJ829" s="34"/>
      <c r="BK829" s="34"/>
      <c r="BL829" s="34"/>
      <c r="BM829" s="34"/>
      <c r="BN829" s="34"/>
      <c r="BO829" s="34"/>
      <c r="BP829" s="34"/>
      <c r="BY829" s="34"/>
      <c r="BZ829" s="34"/>
      <c r="CA829" s="34"/>
      <c r="CB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</row>
    <row r="830" ht="15.75" customHeight="1">
      <c r="B830" s="34"/>
      <c r="E830" s="34"/>
      <c r="F830" s="34"/>
      <c r="G830" s="34"/>
      <c r="H830" s="34"/>
      <c r="I830" s="34"/>
      <c r="J830" s="34"/>
      <c r="K830" s="34"/>
      <c r="L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AA830" s="34"/>
      <c r="AB830" s="34"/>
      <c r="AC830" s="34"/>
      <c r="AD830" s="34"/>
      <c r="AE830" s="34"/>
      <c r="AF830" s="34"/>
      <c r="AG830" s="34"/>
      <c r="AH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I830" s="34"/>
      <c r="BJ830" s="34"/>
      <c r="BK830" s="34"/>
      <c r="BL830" s="34"/>
      <c r="BM830" s="34"/>
      <c r="BN830" s="34"/>
      <c r="BO830" s="34"/>
      <c r="BP830" s="34"/>
      <c r="BY830" s="34"/>
      <c r="BZ830" s="34"/>
      <c r="CA830" s="34"/>
      <c r="CB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</row>
    <row r="831" ht="15.75" customHeight="1">
      <c r="B831" s="34"/>
      <c r="E831" s="34"/>
      <c r="F831" s="34"/>
      <c r="G831" s="34"/>
      <c r="H831" s="34"/>
      <c r="I831" s="34"/>
      <c r="J831" s="34"/>
      <c r="K831" s="34"/>
      <c r="L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AA831" s="34"/>
      <c r="AB831" s="34"/>
      <c r="AC831" s="34"/>
      <c r="AD831" s="34"/>
      <c r="AE831" s="34"/>
      <c r="AF831" s="34"/>
      <c r="AG831" s="34"/>
      <c r="AH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I831" s="34"/>
      <c r="BJ831" s="34"/>
      <c r="BK831" s="34"/>
      <c r="BL831" s="34"/>
      <c r="BM831" s="34"/>
      <c r="BN831" s="34"/>
      <c r="BO831" s="34"/>
      <c r="BP831" s="34"/>
      <c r="BY831" s="34"/>
      <c r="BZ831" s="34"/>
      <c r="CA831" s="34"/>
      <c r="CB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</row>
    <row r="832" ht="15.75" customHeight="1">
      <c r="B832" s="34"/>
      <c r="E832" s="34"/>
      <c r="F832" s="34"/>
      <c r="G832" s="34"/>
      <c r="H832" s="34"/>
      <c r="I832" s="34"/>
      <c r="J832" s="34"/>
      <c r="K832" s="34"/>
      <c r="L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AA832" s="34"/>
      <c r="AB832" s="34"/>
      <c r="AC832" s="34"/>
      <c r="AD832" s="34"/>
      <c r="AE832" s="34"/>
      <c r="AF832" s="34"/>
      <c r="AG832" s="34"/>
      <c r="AH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I832" s="34"/>
      <c r="BJ832" s="34"/>
      <c r="BK832" s="34"/>
      <c r="BL832" s="34"/>
      <c r="BM832" s="34"/>
      <c r="BN832" s="34"/>
      <c r="BO832" s="34"/>
      <c r="BP832" s="34"/>
      <c r="BY832" s="34"/>
      <c r="BZ832" s="34"/>
      <c r="CA832" s="34"/>
      <c r="CB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</row>
    <row r="833" ht="15.75" customHeight="1">
      <c r="B833" s="34"/>
      <c r="E833" s="34"/>
      <c r="F833" s="34"/>
      <c r="G833" s="34"/>
      <c r="H833" s="34"/>
      <c r="I833" s="34"/>
      <c r="J833" s="34"/>
      <c r="K833" s="34"/>
      <c r="L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AA833" s="34"/>
      <c r="AB833" s="34"/>
      <c r="AC833" s="34"/>
      <c r="AD833" s="34"/>
      <c r="AE833" s="34"/>
      <c r="AF833" s="34"/>
      <c r="AG833" s="34"/>
      <c r="AH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I833" s="34"/>
      <c r="BJ833" s="34"/>
      <c r="BK833" s="34"/>
      <c r="BL833" s="34"/>
      <c r="BM833" s="34"/>
      <c r="BN833" s="34"/>
      <c r="BO833" s="34"/>
      <c r="BP833" s="34"/>
      <c r="BY833" s="34"/>
      <c r="BZ833" s="34"/>
      <c r="CA833" s="34"/>
      <c r="CB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</row>
    <row r="834" ht="15.75" customHeight="1">
      <c r="B834" s="34"/>
      <c r="E834" s="34"/>
      <c r="F834" s="34"/>
      <c r="G834" s="34"/>
      <c r="H834" s="34"/>
      <c r="I834" s="34"/>
      <c r="J834" s="34"/>
      <c r="K834" s="34"/>
      <c r="L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AA834" s="34"/>
      <c r="AB834" s="34"/>
      <c r="AC834" s="34"/>
      <c r="AD834" s="34"/>
      <c r="AE834" s="34"/>
      <c r="AF834" s="34"/>
      <c r="AG834" s="34"/>
      <c r="AH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I834" s="34"/>
      <c r="BJ834" s="34"/>
      <c r="BK834" s="34"/>
      <c r="BL834" s="34"/>
      <c r="BM834" s="34"/>
      <c r="BN834" s="34"/>
      <c r="BO834" s="34"/>
      <c r="BP834" s="34"/>
      <c r="BY834" s="34"/>
      <c r="BZ834" s="34"/>
      <c r="CA834" s="34"/>
      <c r="CB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</row>
    <row r="835" ht="15.75" customHeight="1">
      <c r="B835" s="34"/>
      <c r="E835" s="34"/>
      <c r="F835" s="34"/>
      <c r="G835" s="34"/>
      <c r="H835" s="34"/>
      <c r="I835" s="34"/>
      <c r="J835" s="34"/>
      <c r="K835" s="34"/>
      <c r="L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AA835" s="34"/>
      <c r="AB835" s="34"/>
      <c r="AC835" s="34"/>
      <c r="AD835" s="34"/>
      <c r="AE835" s="34"/>
      <c r="AF835" s="34"/>
      <c r="AG835" s="34"/>
      <c r="AH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I835" s="34"/>
      <c r="BJ835" s="34"/>
      <c r="BK835" s="34"/>
      <c r="BL835" s="34"/>
      <c r="BM835" s="34"/>
      <c r="BN835" s="34"/>
      <c r="BO835" s="34"/>
      <c r="BP835" s="34"/>
      <c r="BY835" s="34"/>
      <c r="BZ835" s="34"/>
      <c r="CA835" s="34"/>
      <c r="CB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</row>
    <row r="836" ht="15.75" customHeight="1">
      <c r="B836" s="34"/>
      <c r="E836" s="34"/>
      <c r="F836" s="34"/>
      <c r="G836" s="34"/>
      <c r="H836" s="34"/>
      <c r="I836" s="34"/>
      <c r="J836" s="34"/>
      <c r="K836" s="34"/>
      <c r="L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AA836" s="34"/>
      <c r="AB836" s="34"/>
      <c r="AC836" s="34"/>
      <c r="AD836" s="34"/>
      <c r="AE836" s="34"/>
      <c r="AF836" s="34"/>
      <c r="AG836" s="34"/>
      <c r="AH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I836" s="34"/>
      <c r="BJ836" s="34"/>
      <c r="BK836" s="34"/>
      <c r="BL836" s="34"/>
      <c r="BM836" s="34"/>
      <c r="BN836" s="34"/>
      <c r="BO836" s="34"/>
      <c r="BP836" s="34"/>
      <c r="BY836" s="34"/>
      <c r="BZ836" s="34"/>
      <c r="CA836" s="34"/>
      <c r="CB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</row>
    <row r="837" ht="15.75" customHeight="1">
      <c r="B837" s="34"/>
      <c r="E837" s="34"/>
      <c r="F837" s="34"/>
      <c r="G837" s="34"/>
      <c r="H837" s="34"/>
      <c r="I837" s="34"/>
      <c r="J837" s="34"/>
      <c r="K837" s="34"/>
      <c r="L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AA837" s="34"/>
      <c r="AB837" s="34"/>
      <c r="AC837" s="34"/>
      <c r="AD837" s="34"/>
      <c r="AE837" s="34"/>
      <c r="AF837" s="34"/>
      <c r="AG837" s="34"/>
      <c r="AH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I837" s="34"/>
      <c r="BJ837" s="34"/>
      <c r="BK837" s="34"/>
      <c r="BL837" s="34"/>
      <c r="BM837" s="34"/>
      <c r="BN837" s="34"/>
      <c r="BO837" s="34"/>
      <c r="BP837" s="34"/>
      <c r="BY837" s="34"/>
      <c r="BZ837" s="34"/>
      <c r="CA837" s="34"/>
      <c r="CB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</row>
    <row r="838" ht="15.75" customHeight="1">
      <c r="B838" s="34"/>
      <c r="E838" s="34"/>
      <c r="F838" s="34"/>
      <c r="G838" s="34"/>
      <c r="H838" s="34"/>
      <c r="I838" s="34"/>
      <c r="J838" s="34"/>
      <c r="K838" s="34"/>
      <c r="L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AA838" s="34"/>
      <c r="AB838" s="34"/>
      <c r="AC838" s="34"/>
      <c r="AD838" s="34"/>
      <c r="AE838" s="34"/>
      <c r="AF838" s="34"/>
      <c r="AG838" s="34"/>
      <c r="AH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I838" s="34"/>
      <c r="BJ838" s="34"/>
      <c r="BK838" s="34"/>
      <c r="BL838" s="34"/>
      <c r="BM838" s="34"/>
      <c r="BN838" s="34"/>
      <c r="BO838" s="34"/>
      <c r="BP838" s="34"/>
      <c r="BY838" s="34"/>
      <c r="BZ838" s="34"/>
      <c r="CA838" s="34"/>
      <c r="CB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</row>
    <row r="839" ht="15.75" customHeight="1">
      <c r="B839" s="34"/>
      <c r="E839" s="34"/>
      <c r="F839" s="34"/>
      <c r="G839" s="34"/>
      <c r="H839" s="34"/>
      <c r="I839" s="34"/>
      <c r="J839" s="34"/>
      <c r="K839" s="34"/>
      <c r="L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AA839" s="34"/>
      <c r="AB839" s="34"/>
      <c r="AC839" s="34"/>
      <c r="AD839" s="34"/>
      <c r="AE839" s="34"/>
      <c r="AF839" s="34"/>
      <c r="AG839" s="34"/>
      <c r="AH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I839" s="34"/>
      <c r="BJ839" s="34"/>
      <c r="BK839" s="34"/>
      <c r="BL839" s="34"/>
      <c r="BM839" s="34"/>
      <c r="BN839" s="34"/>
      <c r="BO839" s="34"/>
      <c r="BP839" s="34"/>
      <c r="BY839" s="34"/>
      <c r="BZ839" s="34"/>
      <c r="CA839" s="34"/>
      <c r="CB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</row>
    <row r="840" ht="15.75" customHeight="1">
      <c r="B840" s="34"/>
      <c r="E840" s="34"/>
      <c r="F840" s="34"/>
      <c r="G840" s="34"/>
      <c r="H840" s="34"/>
      <c r="I840" s="34"/>
      <c r="J840" s="34"/>
      <c r="K840" s="34"/>
      <c r="L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AA840" s="34"/>
      <c r="AB840" s="34"/>
      <c r="AC840" s="34"/>
      <c r="AD840" s="34"/>
      <c r="AE840" s="34"/>
      <c r="AF840" s="34"/>
      <c r="AG840" s="34"/>
      <c r="AH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I840" s="34"/>
      <c r="BJ840" s="34"/>
      <c r="BK840" s="34"/>
      <c r="BL840" s="34"/>
      <c r="BM840" s="34"/>
      <c r="BN840" s="34"/>
      <c r="BO840" s="34"/>
      <c r="BP840" s="34"/>
      <c r="BY840" s="34"/>
      <c r="BZ840" s="34"/>
      <c r="CA840" s="34"/>
      <c r="CB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</row>
    <row r="841" ht="15.75" customHeight="1">
      <c r="B841" s="34"/>
      <c r="E841" s="34"/>
      <c r="F841" s="34"/>
      <c r="G841" s="34"/>
      <c r="H841" s="34"/>
      <c r="I841" s="34"/>
      <c r="J841" s="34"/>
      <c r="K841" s="34"/>
      <c r="L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AA841" s="34"/>
      <c r="AB841" s="34"/>
      <c r="AC841" s="34"/>
      <c r="AD841" s="34"/>
      <c r="AE841" s="34"/>
      <c r="AF841" s="34"/>
      <c r="AG841" s="34"/>
      <c r="AH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I841" s="34"/>
      <c r="BJ841" s="34"/>
      <c r="BK841" s="34"/>
      <c r="BL841" s="34"/>
      <c r="BM841" s="34"/>
      <c r="BN841" s="34"/>
      <c r="BO841" s="34"/>
      <c r="BP841" s="34"/>
      <c r="BY841" s="34"/>
      <c r="BZ841" s="34"/>
      <c r="CA841" s="34"/>
      <c r="CB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</row>
    <row r="842" ht="15.75" customHeight="1">
      <c r="B842" s="34"/>
      <c r="E842" s="34"/>
      <c r="F842" s="34"/>
      <c r="G842" s="34"/>
      <c r="H842" s="34"/>
      <c r="I842" s="34"/>
      <c r="J842" s="34"/>
      <c r="K842" s="34"/>
      <c r="L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AA842" s="34"/>
      <c r="AB842" s="34"/>
      <c r="AC842" s="34"/>
      <c r="AD842" s="34"/>
      <c r="AE842" s="34"/>
      <c r="AF842" s="34"/>
      <c r="AG842" s="34"/>
      <c r="AH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I842" s="34"/>
      <c r="BJ842" s="34"/>
      <c r="BK842" s="34"/>
      <c r="BL842" s="34"/>
      <c r="BM842" s="34"/>
      <c r="BN842" s="34"/>
      <c r="BO842" s="34"/>
      <c r="BP842" s="34"/>
      <c r="BY842" s="34"/>
      <c r="BZ842" s="34"/>
      <c r="CA842" s="34"/>
      <c r="CB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</row>
    <row r="843" ht="15.75" customHeight="1">
      <c r="B843" s="34"/>
      <c r="E843" s="34"/>
      <c r="F843" s="34"/>
      <c r="G843" s="34"/>
      <c r="H843" s="34"/>
      <c r="I843" s="34"/>
      <c r="J843" s="34"/>
      <c r="K843" s="34"/>
      <c r="L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AA843" s="34"/>
      <c r="AB843" s="34"/>
      <c r="AC843" s="34"/>
      <c r="AD843" s="34"/>
      <c r="AE843" s="34"/>
      <c r="AF843" s="34"/>
      <c r="AG843" s="34"/>
      <c r="AH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I843" s="34"/>
      <c r="BJ843" s="34"/>
      <c r="BK843" s="34"/>
      <c r="BL843" s="34"/>
      <c r="BM843" s="34"/>
      <c r="BN843" s="34"/>
      <c r="BO843" s="34"/>
      <c r="BP843" s="34"/>
      <c r="BY843" s="34"/>
      <c r="BZ843" s="34"/>
      <c r="CA843" s="34"/>
      <c r="CB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</row>
    <row r="844" ht="15.75" customHeight="1">
      <c r="B844" s="34"/>
      <c r="E844" s="34"/>
      <c r="F844" s="34"/>
      <c r="G844" s="34"/>
      <c r="H844" s="34"/>
      <c r="I844" s="34"/>
      <c r="J844" s="34"/>
      <c r="K844" s="34"/>
      <c r="L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AA844" s="34"/>
      <c r="AB844" s="34"/>
      <c r="AC844" s="34"/>
      <c r="AD844" s="34"/>
      <c r="AE844" s="34"/>
      <c r="AF844" s="34"/>
      <c r="AG844" s="34"/>
      <c r="AH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I844" s="34"/>
      <c r="BJ844" s="34"/>
      <c r="BK844" s="34"/>
      <c r="BL844" s="34"/>
      <c r="BM844" s="34"/>
      <c r="BN844" s="34"/>
      <c r="BO844" s="34"/>
      <c r="BP844" s="34"/>
      <c r="BY844" s="34"/>
      <c r="BZ844" s="34"/>
      <c r="CA844" s="34"/>
      <c r="CB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</row>
    <row r="845" ht="15.75" customHeight="1">
      <c r="B845" s="34"/>
      <c r="E845" s="34"/>
      <c r="F845" s="34"/>
      <c r="G845" s="34"/>
      <c r="H845" s="34"/>
      <c r="I845" s="34"/>
      <c r="J845" s="34"/>
      <c r="K845" s="34"/>
      <c r="L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AA845" s="34"/>
      <c r="AB845" s="34"/>
      <c r="AC845" s="34"/>
      <c r="AD845" s="34"/>
      <c r="AE845" s="34"/>
      <c r="AF845" s="34"/>
      <c r="AG845" s="34"/>
      <c r="AH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I845" s="34"/>
      <c r="BJ845" s="34"/>
      <c r="BK845" s="34"/>
      <c r="BL845" s="34"/>
      <c r="BM845" s="34"/>
      <c r="BN845" s="34"/>
      <c r="BO845" s="34"/>
      <c r="BP845" s="34"/>
      <c r="BY845" s="34"/>
      <c r="BZ845" s="34"/>
      <c r="CA845" s="34"/>
      <c r="CB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</row>
    <row r="846" ht="15.75" customHeight="1">
      <c r="B846" s="34"/>
      <c r="E846" s="34"/>
      <c r="F846" s="34"/>
      <c r="G846" s="34"/>
      <c r="H846" s="34"/>
      <c r="I846" s="34"/>
      <c r="J846" s="34"/>
      <c r="K846" s="34"/>
      <c r="L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AA846" s="34"/>
      <c r="AB846" s="34"/>
      <c r="AC846" s="34"/>
      <c r="AD846" s="34"/>
      <c r="AE846" s="34"/>
      <c r="AF846" s="34"/>
      <c r="AG846" s="34"/>
      <c r="AH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I846" s="34"/>
      <c r="BJ846" s="34"/>
      <c r="BK846" s="34"/>
      <c r="BL846" s="34"/>
      <c r="BM846" s="34"/>
      <c r="BN846" s="34"/>
      <c r="BO846" s="34"/>
      <c r="BP846" s="34"/>
      <c r="BY846" s="34"/>
      <c r="BZ846" s="34"/>
      <c r="CA846" s="34"/>
      <c r="CB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</row>
    <row r="847" ht="15.75" customHeight="1">
      <c r="B847" s="34"/>
      <c r="E847" s="34"/>
      <c r="F847" s="34"/>
      <c r="G847" s="34"/>
      <c r="H847" s="34"/>
      <c r="I847" s="34"/>
      <c r="J847" s="34"/>
      <c r="K847" s="34"/>
      <c r="L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AA847" s="34"/>
      <c r="AB847" s="34"/>
      <c r="AC847" s="34"/>
      <c r="AD847" s="34"/>
      <c r="AE847" s="34"/>
      <c r="AF847" s="34"/>
      <c r="AG847" s="34"/>
      <c r="AH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I847" s="34"/>
      <c r="BJ847" s="34"/>
      <c r="BK847" s="34"/>
      <c r="BL847" s="34"/>
      <c r="BM847" s="34"/>
      <c r="BN847" s="34"/>
      <c r="BO847" s="34"/>
      <c r="BP847" s="34"/>
      <c r="BY847" s="34"/>
      <c r="BZ847" s="34"/>
      <c r="CA847" s="34"/>
      <c r="CB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</row>
    <row r="848" ht="15.75" customHeight="1">
      <c r="B848" s="34"/>
      <c r="E848" s="34"/>
      <c r="F848" s="34"/>
      <c r="G848" s="34"/>
      <c r="H848" s="34"/>
      <c r="I848" s="34"/>
      <c r="J848" s="34"/>
      <c r="K848" s="34"/>
      <c r="L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AA848" s="34"/>
      <c r="AB848" s="34"/>
      <c r="AC848" s="34"/>
      <c r="AD848" s="34"/>
      <c r="AE848" s="34"/>
      <c r="AF848" s="34"/>
      <c r="AG848" s="34"/>
      <c r="AH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I848" s="34"/>
      <c r="BJ848" s="34"/>
      <c r="BK848" s="34"/>
      <c r="BL848" s="34"/>
      <c r="BM848" s="34"/>
      <c r="BN848" s="34"/>
      <c r="BO848" s="34"/>
      <c r="BP848" s="34"/>
      <c r="BY848" s="34"/>
      <c r="BZ848" s="34"/>
      <c r="CA848" s="34"/>
      <c r="CB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</row>
    <row r="849" ht="15.75" customHeight="1">
      <c r="B849" s="34"/>
      <c r="E849" s="34"/>
      <c r="F849" s="34"/>
      <c r="G849" s="34"/>
      <c r="H849" s="34"/>
      <c r="I849" s="34"/>
      <c r="J849" s="34"/>
      <c r="K849" s="34"/>
      <c r="L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AA849" s="34"/>
      <c r="AB849" s="34"/>
      <c r="AC849" s="34"/>
      <c r="AD849" s="34"/>
      <c r="AE849" s="34"/>
      <c r="AF849" s="34"/>
      <c r="AG849" s="34"/>
      <c r="AH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I849" s="34"/>
      <c r="BJ849" s="34"/>
      <c r="BK849" s="34"/>
      <c r="BL849" s="34"/>
      <c r="BM849" s="34"/>
      <c r="BN849" s="34"/>
      <c r="BO849" s="34"/>
      <c r="BP849" s="34"/>
      <c r="BY849" s="34"/>
      <c r="BZ849" s="34"/>
      <c r="CA849" s="34"/>
      <c r="CB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</row>
    <row r="850" ht="15.75" customHeight="1">
      <c r="B850" s="34"/>
      <c r="E850" s="34"/>
      <c r="F850" s="34"/>
      <c r="G850" s="34"/>
      <c r="H850" s="34"/>
      <c r="I850" s="34"/>
      <c r="J850" s="34"/>
      <c r="K850" s="34"/>
      <c r="L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AA850" s="34"/>
      <c r="AB850" s="34"/>
      <c r="AC850" s="34"/>
      <c r="AD850" s="34"/>
      <c r="AE850" s="34"/>
      <c r="AF850" s="34"/>
      <c r="AG850" s="34"/>
      <c r="AH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I850" s="34"/>
      <c r="BJ850" s="34"/>
      <c r="BK850" s="34"/>
      <c r="BL850" s="34"/>
      <c r="BM850" s="34"/>
      <c r="BN850" s="34"/>
      <c r="BO850" s="34"/>
      <c r="BP850" s="34"/>
      <c r="BY850" s="34"/>
      <c r="BZ850" s="34"/>
      <c r="CA850" s="34"/>
      <c r="CB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</row>
    <row r="851" ht="15.75" customHeight="1">
      <c r="B851" s="34"/>
      <c r="E851" s="34"/>
      <c r="F851" s="34"/>
      <c r="G851" s="34"/>
      <c r="H851" s="34"/>
      <c r="I851" s="34"/>
      <c r="J851" s="34"/>
      <c r="K851" s="34"/>
      <c r="L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AA851" s="34"/>
      <c r="AB851" s="34"/>
      <c r="AC851" s="34"/>
      <c r="AD851" s="34"/>
      <c r="AE851" s="34"/>
      <c r="AF851" s="34"/>
      <c r="AG851" s="34"/>
      <c r="AH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I851" s="34"/>
      <c r="BJ851" s="34"/>
      <c r="BK851" s="34"/>
      <c r="BL851" s="34"/>
      <c r="BM851" s="34"/>
      <c r="BN851" s="34"/>
      <c r="BO851" s="34"/>
      <c r="BP851" s="34"/>
      <c r="BY851" s="34"/>
      <c r="BZ851" s="34"/>
      <c r="CA851" s="34"/>
      <c r="CB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</row>
    <row r="852" ht="15.75" customHeight="1">
      <c r="B852" s="34"/>
      <c r="E852" s="34"/>
      <c r="F852" s="34"/>
      <c r="G852" s="34"/>
      <c r="H852" s="34"/>
      <c r="I852" s="34"/>
      <c r="J852" s="34"/>
      <c r="K852" s="34"/>
      <c r="L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AA852" s="34"/>
      <c r="AB852" s="34"/>
      <c r="AC852" s="34"/>
      <c r="AD852" s="34"/>
      <c r="AE852" s="34"/>
      <c r="AF852" s="34"/>
      <c r="AG852" s="34"/>
      <c r="AH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I852" s="34"/>
      <c r="BJ852" s="34"/>
      <c r="BK852" s="34"/>
      <c r="BL852" s="34"/>
      <c r="BM852" s="34"/>
      <c r="BN852" s="34"/>
      <c r="BO852" s="34"/>
      <c r="BP852" s="34"/>
      <c r="BY852" s="34"/>
      <c r="BZ852" s="34"/>
      <c r="CA852" s="34"/>
      <c r="CB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</row>
    <row r="853" ht="15.75" customHeight="1">
      <c r="B853" s="34"/>
      <c r="E853" s="34"/>
      <c r="F853" s="34"/>
      <c r="G853" s="34"/>
      <c r="H853" s="34"/>
      <c r="I853" s="34"/>
      <c r="J853" s="34"/>
      <c r="K853" s="34"/>
      <c r="L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AA853" s="34"/>
      <c r="AB853" s="34"/>
      <c r="AC853" s="34"/>
      <c r="AD853" s="34"/>
      <c r="AE853" s="34"/>
      <c r="AF853" s="34"/>
      <c r="AG853" s="34"/>
      <c r="AH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I853" s="34"/>
      <c r="BJ853" s="34"/>
      <c r="BK853" s="34"/>
      <c r="BL853" s="34"/>
      <c r="BM853" s="34"/>
      <c r="BN853" s="34"/>
      <c r="BO853" s="34"/>
      <c r="BP853" s="34"/>
      <c r="BY853" s="34"/>
      <c r="BZ853" s="34"/>
      <c r="CA853" s="34"/>
      <c r="CB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</row>
    <row r="854" ht="15.75" customHeight="1">
      <c r="B854" s="34"/>
      <c r="E854" s="34"/>
      <c r="F854" s="34"/>
      <c r="G854" s="34"/>
      <c r="H854" s="34"/>
      <c r="I854" s="34"/>
      <c r="J854" s="34"/>
      <c r="K854" s="34"/>
      <c r="L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AA854" s="34"/>
      <c r="AB854" s="34"/>
      <c r="AC854" s="34"/>
      <c r="AD854" s="34"/>
      <c r="AE854" s="34"/>
      <c r="AF854" s="34"/>
      <c r="AG854" s="34"/>
      <c r="AH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I854" s="34"/>
      <c r="BJ854" s="34"/>
      <c r="BK854" s="34"/>
      <c r="BL854" s="34"/>
      <c r="BM854" s="34"/>
      <c r="BN854" s="34"/>
      <c r="BO854" s="34"/>
      <c r="BP854" s="34"/>
      <c r="BY854" s="34"/>
      <c r="BZ854" s="34"/>
      <c r="CA854" s="34"/>
      <c r="CB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</row>
    <row r="855" ht="15.75" customHeight="1">
      <c r="B855" s="34"/>
      <c r="E855" s="34"/>
      <c r="F855" s="34"/>
      <c r="G855" s="34"/>
      <c r="H855" s="34"/>
      <c r="I855" s="34"/>
      <c r="J855" s="34"/>
      <c r="K855" s="34"/>
      <c r="L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AA855" s="34"/>
      <c r="AB855" s="34"/>
      <c r="AC855" s="34"/>
      <c r="AD855" s="34"/>
      <c r="AE855" s="34"/>
      <c r="AF855" s="34"/>
      <c r="AG855" s="34"/>
      <c r="AH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I855" s="34"/>
      <c r="BJ855" s="34"/>
      <c r="BK855" s="34"/>
      <c r="BL855" s="34"/>
      <c r="BM855" s="34"/>
      <c r="BN855" s="34"/>
      <c r="BO855" s="34"/>
      <c r="BP855" s="34"/>
      <c r="BY855" s="34"/>
      <c r="BZ855" s="34"/>
      <c r="CA855" s="34"/>
      <c r="CB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</row>
    <row r="856" ht="15.75" customHeight="1">
      <c r="B856" s="34"/>
      <c r="E856" s="34"/>
      <c r="F856" s="34"/>
      <c r="G856" s="34"/>
      <c r="H856" s="34"/>
      <c r="I856" s="34"/>
      <c r="J856" s="34"/>
      <c r="K856" s="34"/>
      <c r="L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AA856" s="34"/>
      <c r="AB856" s="34"/>
      <c r="AC856" s="34"/>
      <c r="AD856" s="34"/>
      <c r="AE856" s="34"/>
      <c r="AF856" s="34"/>
      <c r="AG856" s="34"/>
      <c r="AH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I856" s="34"/>
      <c r="BJ856" s="34"/>
      <c r="BK856" s="34"/>
      <c r="BL856" s="34"/>
      <c r="BM856" s="34"/>
      <c r="BN856" s="34"/>
      <c r="BO856" s="34"/>
      <c r="BP856" s="34"/>
      <c r="BY856" s="34"/>
      <c r="BZ856" s="34"/>
      <c r="CA856" s="34"/>
      <c r="CB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</row>
    <row r="857" ht="15.75" customHeight="1">
      <c r="B857" s="34"/>
      <c r="E857" s="34"/>
      <c r="F857" s="34"/>
      <c r="G857" s="34"/>
      <c r="H857" s="34"/>
      <c r="I857" s="34"/>
      <c r="J857" s="34"/>
      <c r="K857" s="34"/>
      <c r="L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AA857" s="34"/>
      <c r="AB857" s="34"/>
      <c r="AC857" s="34"/>
      <c r="AD857" s="34"/>
      <c r="AE857" s="34"/>
      <c r="AF857" s="34"/>
      <c r="AG857" s="34"/>
      <c r="AH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I857" s="34"/>
      <c r="BJ857" s="34"/>
      <c r="BK857" s="34"/>
      <c r="BL857" s="34"/>
      <c r="BM857" s="34"/>
      <c r="BN857" s="34"/>
      <c r="BO857" s="34"/>
      <c r="BP857" s="34"/>
      <c r="BY857" s="34"/>
      <c r="BZ857" s="34"/>
      <c r="CA857" s="34"/>
      <c r="CB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</row>
    <row r="858" ht="15.75" customHeight="1">
      <c r="B858" s="34"/>
      <c r="E858" s="34"/>
      <c r="F858" s="34"/>
      <c r="G858" s="34"/>
      <c r="H858" s="34"/>
      <c r="I858" s="34"/>
      <c r="J858" s="34"/>
      <c r="K858" s="34"/>
      <c r="L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AA858" s="34"/>
      <c r="AB858" s="34"/>
      <c r="AC858" s="34"/>
      <c r="AD858" s="34"/>
      <c r="AE858" s="34"/>
      <c r="AF858" s="34"/>
      <c r="AG858" s="34"/>
      <c r="AH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I858" s="34"/>
      <c r="BJ858" s="34"/>
      <c r="BK858" s="34"/>
      <c r="BL858" s="34"/>
      <c r="BM858" s="34"/>
      <c r="BN858" s="34"/>
      <c r="BO858" s="34"/>
      <c r="BP858" s="34"/>
      <c r="BY858" s="34"/>
      <c r="BZ858" s="34"/>
      <c r="CA858" s="34"/>
      <c r="CB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</row>
    <row r="859" ht="15.75" customHeight="1">
      <c r="B859" s="34"/>
      <c r="E859" s="34"/>
      <c r="F859" s="34"/>
      <c r="G859" s="34"/>
      <c r="H859" s="34"/>
      <c r="I859" s="34"/>
      <c r="J859" s="34"/>
      <c r="K859" s="34"/>
      <c r="L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AA859" s="34"/>
      <c r="AB859" s="34"/>
      <c r="AC859" s="34"/>
      <c r="AD859" s="34"/>
      <c r="AE859" s="34"/>
      <c r="AF859" s="34"/>
      <c r="AG859" s="34"/>
      <c r="AH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I859" s="34"/>
      <c r="BJ859" s="34"/>
      <c r="BK859" s="34"/>
      <c r="BL859" s="34"/>
      <c r="BM859" s="34"/>
      <c r="BN859" s="34"/>
      <c r="BO859" s="34"/>
      <c r="BP859" s="34"/>
      <c r="BY859" s="34"/>
      <c r="BZ859" s="34"/>
      <c r="CA859" s="34"/>
      <c r="CB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</row>
    <row r="860" ht="15.75" customHeight="1">
      <c r="B860" s="34"/>
      <c r="E860" s="34"/>
      <c r="F860" s="34"/>
      <c r="G860" s="34"/>
      <c r="H860" s="34"/>
      <c r="I860" s="34"/>
      <c r="J860" s="34"/>
      <c r="K860" s="34"/>
      <c r="L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AA860" s="34"/>
      <c r="AB860" s="34"/>
      <c r="AC860" s="34"/>
      <c r="AD860" s="34"/>
      <c r="AE860" s="34"/>
      <c r="AF860" s="34"/>
      <c r="AG860" s="34"/>
      <c r="AH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I860" s="34"/>
      <c r="BJ860" s="34"/>
      <c r="BK860" s="34"/>
      <c r="BL860" s="34"/>
      <c r="BM860" s="34"/>
      <c r="BN860" s="34"/>
      <c r="BO860" s="34"/>
      <c r="BP860" s="34"/>
      <c r="BY860" s="34"/>
      <c r="BZ860" s="34"/>
      <c r="CA860" s="34"/>
      <c r="CB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</row>
    <row r="861" ht="15.75" customHeight="1">
      <c r="B861" s="34"/>
      <c r="E861" s="34"/>
      <c r="F861" s="34"/>
      <c r="G861" s="34"/>
      <c r="H861" s="34"/>
      <c r="I861" s="34"/>
      <c r="J861" s="34"/>
      <c r="K861" s="34"/>
      <c r="L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AA861" s="34"/>
      <c r="AB861" s="34"/>
      <c r="AC861" s="34"/>
      <c r="AD861" s="34"/>
      <c r="AE861" s="34"/>
      <c r="AF861" s="34"/>
      <c r="AG861" s="34"/>
      <c r="AH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I861" s="34"/>
      <c r="BJ861" s="34"/>
      <c r="BK861" s="34"/>
      <c r="BL861" s="34"/>
      <c r="BM861" s="34"/>
      <c r="BN861" s="34"/>
      <c r="BO861" s="34"/>
      <c r="BP861" s="34"/>
      <c r="BY861" s="34"/>
      <c r="BZ861" s="34"/>
      <c r="CA861" s="34"/>
      <c r="CB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</row>
    <row r="862" ht="15.75" customHeight="1">
      <c r="B862" s="34"/>
      <c r="E862" s="34"/>
      <c r="F862" s="34"/>
      <c r="G862" s="34"/>
      <c r="H862" s="34"/>
      <c r="I862" s="34"/>
      <c r="J862" s="34"/>
      <c r="K862" s="34"/>
      <c r="L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AA862" s="34"/>
      <c r="AB862" s="34"/>
      <c r="AC862" s="34"/>
      <c r="AD862" s="34"/>
      <c r="AE862" s="34"/>
      <c r="AF862" s="34"/>
      <c r="AG862" s="34"/>
      <c r="AH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I862" s="34"/>
      <c r="BJ862" s="34"/>
      <c r="BK862" s="34"/>
      <c r="BL862" s="34"/>
      <c r="BM862" s="34"/>
      <c r="BN862" s="34"/>
      <c r="BO862" s="34"/>
      <c r="BP862" s="34"/>
      <c r="BY862" s="34"/>
      <c r="BZ862" s="34"/>
      <c r="CA862" s="34"/>
      <c r="CB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</row>
    <row r="863" ht="15.75" customHeight="1">
      <c r="B863" s="34"/>
      <c r="E863" s="34"/>
      <c r="F863" s="34"/>
      <c r="G863" s="34"/>
      <c r="H863" s="34"/>
      <c r="I863" s="34"/>
      <c r="J863" s="34"/>
      <c r="K863" s="34"/>
      <c r="L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AA863" s="34"/>
      <c r="AB863" s="34"/>
      <c r="AC863" s="34"/>
      <c r="AD863" s="34"/>
      <c r="AE863" s="34"/>
      <c r="AF863" s="34"/>
      <c r="AG863" s="34"/>
      <c r="AH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I863" s="34"/>
      <c r="BJ863" s="34"/>
      <c r="BK863" s="34"/>
      <c r="BL863" s="34"/>
      <c r="BM863" s="34"/>
      <c r="BN863" s="34"/>
      <c r="BO863" s="34"/>
      <c r="BP863" s="34"/>
      <c r="BY863" s="34"/>
      <c r="BZ863" s="34"/>
      <c r="CA863" s="34"/>
      <c r="CB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</row>
    <row r="864" ht="15.75" customHeight="1">
      <c r="B864" s="34"/>
      <c r="E864" s="34"/>
      <c r="F864" s="34"/>
      <c r="G864" s="34"/>
      <c r="H864" s="34"/>
      <c r="I864" s="34"/>
      <c r="J864" s="34"/>
      <c r="K864" s="34"/>
      <c r="L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AA864" s="34"/>
      <c r="AB864" s="34"/>
      <c r="AC864" s="34"/>
      <c r="AD864" s="34"/>
      <c r="AE864" s="34"/>
      <c r="AF864" s="34"/>
      <c r="AG864" s="34"/>
      <c r="AH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I864" s="34"/>
      <c r="BJ864" s="34"/>
      <c r="BK864" s="34"/>
      <c r="BL864" s="34"/>
      <c r="BM864" s="34"/>
      <c r="BN864" s="34"/>
      <c r="BO864" s="34"/>
      <c r="BP864" s="34"/>
      <c r="BY864" s="34"/>
      <c r="BZ864" s="34"/>
      <c r="CA864" s="34"/>
      <c r="CB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</row>
    <row r="865" ht="15.75" customHeight="1">
      <c r="B865" s="34"/>
      <c r="E865" s="34"/>
      <c r="F865" s="34"/>
      <c r="G865" s="34"/>
      <c r="H865" s="34"/>
      <c r="I865" s="34"/>
      <c r="J865" s="34"/>
      <c r="K865" s="34"/>
      <c r="L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AA865" s="34"/>
      <c r="AB865" s="34"/>
      <c r="AC865" s="34"/>
      <c r="AD865" s="34"/>
      <c r="AE865" s="34"/>
      <c r="AF865" s="34"/>
      <c r="AG865" s="34"/>
      <c r="AH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I865" s="34"/>
      <c r="BJ865" s="34"/>
      <c r="BK865" s="34"/>
      <c r="BL865" s="34"/>
      <c r="BM865" s="34"/>
      <c r="BN865" s="34"/>
      <c r="BO865" s="34"/>
      <c r="BP865" s="34"/>
      <c r="BY865" s="34"/>
      <c r="BZ865" s="34"/>
      <c r="CA865" s="34"/>
      <c r="CB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</row>
    <row r="866" ht="15.75" customHeight="1">
      <c r="B866" s="34"/>
      <c r="E866" s="34"/>
      <c r="F866" s="34"/>
      <c r="G866" s="34"/>
      <c r="H866" s="34"/>
      <c r="I866" s="34"/>
      <c r="J866" s="34"/>
      <c r="K866" s="34"/>
      <c r="L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AA866" s="34"/>
      <c r="AB866" s="34"/>
      <c r="AC866" s="34"/>
      <c r="AD866" s="34"/>
      <c r="AE866" s="34"/>
      <c r="AF866" s="34"/>
      <c r="AG866" s="34"/>
      <c r="AH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I866" s="34"/>
      <c r="BJ866" s="34"/>
      <c r="BK866" s="34"/>
      <c r="BL866" s="34"/>
      <c r="BM866" s="34"/>
      <c r="BN866" s="34"/>
      <c r="BO866" s="34"/>
      <c r="BP866" s="34"/>
      <c r="BY866" s="34"/>
      <c r="BZ866" s="34"/>
      <c r="CA866" s="34"/>
      <c r="CB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</row>
    <row r="867" ht="15.75" customHeight="1">
      <c r="B867" s="34"/>
      <c r="E867" s="34"/>
      <c r="F867" s="34"/>
      <c r="G867" s="34"/>
      <c r="H867" s="34"/>
      <c r="I867" s="34"/>
      <c r="J867" s="34"/>
      <c r="K867" s="34"/>
      <c r="L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AA867" s="34"/>
      <c r="AB867" s="34"/>
      <c r="AC867" s="34"/>
      <c r="AD867" s="34"/>
      <c r="AE867" s="34"/>
      <c r="AF867" s="34"/>
      <c r="AG867" s="34"/>
      <c r="AH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I867" s="34"/>
      <c r="BJ867" s="34"/>
      <c r="BK867" s="34"/>
      <c r="BL867" s="34"/>
      <c r="BM867" s="34"/>
      <c r="BN867" s="34"/>
      <c r="BO867" s="34"/>
      <c r="BP867" s="34"/>
      <c r="BY867" s="34"/>
      <c r="BZ867" s="34"/>
      <c r="CA867" s="34"/>
      <c r="CB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</row>
    <row r="868" ht="15.75" customHeight="1">
      <c r="B868" s="34"/>
      <c r="E868" s="34"/>
      <c r="F868" s="34"/>
      <c r="G868" s="34"/>
      <c r="H868" s="34"/>
      <c r="I868" s="34"/>
      <c r="J868" s="34"/>
      <c r="K868" s="34"/>
      <c r="L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AA868" s="34"/>
      <c r="AB868" s="34"/>
      <c r="AC868" s="34"/>
      <c r="AD868" s="34"/>
      <c r="AE868" s="34"/>
      <c r="AF868" s="34"/>
      <c r="AG868" s="34"/>
      <c r="AH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I868" s="34"/>
      <c r="BJ868" s="34"/>
      <c r="BK868" s="34"/>
      <c r="BL868" s="34"/>
      <c r="BM868" s="34"/>
      <c r="BN868" s="34"/>
      <c r="BO868" s="34"/>
      <c r="BP868" s="34"/>
      <c r="BY868" s="34"/>
      <c r="BZ868" s="34"/>
      <c r="CA868" s="34"/>
      <c r="CB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</row>
    <row r="869" ht="15.75" customHeight="1">
      <c r="B869" s="34"/>
      <c r="E869" s="34"/>
      <c r="F869" s="34"/>
      <c r="G869" s="34"/>
      <c r="H869" s="34"/>
      <c r="I869" s="34"/>
      <c r="J869" s="34"/>
      <c r="K869" s="34"/>
      <c r="L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AA869" s="34"/>
      <c r="AB869" s="34"/>
      <c r="AC869" s="34"/>
      <c r="AD869" s="34"/>
      <c r="AE869" s="34"/>
      <c r="AF869" s="34"/>
      <c r="AG869" s="34"/>
      <c r="AH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I869" s="34"/>
      <c r="BJ869" s="34"/>
      <c r="BK869" s="34"/>
      <c r="BL869" s="34"/>
      <c r="BM869" s="34"/>
      <c r="BN869" s="34"/>
      <c r="BO869" s="34"/>
      <c r="BP869" s="34"/>
      <c r="BY869" s="34"/>
      <c r="BZ869" s="34"/>
      <c r="CA869" s="34"/>
      <c r="CB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</row>
    <row r="870" ht="15.75" customHeight="1">
      <c r="B870" s="34"/>
      <c r="E870" s="34"/>
      <c r="F870" s="34"/>
      <c r="G870" s="34"/>
      <c r="H870" s="34"/>
      <c r="I870" s="34"/>
      <c r="J870" s="34"/>
      <c r="K870" s="34"/>
      <c r="L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AA870" s="34"/>
      <c r="AB870" s="34"/>
      <c r="AC870" s="34"/>
      <c r="AD870" s="34"/>
      <c r="AE870" s="34"/>
      <c r="AF870" s="34"/>
      <c r="AG870" s="34"/>
      <c r="AH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I870" s="34"/>
      <c r="BJ870" s="34"/>
      <c r="BK870" s="34"/>
      <c r="BL870" s="34"/>
      <c r="BM870" s="34"/>
      <c r="BN870" s="34"/>
      <c r="BO870" s="34"/>
      <c r="BP870" s="34"/>
      <c r="BY870" s="34"/>
      <c r="BZ870" s="34"/>
      <c r="CA870" s="34"/>
      <c r="CB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</row>
    <row r="871" ht="15.75" customHeight="1">
      <c r="B871" s="34"/>
      <c r="E871" s="34"/>
      <c r="F871" s="34"/>
      <c r="G871" s="34"/>
      <c r="H871" s="34"/>
      <c r="I871" s="34"/>
      <c r="J871" s="34"/>
      <c r="K871" s="34"/>
      <c r="L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AA871" s="34"/>
      <c r="AB871" s="34"/>
      <c r="AC871" s="34"/>
      <c r="AD871" s="34"/>
      <c r="AE871" s="34"/>
      <c r="AF871" s="34"/>
      <c r="AG871" s="34"/>
      <c r="AH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I871" s="34"/>
      <c r="BJ871" s="34"/>
      <c r="BK871" s="34"/>
      <c r="BL871" s="34"/>
      <c r="BM871" s="34"/>
      <c r="BN871" s="34"/>
      <c r="BO871" s="34"/>
      <c r="BP871" s="34"/>
      <c r="BY871" s="34"/>
      <c r="BZ871" s="34"/>
      <c r="CA871" s="34"/>
      <c r="CB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</row>
    <row r="872" ht="15.75" customHeight="1">
      <c r="B872" s="34"/>
      <c r="E872" s="34"/>
      <c r="F872" s="34"/>
      <c r="G872" s="34"/>
      <c r="H872" s="34"/>
      <c r="I872" s="34"/>
      <c r="J872" s="34"/>
      <c r="K872" s="34"/>
      <c r="L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AA872" s="34"/>
      <c r="AB872" s="34"/>
      <c r="AC872" s="34"/>
      <c r="AD872" s="34"/>
      <c r="AE872" s="34"/>
      <c r="AF872" s="34"/>
      <c r="AG872" s="34"/>
      <c r="AH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I872" s="34"/>
      <c r="BJ872" s="34"/>
      <c r="BK872" s="34"/>
      <c r="BL872" s="34"/>
      <c r="BM872" s="34"/>
      <c r="BN872" s="34"/>
      <c r="BO872" s="34"/>
      <c r="BP872" s="34"/>
      <c r="BY872" s="34"/>
      <c r="BZ872" s="34"/>
      <c r="CA872" s="34"/>
      <c r="CB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</row>
    <row r="873" ht="15.75" customHeight="1">
      <c r="B873" s="34"/>
      <c r="E873" s="34"/>
      <c r="F873" s="34"/>
      <c r="G873" s="34"/>
      <c r="H873" s="34"/>
      <c r="I873" s="34"/>
      <c r="J873" s="34"/>
      <c r="K873" s="34"/>
      <c r="L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AA873" s="34"/>
      <c r="AB873" s="34"/>
      <c r="AC873" s="34"/>
      <c r="AD873" s="34"/>
      <c r="AE873" s="34"/>
      <c r="AF873" s="34"/>
      <c r="AG873" s="34"/>
      <c r="AH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I873" s="34"/>
      <c r="BJ873" s="34"/>
      <c r="BK873" s="34"/>
      <c r="BL873" s="34"/>
      <c r="BM873" s="34"/>
      <c r="BN873" s="34"/>
      <c r="BO873" s="34"/>
      <c r="BP873" s="34"/>
      <c r="BY873" s="34"/>
      <c r="BZ873" s="34"/>
      <c r="CA873" s="34"/>
      <c r="CB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</row>
    <row r="874" ht="15.75" customHeight="1">
      <c r="B874" s="34"/>
      <c r="E874" s="34"/>
      <c r="F874" s="34"/>
      <c r="G874" s="34"/>
      <c r="H874" s="34"/>
      <c r="I874" s="34"/>
      <c r="J874" s="34"/>
      <c r="K874" s="34"/>
      <c r="L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AA874" s="34"/>
      <c r="AB874" s="34"/>
      <c r="AC874" s="34"/>
      <c r="AD874" s="34"/>
      <c r="AE874" s="34"/>
      <c r="AF874" s="34"/>
      <c r="AG874" s="34"/>
      <c r="AH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I874" s="34"/>
      <c r="BJ874" s="34"/>
      <c r="BK874" s="34"/>
      <c r="BL874" s="34"/>
      <c r="BM874" s="34"/>
      <c r="BN874" s="34"/>
      <c r="BO874" s="34"/>
      <c r="BP874" s="34"/>
      <c r="BY874" s="34"/>
      <c r="BZ874" s="34"/>
      <c r="CA874" s="34"/>
      <c r="CB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</row>
    <row r="875" ht="15.75" customHeight="1">
      <c r="B875" s="34"/>
      <c r="E875" s="34"/>
      <c r="F875" s="34"/>
      <c r="G875" s="34"/>
      <c r="H875" s="34"/>
      <c r="I875" s="34"/>
      <c r="J875" s="34"/>
      <c r="K875" s="34"/>
      <c r="L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AA875" s="34"/>
      <c r="AB875" s="34"/>
      <c r="AC875" s="34"/>
      <c r="AD875" s="34"/>
      <c r="AE875" s="34"/>
      <c r="AF875" s="34"/>
      <c r="AG875" s="34"/>
      <c r="AH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I875" s="34"/>
      <c r="BJ875" s="34"/>
      <c r="BK875" s="34"/>
      <c r="BL875" s="34"/>
      <c r="BM875" s="34"/>
      <c r="BN875" s="34"/>
      <c r="BO875" s="34"/>
      <c r="BP875" s="34"/>
      <c r="BY875" s="34"/>
      <c r="BZ875" s="34"/>
      <c r="CA875" s="34"/>
      <c r="CB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</row>
    <row r="876" ht="15.75" customHeight="1">
      <c r="B876" s="34"/>
      <c r="E876" s="34"/>
      <c r="F876" s="34"/>
      <c r="G876" s="34"/>
      <c r="H876" s="34"/>
      <c r="I876" s="34"/>
      <c r="J876" s="34"/>
      <c r="K876" s="34"/>
      <c r="L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AA876" s="34"/>
      <c r="AB876" s="34"/>
      <c r="AC876" s="34"/>
      <c r="AD876" s="34"/>
      <c r="AE876" s="34"/>
      <c r="AF876" s="34"/>
      <c r="AG876" s="34"/>
      <c r="AH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I876" s="34"/>
      <c r="BJ876" s="34"/>
      <c r="BK876" s="34"/>
      <c r="BL876" s="34"/>
      <c r="BM876" s="34"/>
      <c r="BN876" s="34"/>
      <c r="BO876" s="34"/>
      <c r="BP876" s="34"/>
      <c r="BY876" s="34"/>
      <c r="BZ876" s="34"/>
      <c r="CA876" s="34"/>
      <c r="CB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</row>
    <row r="877" ht="15.75" customHeight="1">
      <c r="B877" s="34"/>
      <c r="E877" s="34"/>
      <c r="F877" s="34"/>
      <c r="G877" s="34"/>
      <c r="H877" s="34"/>
      <c r="I877" s="34"/>
      <c r="J877" s="34"/>
      <c r="K877" s="34"/>
      <c r="L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AA877" s="34"/>
      <c r="AB877" s="34"/>
      <c r="AC877" s="34"/>
      <c r="AD877" s="34"/>
      <c r="AE877" s="34"/>
      <c r="AF877" s="34"/>
      <c r="AG877" s="34"/>
      <c r="AH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I877" s="34"/>
      <c r="BJ877" s="34"/>
      <c r="BK877" s="34"/>
      <c r="BL877" s="34"/>
      <c r="BM877" s="34"/>
      <c r="BN877" s="34"/>
      <c r="BO877" s="34"/>
      <c r="BP877" s="34"/>
      <c r="BY877" s="34"/>
      <c r="BZ877" s="34"/>
      <c r="CA877" s="34"/>
      <c r="CB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</row>
    <row r="878" ht="15.75" customHeight="1">
      <c r="B878" s="34"/>
      <c r="E878" s="34"/>
      <c r="F878" s="34"/>
      <c r="G878" s="34"/>
      <c r="H878" s="34"/>
      <c r="I878" s="34"/>
      <c r="J878" s="34"/>
      <c r="K878" s="34"/>
      <c r="L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AA878" s="34"/>
      <c r="AB878" s="34"/>
      <c r="AC878" s="34"/>
      <c r="AD878" s="34"/>
      <c r="AE878" s="34"/>
      <c r="AF878" s="34"/>
      <c r="AG878" s="34"/>
      <c r="AH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I878" s="34"/>
      <c r="BJ878" s="34"/>
      <c r="BK878" s="34"/>
      <c r="BL878" s="34"/>
      <c r="BM878" s="34"/>
      <c r="BN878" s="34"/>
      <c r="BO878" s="34"/>
      <c r="BP878" s="34"/>
      <c r="BY878" s="34"/>
      <c r="BZ878" s="34"/>
      <c r="CA878" s="34"/>
      <c r="CB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</row>
    <row r="879" ht="15.75" customHeight="1">
      <c r="B879" s="34"/>
      <c r="E879" s="34"/>
      <c r="F879" s="34"/>
      <c r="G879" s="34"/>
      <c r="H879" s="34"/>
      <c r="I879" s="34"/>
      <c r="J879" s="34"/>
      <c r="K879" s="34"/>
      <c r="L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AA879" s="34"/>
      <c r="AB879" s="34"/>
      <c r="AC879" s="34"/>
      <c r="AD879" s="34"/>
      <c r="AE879" s="34"/>
      <c r="AF879" s="34"/>
      <c r="AG879" s="34"/>
      <c r="AH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I879" s="34"/>
      <c r="BJ879" s="34"/>
      <c r="BK879" s="34"/>
      <c r="BL879" s="34"/>
      <c r="BM879" s="34"/>
      <c r="BN879" s="34"/>
      <c r="BO879" s="34"/>
      <c r="BP879" s="34"/>
      <c r="BY879" s="34"/>
      <c r="BZ879" s="34"/>
      <c r="CA879" s="34"/>
      <c r="CB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</row>
    <row r="880" ht="15.75" customHeight="1">
      <c r="B880" s="34"/>
      <c r="E880" s="34"/>
      <c r="F880" s="34"/>
      <c r="G880" s="34"/>
      <c r="H880" s="34"/>
      <c r="I880" s="34"/>
      <c r="J880" s="34"/>
      <c r="K880" s="34"/>
      <c r="L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AA880" s="34"/>
      <c r="AB880" s="34"/>
      <c r="AC880" s="34"/>
      <c r="AD880" s="34"/>
      <c r="AE880" s="34"/>
      <c r="AF880" s="34"/>
      <c r="AG880" s="34"/>
      <c r="AH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I880" s="34"/>
      <c r="BJ880" s="34"/>
      <c r="BK880" s="34"/>
      <c r="BL880" s="34"/>
      <c r="BM880" s="34"/>
      <c r="BN880" s="34"/>
      <c r="BO880" s="34"/>
      <c r="BP880" s="34"/>
      <c r="BY880" s="34"/>
      <c r="BZ880" s="34"/>
      <c r="CA880" s="34"/>
      <c r="CB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</row>
    <row r="881" ht="15.75" customHeight="1">
      <c r="B881" s="34"/>
      <c r="E881" s="34"/>
      <c r="F881" s="34"/>
      <c r="G881" s="34"/>
      <c r="H881" s="34"/>
      <c r="I881" s="34"/>
      <c r="J881" s="34"/>
      <c r="K881" s="34"/>
      <c r="L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AA881" s="34"/>
      <c r="AB881" s="34"/>
      <c r="AC881" s="34"/>
      <c r="AD881" s="34"/>
      <c r="AE881" s="34"/>
      <c r="AF881" s="34"/>
      <c r="AG881" s="34"/>
      <c r="AH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I881" s="34"/>
      <c r="BJ881" s="34"/>
      <c r="BK881" s="34"/>
      <c r="BL881" s="34"/>
      <c r="BM881" s="34"/>
      <c r="BN881" s="34"/>
      <c r="BO881" s="34"/>
      <c r="BP881" s="34"/>
      <c r="BY881" s="34"/>
      <c r="BZ881" s="34"/>
      <c r="CA881" s="34"/>
      <c r="CB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</row>
    <row r="882" ht="15.75" customHeight="1">
      <c r="B882" s="34"/>
      <c r="E882" s="34"/>
      <c r="F882" s="34"/>
      <c r="G882" s="34"/>
      <c r="H882" s="34"/>
      <c r="I882" s="34"/>
      <c r="J882" s="34"/>
      <c r="K882" s="34"/>
      <c r="L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AA882" s="34"/>
      <c r="AB882" s="34"/>
      <c r="AC882" s="34"/>
      <c r="AD882" s="34"/>
      <c r="AE882" s="34"/>
      <c r="AF882" s="34"/>
      <c r="AG882" s="34"/>
      <c r="AH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I882" s="34"/>
      <c r="BJ882" s="34"/>
      <c r="BK882" s="34"/>
      <c r="BL882" s="34"/>
      <c r="BM882" s="34"/>
      <c r="BN882" s="34"/>
      <c r="BO882" s="34"/>
      <c r="BP882" s="34"/>
      <c r="BY882" s="34"/>
      <c r="BZ882" s="34"/>
      <c r="CA882" s="34"/>
      <c r="CB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</row>
    <row r="883" ht="15.75" customHeight="1">
      <c r="B883" s="34"/>
      <c r="E883" s="34"/>
      <c r="F883" s="34"/>
      <c r="G883" s="34"/>
      <c r="H883" s="34"/>
      <c r="I883" s="34"/>
      <c r="J883" s="34"/>
      <c r="K883" s="34"/>
      <c r="L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AA883" s="34"/>
      <c r="AB883" s="34"/>
      <c r="AC883" s="34"/>
      <c r="AD883" s="34"/>
      <c r="AE883" s="34"/>
      <c r="AF883" s="34"/>
      <c r="AG883" s="34"/>
      <c r="AH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I883" s="34"/>
      <c r="BJ883" s="34"/>
      <c r="BK883" s="34"/>
      <c r="BL883" s="34"/>
      <c r="BM883" s="34"/>
      <c r="BN883" s="34"/>
      <c r="BO883" s="34"/>
      <c r="BP883" s="34"/>
      <c r="BY883" s="34"/>
      <c r="BZ883" s="34"/>
      <c r="CA883" s="34"/>
      <c r="CB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</row>
    <row r="884" ht="15.75" customHeight="1">
      <c r="B884" s="34"/>
      <c r="E884" s="34"/>
      <c r="F884" s="34"/>
      <c r="G884" s="34"/>
      <c r="H884" s="34"/>
      <c r="I884" s="34"/>
      <c r="J884" s="34"/>
      <c r="K884" s="34"/>
      <c r="L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AA884" s="34"/>
      <c r="AB884" s="34"/>
      <c r="AC884" s="34"/>
      <c r="AD884" s="34"/>
      <c r="AE884" s="34"/>
      <c r="AF884" s="34"/>
      <c r="AG884" s="34"/>
      <c r="AH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I884" s="34"/>
      <c r="BJ884" s="34"/>
      <c r="BK884" s="34"/>
      <c r="BL884" s="34"/>
      <c r="BM884" s="34"/>
      <c r="BN884" s="34"/>
      <c r="BO884" s="34"/>
      <c r="BP884" s="34"/>
      <c r="BY884" s="34"/>
      <c r="BZ884" s="34"/>
      <c r="CA884" s="34"/>
      <c r="CB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</row>
    <row r="885" ht="15.75" customHeight="1">
      <c r="B885" s="34"/>
      <c r="E885" s="34"/>
      <c r="F885" s="34"/>
      <c r="G885" s="34"/>
      <c r="H885" s="34"/>
      <c r="I885" s="34"/>
      <c r="J885" s="34"/>
      <c r="K885" s="34"/>
      <c r="L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AA885" s="34"/>
      <c r="AB885" s="34"/>
      <c r="AC885" s="34"/>
      <c r="AD885" s="34"/>
      <c r="AE885" s="34"/>
      <c r="AF885" s="34"/>
      <c r="AG885" s="34"/>
      <c r="AH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I885" s="34"/>
      <c r="BJ885" s="34"/>
      <c r="BK885" s="34"/>
      <c r="BL885" s="34"/>
      <c r="BM885" s="34"/>
      <c r="BN885" s="34"/>
      <c r="BO885" s="34"/>
      <c r="BP885" s="34"/>
      <c r="BY885" s="34"/>
      <c r="BZ885" s="34"/>
      <c r="CA885" s="34"/>
      <c r="CB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</row>
    <row r="886" ht="15.75" customHeight="1">
      <c r="B886" s="34"/>
      <c r="E886" s="34"/>
      <c r="F886" s="34"/>
      <c r="G886" s="34"/>
      <c r="H886" s="34"/>
      <c r="I886" s="34"/>
      <c r="J886" s="34"/>
      <c r="K886" s="34"/>
      <c r="L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AA886" s="34"/>
      <c r="AB886" s="34"/>
      <c r="AC886" s="34"/>
      <c r="AD886" s="34"/>
      <c r="AE886" s="34"/>
      <c r="AF886" s="34"/>
      <c r="AG886" s="34"/>
      <c r="AH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I886" s="34"/>
      <c r="BJ886" s="34"/>
      <c r="BK886" s="34"/>
      <c r="BL886" s="34"/>
      <c r="BM886" s="34"/>
      <c r="BN886" s="34"/>
      <c r="BO886" s="34"/>
      <c r="BP886" s="34"/>
      <c r="BY886" s="34"/>
      <c r="BZ886" s="34"/>
      <c r="CA886" s="34"/>
      <c r="CB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</row>
    <row r="887" ht="15.75" customHeight="1">
      <c r="B887" s="34"/>
      <c r="E887" s="34"/>
      <c r="F887" s="34"/>
      <c r="G887" s="34"/>
      <c r="H887" s="34"/>
      <c r="I887" s="34"/>
      <c r="J887" s="34"/>
      <c r="K887" s="34"/>
      <c r="L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AA887" s="34"/>
      <c r="AB887" s="34"/>
      <c r="AC887" s="34"/>
      <c r="AD887" s="34"/>
      <c r="AE887" s="34"/>
      <c r="AF887" s="34"/>
      <c r="AG887" s="34"/>
      <c r="AH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I887" s="34"/>
      <c r="BJ887" s="34"/>
      <c r="BK887" s="34"/>
      <c r="BL887" s="34"/>
      <c r="BM887" s="34"/>
      <c r="BN887" s="34"/>
      <c r="BO887" s="34"/>
      <c r="BP887" s="34"/>
      <c r="BY887" s="34"/>
      <c r="BZ887" s="34"/>
      <c r="CA887" s="34"/>
      <c r="CB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</row>
    <row r="888" ht="15.75" customHeight="1">
      <c r="B888" s="34"/>
      <c r="E888" s="34"/>
      <c r="F888" s="34"/>
      <c r="G888" s="34"/>
      <c r="H888" s="34"/>
      <c r="I888" s="34"/>
      <c r="J888" s="34"/>
      <c r="K888" s="34"/>
      <c r="L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AA888" s="34"/>
      <c r="AB888" s="34"/>
      <c r="AC888" s="34"/>
      <c r="AD888" s="34"/>
      <c r="AE888" s="34"/>
      <c r="AF888" s="34"/>
      <c r="AG888" s="34"/>
      <c r="AH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I888" s="34"/>
      <c r="BJ888" s="34"/>
      <c r="BK888" s="34"/>
      <c r="BL888" s="34"/>
      <c r="BM888" s="34"/>
      <c r="BN888" s="34"/>
      <c r="BO888" s="34"/>
      <c r="BP888" s="34"/>
      <c r="BY888" s="34"/>
      <c r="BZ888" s="34"/>
      <c r="CA888" s="34"/>
      <c r="CB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</row>
    <row r="889" ht="15.75" customHeight="1">
      <c r="B889" s="34"/>
      <c r="E889" s="34"/>
      <c r="F889" s="34"/>
      <c r="G889" s="34"/>
      <c r="H889" s="34"/>
      <c r="I889" s="34"/>
      <c r="J889" s="34"/>
      <c r="K889" s="34"/>
      <c r="L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AA889" s="34"/>
      <c r="AB889" s="34"/>
      <c r="AC889" s="34"/>
      <c r="AD889" s="34"/>
      <c r="AE889" s="34"/>
      <c r="AF889" s="34"/>
      <c r="AG889" s="34"/>
      <c r="AH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I889" s="34"/>
      <c r="BJ889" s="34"/>
      <c r="BK889" s="34"/>
      <c r="BL889" s="34"/>
      <c r="BM889" s="34"/>
      <c r="BN889" s="34"/>
      <c r="BO889" s="34"/>
      <c r="BP889" s="34"/>
      <c r="BY889" s="34"/>
      <c r="BZ889" s="34"/>
      <c r="CA889" s="34"/>
      <c r="CB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</row>
    <row r="890" ht="15.75" customHeight="1">
      <c r="B890" s="34"/>
      <c r="E890" s="34"/>
      <c r="F890" s="34"/>
      <c r="G890" s="34"/>
      <c r="H890" s="34"/>
      <c r="I890" s="34"/>
      <c r="J890" s="34"/>
      <c r="K890" s="34"/>
      <c r="L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AA890" s="34"/>
      <c r="AB890" s="34"/>
      <c r="AC890" s="34"/>
      <c r="AD890" s="34"/>
      <c r="AE890" s="34"/>
      <c r="AF890" s="34"/>
      <c r="AG890" s="34"/>
      <c r="AH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I890" s="34"/>
      <c r="BJ890" s="34"/>
      <c r="BK890" s="34"/>
      <c r="BL890" s="34"/>
      <c r="BM890" s="34"/>
      <c r="BN890" s="34"/>
      <c r="BO890" s="34"/>
      <c r="BP890" s="34"/>
      <c r="BY890" s="34"/>
      <c r="BZ890" s="34"/>
      <c r="CA890" s="34"/>
      <c r="CB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</row>
    <row r="891" ht="15.75" customHeight="1">
      <c r="B891" s="34"/>
      <c r="E891" s="34"/>
      <c r="F891" s="34"/>
      <c r="G891" s="34"/>
      <c r="H891" s="34"/>
      <c r="I891" s="34"/>
      <c r="J891" s="34"/>
      <c r="K891" s="34"/>
      <c r="L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AA891" s="34"/>
      <c r="AB891" s="34"/>
      <c r="AC891" s="34"/>
      <c r="AD891" s="34"/>
      <c r="AE891" s="34"/>
      <c r="AF891" s="34"/>
      <c r="AG891" s="34"/>
      <c r="AH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I891" s="34"/>
      <c r="BJ891" s="34"/>
      <c r="BK891" s="34"/>
      <c r="BL891" s="34"/>
      <c r="BM891" s="34"/>
      <c r="BN891" s="34"/>
      <c r="BO891" s="34"/>
      <c r="BP891" s="34"/>
      <c r="BY891" s="34"/>
      <c r="BZ891" s="34"/>
      <c r="CA891" s="34"/>
      <c r="CB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</row>
    <row r="892" ht="15.75" customHeight="1">
      <c r="B892" s="34"/>
      <c r="E892" s="34"/>
      <c r="F892" s="34"/>
      <c r="G892" s="34"/>
      <c r="H892" s="34"/>
      <c r="I892" s="34"/>
      <c r="J892" s="34"/>
      <c r="K892" s="34"/>
      <c r="L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AA892" s="34"/>
      <c r="AB892" s="34"/>
      <c r="AC892" s="34"/>
      <c r="AD892" s="34"/>
      <c r="AE892" s="34"/>
      <c r="AF892" s="34"/>
      <c r="AG892" s="34"/>
      <c r="AH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I892" s="34"/>
      <c r="BJ892" s="34"/>
      <c r="BK892" s="34"/>
      <c r="BL892" s="34"/>
      <c r="BM892" s="34"/>
      <c r="BN892" s="34"/>
      <c r="BO892" s="34"/>
      <c r="BP892" s="34"/>
      <c r="BY892" s="34"/>
      <c r="BZ892" s="34"/>
      <c r="CA892" s="34"/>
      <c r="CB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</row>
    <row r="893" ht="15.75" customHeight="1">
      <c r="B893" s="34"/>
      <c r="E893" s="34"/>
      <c r="F893" s="34"/>
      <c r="G893" s="34"/>
      <c r="H893" s="34"/>
      <c r="I893" s="34"/>
      <c r="J893" s="34"/>
      <c r="K893" s="34"/>
      <c r="L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AA893" s="34"/>
      <c r="AB893" s="34"/>
      <c r="AC893" s="34"/>
      <c r="AD893" s="34"/>
      <c r="AE893" s="34"/>
      <c r="AF893" s="34"/>
      <c r="AG893" s="34"/>
      <c r="AH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I893" s="34"/>
      <c r="BJ893" s="34"/>
      <c r="BK893" s="34"/>
      <c r="BL893" s="34"/>
      <c r="BM893" s="34"/>
      <c r="BN893" s="34"/>
      <c r="BO893" s="34"/>
      <c r="BP893" s="34"/>
      <c r="BY893" s="34"/>
      <c r="BZ893" s="34"/>
      <c r="CA893" s="34"/>
      <c r="CB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</row>
    <row r="894" ht="15.75" customHeight="1">
      <c r="B894" s="34"/>
      <c r="E894" s="34"/>
      <c r="F894" s="34"/>
      <c r="G894" s="34"/>
      <c r="H894" s="34"/>
      <c r="I894" s="34"/>
      <c r="J894" s="34"/>
      <c r="K894" s="34"/>
      <c r="L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AA894" s="34"/>
      <c r="AB894" s="34"/>
      <c r="AC894" s="34"/>
      <c r="AD894" s="34"/>
      <c r="AE894" s="34"/>
      <c r="AF894" s="34"/>
      <c r="AG894" s="34"/>
      <c r="AH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I894" s="34"/>
      <c r="BJ894" s="34"/>
      <c r="BK894" s="34"/>
      <c r="BL894" s="34"/>
      <c r="BM894" s="34"/>
      <c r="BN894" s="34"/>
      <c r="BO894" s="34"/>
      <c r="BP894" s="34"/>
      <c r="BY894" s="34"/>
      <c r="BZ894" s="34"/>
      <c r="CA894" s="34"/>
      <c r="CB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</row>
    <row r="895" ht="15.75" customHeight="1">
      <c r="B895" s="34"/>
      <c r="E895" s="34"/>
      <c r="F895" s="34"/>
      <c r="G895" s="34"/>
      <c r="H895" s="34"/>
      <c r="I895" s="34"/>
      <c r="J895" s="34"/>
      <c r="K895" s="34"/>
      <c r="L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AA895" s="34"/>
      <c r="AB895" s="34"/>
      <c r="AC895" s="34"/>
      <c r="AD895" s="34"/>
      <c r="AE895" s="34"/>
      <c r="AF895" s="34"/>
      <c r="AG895" s="34"/>
      <c r="AH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I895" s="34"/>
      <c r="BJ895" s="34"/>
      <c r="BK895" s="34"/>
      <c r="BL895" s="34"/>
      <c r="BM895" s="34"/>
      <c r="BN895" s="34"/>
      <c r="BO895" s="34"/>
      <c r="BP895" s="34"/>
      <c r="BY895" s="34"/>
      <c r="BZ895" s="34"/>
      <c r="CA895" s="34"/>
      <c r="CB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</row>
    <row r="896" ht="15.75" customHeight="1">
      <c r="B896" s="34"/>
      <c r="E896" s="34"/>
      <c r="F896" s="34"/>
      <c r="G896" s="34"/>
      <c r="H896" s="34"/>
      <c r="I896" s="34"/>
      <c r="J896" s="34"/>
      <c r="K896" s="34"/>
      <c r="L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AA896" s="34"/>
      <c r="AB896" s="34"/>
      <c r="AC896" s="34"/>
      <c r="AD896" s="34"/>
      <c r="AE896" s="34"/>
      <c r="AF896" s="34"/>
      <c r="AG896" s="34"/>
      <c r="AH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I896" s="34"/>
      <c r="BJ896" s="34"/>
      <c r="BK896" s="34"/>
      <c r="BL896" s="34"/>
      <c r="BM896" s="34"/>
      <c r="BN896" s="34"/>
      <c r="BO896" s="34"/>
      <c r="BP896" s="34"/>
      <c r="BY896" s="34"/>
      <c r="BZ896" s="34"/>
      <c r="CA896" s="34"/>
      <c r="CB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</row>
    <row r="897" ht="15.75" customHeight="1">
      <c r="B897" s="34"/>
      <c r="E897" s="34"/>
      <c r="F897" s="34"/>
      <c r="G897" s="34"/>
      <c r="H897" s="34"/>
      <c r="I897" s="34"/>
      <c r="J897" s="34"/>
      <c r="K897" s="34"/>
      <c r="L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AA897" s="34"/>
      <c r="AB897" s="34"/>
      <c r="AC897" s="34"/>
      <c r="AD897" s="34"/>
      <c r="AE897" s="34"/>
      <c r="AF897" s="34"/>
      <c r="AG897" s="34"/>
      <c r="AH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I897" s="34"/>
      <c r="BJ897" s="34"/>
      <c r="BK897" s="34"/>
      <c r="BL897" s="34"/>
      <c r="BM897" s="34"/>
      <c r="BN897" s="34"/>
      <c r="BO897" s="34"/>
      <c r="BP897" s="34"/>
      <c r="BY897" s="34"/>
      <c r="BZ897" s="34"/>
      <c r="CA897" s="34"/>
      <c r="CB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</row>
    <row r="898" ht="15.75" customHeight="1">
      <c r="B898" s="34"/>
      <c r="E898" s="34"/>
      <c r="F898" s="34"/>
      <c r="G898" s="34"/>
      <c r="H898" s="34"/>
      <c r="I898" s="34"/>
      <c r="J898" s="34"/>
      <c r="K898" s="34"/>
      <c r="L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AA898" s="34"/>
      <c r="AB898" s="34"/>
      <c r="AC898" s="34"/>
      <c r="AD898" s="34"/>
      <c r="AE898" s="34"/>
      <c r="AF898" s="34"/>
      <c r="AG898" s="34"/>
      <c r="AH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I898" s="34"/>
      <c r="BJ898" s="34"/>
      <c r="BK898" s="34"/>
      <c r="BL898" s="34"/>
      <c r="BM898" s="34"/>
      <c r="BN898" s="34"/>
      <c r="BO898" s="34"/>
      <c r="BP898" s="34"/>
      <c r="BY898" s="34"/>
      <c r="BZ898" s="34"/>
      <c r="CA898" s="34"/>
      <c r="CB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</row>
    <row r="899" ht="15.75" customHeight="1">
      <c r="B899" s="34"/>
      <c r="E899" s="34"/>
      <c r="F899" s="34"/>
      <c r="G899" s="34"/>
      <c r="H899" s="34"/>
      <c r="I899" s="34"/>
      <c r="J899" s="34"/>
      <c r="K899" s="34"/>
      <c r="L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AA899" s="34"/>
      <c r="AB899" s="34"/>
      <c r="AC899" s="34"/>
      <c r="AD899" s="34"/>
      <c r="AE899" s="34"/>
      <c r="AF899" s="34"/>
      <c r="AG899" s="34"/>
      <c r="AH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I899" s="34"/>
      <c r="BJ899" s="34"/>
      <c r="BK899" s="34"/>
      <c r="BL899" s="34"/>
      <c r="BM899" s="34"/>
      <c r="BN899" s="34"/>
      <c r="BO899" s="34"/>
      <c r="BP899" s="34"/>
      <c r="BY899" s="34"/>
      <c r="BZ899" s="34"/>
      <c r="CA899" s="34"/>
      <c r="CB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</row>
    <row r="900" ht="15.75" customHeight="1">
      <c r="B900" s="34"/>
      <c r="E900" s="34"/>
      <c r="F900" s="34"/>
      <c r="G900" s="34"/>
      <c r="H900" s="34"/>
      <c r="I900" s="34"/>
      <c r="J900" s="34"/>
      <c r="K900" s="34"/>
      <c r="L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AA900" s="34"/>
      <c r="AB900" s="34"/>
      <c r="AC900" s="34"/>
      <c r="AD900" s="34"/>
      <c r="AE900" s="34"/>
      <c r="AF900" s="34"/>
      <c r="AG900" s="34"/>
      <c r="AH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I900" s="34"/>
      <c r="BJ900" s="34"/>
      <c r="BK900" s="34"/>
      <c r="BL900" s="34"/>
      <c r="BM900" s="34"/>
      <c r="BN900" s="34"/>
      <c r="BO900" s="34"/>
      <c r="BP900" s="34"/>
      <c r="BY900" s="34"/>
      <c r="BZ900" s="34"/>
      <c r="CA900" s="34"/>
      <c r="CB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</row>
    <row r="901" ht="15.75" customHeight="1">
      <c r="B901" s="34"/>
      <c r="E901" s="34"/>
      <c r="F901" s="34"/>
      <c r="G901" s="34"/>
      <c r="H901" s="34"/>
      <c r="I901" s="34"/>
      <c r="J901" s="34"/>
      <c r="K901" s="34"/>
      <c r="L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AA901" s="34"/>
      <c r="AB901" s="34"/>
      <c r="AC901" s="34"/>
      <c r="AD901" s="34"/>
      <c r="AE901" s="34"/>
      <c r="AF901" s="34"/>
      <c r="AG901" s="34"/>
      <c r="AH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I901" s="34"/>
      <c r="BJ901" s="34"/>
      <c r="BK901" s="34"/>
      <c r="BL901" s="34"/>
      <c r="BM901" s="34"/>
      <c r="BN901" s="34"/>
      <c r="BO901" s="34"/>
      <c r="BP901" s="34"/>
      <c r="BY901" s="34"/>
      <c r="BZ901" s="34"/>
      <c r="CA901" s="34"/>
      <c r="CB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</row>
    <row r="902" ht="15.75" customHeight="1">
      <c r="B902" s="34"/>
      <c r="E902" s="34"/>
      <c r="F902" s="34"/>
      <c r="G902" s="34"/>
      <c r="H902" s="34"/>
      <c r="I902" s="34"/>
      <c r="J902" s="34"/>
      <c r="K902" s="34"/>
      <c r="L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AA902" s="34"/>
      <c r="AB902" s="34"/>
      <c r="AC902" s="34"/>
      <c r="AD902" s="34"/>
      <c r="AE902" s="34"/>
      <c r="AF902" s="34"/>
      <c r="AG902" s="34"/>
      <c r="AH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I902" s="34"/>
      <c r="BJ902" s="34"/>
      <c r="BK902" s="34"/>
      <c r="BL902" s="34"/>
      <c r="BM902" s="34"/>
      <c r="BN902" s="34"/>
      <c r="BO902" s="34"/>
      <c r="BP902" s="34"/>
      <c r="BY902" s="34"/>
      <c r="BZ902" s="34"/>
      <c r="CA902" s="34"/>
      <c r="CB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</row>
    <row r="903" ht="15.75" customHeight="1">
      <c r="B903" s="34"/>
      <c r="E903" s="34"/>
      <c r="F903" s="34"/>
      <c r="G903" s="34"/>
      <c r="H903" s="34"/>
      <c r="I903" s="34"/>
      <c r="J903" s="34"/>
      <c r="K903" s="34"/>
      <c r="L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AA903" s="34"/>
      <c r="AB903" s="34"/>
      <c r="AC903" s="34"/>
      <c r="AD903" s="34"/>
      <c r="AE903" s="34"/>
      <c r="AF903" s="34"/>
      <c r="AG903" s="34"/>
      <c r="AH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I903" s="34"/>
      <c r="BJ903" s="34"/>
      <c r="BK903" s="34"/>
      <c r="BL903" s="34"/>
      <c r="BM903" s="34"/>
      <c r="BN903" s="34"/>
      <c r="BO903" s="34"/>
      <c r="BP903" s="34"/>
      <c r="BY903" s="34"/>
      <c r="BZ903" s="34"/>
      <c r="CA903" s="34"/>
      <c r="CB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</row>
    <row r="904" ht="15.75" customHeight="1">
      <c r="B904" s="34"/>
      <c r="E904" s="34"/>
      <c r="F904" s="34"/>
      <c r="G904" s="34"/>
      <c r="H904" s="34"/>
      <c r="I904" s="34"/>
      <c r="J904" s="34"/>
      <c r="K904" s="34"/>
      <c r="L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AA904" s="34"/>
      <c r="AB904" s="34"/>
      <c r="AC904" s="34"/>
      <c r="AD904" s="34"/>
      <c r="AE904" s="34"/>
      <c r="AF904" s="34"/>
      <c r="AG904" s="34"/>
      <c r="AH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I904" s="34"/>
      <c r="BJ904" s="34"/>
      <c r="BK904" s="34"/>
      <c r="BL904" s="34"/>
      <c r="BM904" s="34"/>
      <c r="BN904" s="34"/>
      <c r="BO904" s="34"/>
      <c r="BP904" s="34"/>
      <c r="BY904" s="34"/>
      <c r="BZ904" s="34"/>
      <c r="CA904" s="34"/>
      <c r="CB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</row>
    <row r="905" ht="15.75" customHeight="1">
      <c r="B905" s="34"/>
      <c r="E905" s="34"/>
      <c r="F905" s="34"/>
      <c r="G905" s="34"/>
      <c r="H905" s="34"/>
      <c r="I905" s="34"/>
      <c r="J905" s="34"/>
      <c r="K905" s="34"/>
      <c r="L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AA905" s="34"/>
      <c r="AB905" s="34"/>
      <c r="AC905" s="34"/>
      <c r="AD905" s="34"/>
      <c r="AE905" s="34"/>
      <c r="AF905" s="34"/>
      <c r="AG905" s="34"/>
      <c r="AH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I905" s="34"/>
      <c r="BJ905" s="34"/>
      <c r="BK905" s="34"/>
      <c r="BL905" s="34"/>
      <c r="BM905" s="34"/>
      <c r="BN905" s="34"/>
      <c r="BO905" s="34"/>
      <c r="BP905" s="34"/>
      <c r="BY905" s="34"/>
      <c r="BZ905" s="34"/>
      <c r="CA905" s="34"/>
      <c r="CB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</row>
    <row r="906" ht="15.75" customHeight="1">
      <c r="B906" s="34"/>
      <c r="E906" s="34"/>
      <c r="F906" s="34"/>
      <c r="G906" s="34"/>
      <c r="H906" s="34"/>
      <c r="I906" s="34"/>
      <c r="J906" s="34"/>
      <c r="K906" s="34"/>
      <c r="L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AA906" s="34"/>
      <c r="AB906" s="34"/>
      <c r="AC906" s="34"/>
      <c r="AD906" s="34"/>
      <c r="AE906" s="34"/>
      <c r="AF906" s="34"/>
      <c r="AG906" s="34"/>
      <c r="AH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I906" s="34"/>
      <c r="BJ906" s="34"/>
      <c r="BK906" s="34"/>
      <c r="BL906" s="34"/>
      <c r="BM906" s="34"/>
      <c r="BN906" s="34"/>
      <c r="BO906" s="34"/>
      <c r="BP906" s="34"/>
      <c r="BY906" s="34"/>
      <c r="BZ906" s="34"/>
      <c r="CA906" s="34"/>
      <c r="CB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</row>
    <row r="907" ht="15.75" customHeight="1">
      <c r="B907" s="34"/>
      <c r="E907" s="34"/>
      <c r="F907" s="34"/>
      <c r="G907" s="34"/>
      <c r="H907" s="34"/>
      <c r="I907" s="34"/>
      <c r="J907" s="34"/>
      <c r="K907" s="34"/>
      <c r="L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AA907" s="34"/>
      <c r="AB907" s="34"/>
      <c r="AC907" s="34"/>
      <c r="AD907" s="34"/>
      <c r="AE907" s="34"/>
      <c r="AF907" s="34"/>
      <c r="AG907" s="34"/>
      <c r="AH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I907" s="34"/>
      <c r="BJ907" s="34"/>
      <c r="BK907" s="34"/>
      <c r="BL907" s="34"/>
      <c r="BM907" s="34"/>
      <c r="BN907" s="34"/>
      <c r="BO907" s="34"/>
      <c r="BP907" s="34"/>
      <c r="BY907" s="34"/>
      <c r="BZ907" s="34"/>
      <c r="CA907" s="34"/>
      <c r="CB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</row>
    <row r="908" ht="15.75" customHeight="1">
      <c r="B908" s="34"/>
      <c r="E908" s="34"/>
      <c r="F908" s="34"/>
      <c r="G908" s="34"/>
      <c r="H908" s="34"/>
      <c r="I908" s="34"/>
      <c r="J908" s="34"/>
      <c r="K908" s="34"/>
      <c r="L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AA908" s="34"/>
      <c r="AB908" s="34"/>
      <c r="AC908" s="34"/>
      <c r="AD908" s="34"/>
      <c r="AE908" s="34"/>
      <c r="AF908" s="34"/>
      <c r="AG908" s="34"/>
      <c r="AH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I908" s="34"/>
      <c r="BJ908" s="34"/>
      <c r="BK908" s="34"/>
      <c r="BL908" s="34"/>
      <c r="BM908" s="34"/>
      <c r="BN908" s="34"/>
      <c r="BO908" s="34"/>
      <c r="BP908" s="34"/>
      <c r="BY908" s="34"/>
      <c r="BZ908" s="34"/>
      <c r="CA908" s="34"/>
      <c r="CB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</row>
    <row r="909" ht="15.75" customHeight="1">
      <c r="B909" s="34"/>
      <c r="E909" s="34"/>
      <c r="F909" s="34"/>
      <c r="G909" s="34"/>
      <c r="H909" s="34"/>
      <c r="I909" s="34"/>
      <c r="J909" s="34"/>
      <c r="K909" s="34"/>
      <c r="L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AA909" s="34"/>
      <c r="AB909" s="34"/>
      <c r="AC909" s="34"/>
      <c r="AD909" s="34"/>
      <c r="AE909" s="34"/>
      <c r="AF909" s="34"/>
      <c r="AG909" s="34"/>
      <c r="AH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I909" s="34"/>
      <c r="BJ909" s="34"/>
      <c r="BK909" s="34"/>
      <c r="BL909" s="34"/>
      <c r="BM909" s="34"/>
      <c r="BN909" s="34"/>
      <c r="BO909" s="34"/>
      <c r="BP909" s="34"/>
      <c r="BY909" s="34"/>
      <c r="BZ909" s="34"/>
      <c r="CA909" s="34"/>
      <c r="CB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</row>
    <row r="910" ht="15.75" customHeight="1">
      <c r="B910" s="34"/>
      <c r="E910" s="34"/>
      <c r="F910" s="34"/>
      <c r="G910" s="34"/>
      <c r="H910" s="34"/>
      <c r="I910" s="34"/>
      <c r="J910" s="34"/>
      <c r="K910" s="34"/>
      <c r="L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AA910" s="34"/>
      <c r="AB910" s="34"/>
      <c r="AC910" s="34"/>
      <c r="AD910" s="34"/>
      <c r="AE910" s="34"/>
      <c r="AF910" s="34"/>
      <c r="AG910" s="34"/>
      <c r="AH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I910" s="34"/>
      <c r="BJ910" s="34"/>
      <c r="BK910" s="34"/>
      <c r="BL910" s="34"/>
      <c r="BM910" s="34"/>
      <c r="BN910" s="34"/>
      <c r="BO910" s="34"/>
      <c r="BP910" s="34"/>
      <c r="BY910" s="34"/>
      <c r="BZ910" s="34"/>
      <c r="CA910" s="34"/>
      <c r="CB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</row>
    <row r="911" ht="15.75" customHeight="1">
      <c r="B911" s="34"/>
      <c r="E911" s="34"/>
      <c r="F911" s="34"/>
      <c r="G911" s="34"/>
      <c r="H911" s="34"/>
      <c r="I911" s="34"/>
      <c r="J911" s="34"/>
      <c r="K911" s="34"/>
      <c r="L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AA911" s="34"/>
      <c r="AB911" s="34"/>
      <c r="AC911" s="34"/>
      <c r="AD911" s="34"/>
      <c r="AE911" s="34"/>
      <c r="AF911" s="34"/>
      <c r="AG911" s="34"/>
      <c r="AH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I911" s="34"/>
      <c r="BJ911" s="34"/>
      <c r="BK911" s="34"/>
      <c r="BL911" s="34"/>
      <c r="BM911" s="34"/>
      <c r="BN911" s="34"/>
      <c r="BO911" s="34"/>
      <c r="BP911" s="34"/>
      <c r="BY911" s="34"/>
      <c r="BZ911" s="34"/>
      <c r="CA911" s="34"/>
      <c r="CB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</row>
    <row r="912" ht="15.75" customHeight="1">
      <c r="B912" s="34"/>
      <c r="E912" s="34"/>
      <c r="F912" s="34"/>
      <c r="G912" s="34"/>
      <c r="H912" s="34"/>
      <c r="I912" s="34"/>
      <c r="J912" s="34"/>
      <c r="K912" s="34"/>
      <c r="L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AA912" s="34"/>
      <c r="AB912" s="34"/>
      <c r="AC912" s="34"/>
      <c r="AD912" s="34"/>
      <c r="AE912" s="34"/>
      <c r="AF912" s="34"/>
      <c r="AG912" s="34"/>
      <c r="AH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I912" s="34"/>
      <c r="BJ912" s="34"/>
      <c r="BK912" s="34"/>
      <c r="BL912" s="34"/>
      <c r="BM912" s="34"/>
      <c r="BN912" s="34"/>
      <c r="BO912" s="34"/>
      <c r="BP912" s="34"/>
      <c r="BY912" s="34"/>
      <c r="BZ912" s="34"/>
      <c r="CA912" s="34"/>
      <c r="CB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</row>
    <row r="913" ht="15.75" customHeight="1">
      <c r="B913" s="34"/>
      <c r="E913" s="34"/>
      <c r="F913" s="34"/>
      <c r="G913" s="34"/>
      <c r="H913" s="34"/>
      <c r="I913" s="34"/>
      <c r="J913" s="34"/>
      <c r="K913" s="34"/>
      <c r="L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AA913" s="34"/>
      <c r="AB913" s="34"/>
      <c r="AC913" s="34"/>
      <c r="AD913" s="34"/>
      <c r="AE913" s="34"/>
      <c r="AF913" s="34"/>
      <c r="AG913" s="34"/>
      <c r="AH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I913" s="34"/>
      <c r="BJ913" s="34"/>
      <c r="BK913" s="34"/>
      <c r="BL913" s="34"/>
      <c r="BM913" s="34"/>
      <c r="BN913" s="34"/>
      <c r="BO913" s="34"/>
      <c r="BP913" s="34"/>
      <c r="BY913" s="34"/>
      <c r="BZ913" s="34"/>
      <c r="CA913" s="34"/>
      <c r="CB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</row>
    <row r="914" ht="15.75" customHeight="1">
      <c r="B914" s="34"/>
      <c r="E914" s="34"/>
      <c r="F914" s="34"/>
      <c r="G914" s="34"/>
      <c r="H914" s="34"/>
      <c r="I914" s="34"/>
      <c r="J914" s="34"/>
      <c r="K914" s="34"/>
      <c r="L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AA914" s="34"/>
      <c r="AB914" s="34"/>
      <c r="AC914" s="34"/>
      <c r="AD914" s="34"/>
      <c r="AE914" s="34"/>
      <c r="AF914" s="34"/>
      <c r="AG914" s="34"/>
      <c r="AH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I914" s="34"/>
      <c r="BJ914" s="34"/>
      <c r="BK914" s="34"/>
      <c r="BL914" s="34"/>
      <c r="BM914" s="34"/>
      <c r="BN914" s="34"/>
      <c r="BO914" s="34"/>
      <c r="BP914" s="34"/>
      <c r="BY914" s="34"/>
      <c r="BZ914" s="34"/>
      <c r="CA914" s="34"/>
      <c r="CB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</row>
    <row r="915" ht="15.75" customHeight="1">
      <c r="B915" s="34"/>
      <c r="E915" s="34"/>
      <c r="F915" s="34"/>
      <c r="G915" s="34"/>
      <c r="H915" s="34"/>
      <c r="I915" s="34"/>
      <c r="J915" s="34"/>
      <c r="K915" s="34"/>
      <c r="L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AA915" s="34"/>
      <c r="AB915" s="34"/>
      <c r="AC915" s="34"/>
      <c r="AD915" s="34"/>
      <c r="AE915" s="34"/>
      <c r="AF915" s="34"/>
      <c r="AG915" s="34"/>
      <c r="AH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I915" s="34"/>
      <c r="BJ915" s="34"/>
      <c r="BK915" s="34"/>
      <c r="BL915" s="34"/>
      <c r="BM915" s="34"/>
      <c r="BN915" s="34"/>
      <c r="BO915" s="34"/>
      <c r="BP915" s="34"/>
      <c r="BY915" s="34"/>
      <c r="BZ915" s="34"/>
      <c r="CA915" s="34"/>
      <c r="CB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</row>
    <row r="916" ht="15.75" customHeight="1">
      <c r="B916" s="34"/>
      <c r="E916" s="34"/>
      <c r="F916" s="34"/>
      <c r="G916" s="34"/>
      <c r="H916" s="34"/>
      <c r="I916" s="34"/>
      <c r="J916" s="34"/>
      <c r="K916" s="34"/>
      <c r="L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AA916" s="34"/>
      <c r="AB916" s="34"/>
      <c r="AC916" s="34"/>
      <c r="AD916" s="34"/>
      <c r="AE916" s="34"/>
      <c r="AF916" s="34"/>
      <c r="AG916" s="34"/>
      <c r="AH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I916" s="34"/>
      <c r="BJ916" s="34"/>
      <c r="BK916" s="34"/>
      <c r="BL916" s="34"/>
      <c r="BM916" s="34"/>
      <c r="BN916" s="34"/>
      <c r="BO916" s="34"/>
      <c r="BP916" s="34"/>
      <c r="BY916" s="34"/>
      <c r="BZ916" s="34"/>
      <c r="CA916" s="34"/>
      <c r="CB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</row>
    <row r="917" ht="15.75" customHeight="1">
      <c r="B917" s="34"/>
      <c r="E917" s="34"/>
      <c r="F917" s="34"/>
      <c r="G917" s="34"/>
      <c r="H917" s="34"/>
      <c r="I917" s="34"/>
      <c r="J917" s="34"/>
      <c r="K917" s="34"/>
      <c r="L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AA917" s="34"/>
      <c r="AB917" s="34"/>
      <c r="AC917" s="34"/>
      <c r="AD917" s="34"/>
      <c r="AE917" s="34"/>
      <c r="AF917" s="34"/>
      <c r="AG917" s="34"/>
      <c r="AH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I917" s="34"/>
      <c r="BJ917" s="34"/>
      <c r="BK917" s="34"/>
      <c r="BL917" s="34"/>
      <c r="BM917" s="34"/>
      <c r="BN917" s="34"/>
      <c r="BO917" s="34"/>
      <c r="BP917" s="34"/>
      <c r="BY917" s="34"/>
      <c r="BZ917" s="34"/>
      <c r="CA917" s="34"/>
      <c r="CB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</row>
    <row r="918" ht="15.75" customHeight="1">
      <c r="B918" s="34"/>
      <c r="E918" s="34"/>
      <c r="F918" s="34"/>
      <c r="G918" s="34"/>
      <c r="H918" s="34"/>
      <c r="I918" s="34"/>
      <c r="J918" s="34"/>
      <c r="K918" s="34"/>
      <c r="L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AA918" s="34"/>
      <c r="AB918" s="34"/>
      <c r="AC918" s="34"/>
      <c r="AD918" s="34"/>
      <c r="AE918" s="34"/>
      <c r="AF918" s="34"/>
      <c r="AG918" s="34"/>
      <c r="AH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I918" s="34"/>
      <c r="BJ918" s="34"/>
      <c r="BK918" s="34"/>
      <c r="BL918" s="34"/>
      <c r="BM918" s="34"/>
      <c r="BN918" s="34"/>
      <c r="BO918" s="34"/>
      <c r="BP918" s="34"/>
      <c r="BY918" s="34"/>
      <c r="BZ918" s="34"/>
      <c r="CA918" s="34"/>
      <c r="CB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</row>
    <row r="919" ht="15.75" customHeight="1">
      <c r="B919" s="34"/>
      <c r="E919" s="34"/>
      <c r="F919" s="34"/>
      <c r="G919" s="34"/>
      <c r="H919" s="34"/>
      <c r="I919" s="34"/>
      <c r="J919" s="34"/>
      <c r="K919" s="34"/>
      <c r="L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AA919" s="34"/>
      <c r="AB919" s="34"/>
      <c r="AC919" s="34"/>
      <c r="AD919" s="34"/>
      <c r="AE919" s="34"/>
      <c r="AF919" s="34"/>
      <c r="AG919" s="34"/>
      <c r="AH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I919" s="34"/>
      <c r="BJ919" s="34"/>
      <c r="BK919" s="34"/>
      <c r="BL919" s="34"/>
      <c r="BM919" s="34"/>
      <c r="BN919" s="34"/>
      <c r="BO919" s="34"/>
      <c r="BP919" s="34"/>
      <c r="BY919" s="34"/>
      <c r="BZ919" s="34"/>
      <c r="CA919" s="34"/>
      <c r="CB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</row>
    <row r="920" ht="15.75" customHeight="1">
      <c r="B920" s="34"/>
      <c r="E920" s="34"/>
      <c r="F920" s="34"/>
      <c r="G920" s="34"/>
      <c r="H920" s="34"/>
      <c r="I920" s="34"/>
      <c r="J920" s="34"/>
      <c r="K920" s="34"/>
      <c r="L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AA920" s="34"/>
      <c r="AB920" s="34"/>
      <c r="AC920" s="34"/>
      <c r="AD920" s="34"/>
      <c r="AE920" s="34"/>
      <c r="AF920" s="34"/>
      <c r="AG920" s="34"/>
      <c r="AH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I920" s="34"/>
      <c r="BJ920" s="34"/>
      <c r="BK920" s="34"/>
      <c r="BL920" s="34"/>
      <c r="BM920" s="34"/>
      <c r="BN920" s="34"/>
      <c r="BO920" s="34"/>
      <c r="BP920" s="34"/>
      <c r="BY920" s="34"/>
      <c r="BZ920" s="34"/>
      <c r="CA920" s="34"/>
      <c r="CB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</row>
    <row r="921" ht="15.75" customHeight="1">
      <c r="B921" s="34"/>
      <c r="E921" s="34"/>
      <c r="F921" s="34"/>
      <c r="G921" s="34"/>
      <c r="H921" s="34"/>
      <c r="I921" s="34"/>
      <c r="J921" s="34"/>
      <c r="K921" s="34"/>
      <c r="L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AA921" s="34"/>
      <c r="AB921" s="34"/>
      <c r="AC921" s="34"/>
      <c r="AD921" s="34"/>
      <c r="AE921" s="34"/>
      <c r="AF921" s="34"/>
      <c r="AG921" s="34"/>
      <c r="AH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I921" s="34"/>
      <c r="BJ921" s="34"/>
      <c r="BK921" s="34"/>
      <c r="BL921" s="34"/>
      <c r="BM921" s="34"/>
      <c r="BN921" s="34"/>
      <c r="BO921" s="34"/>
      <c r="BP921" s="34"/>
      <c r="BY921" s="34"/>
      <c r="BZ921" s="34"/>
      <c r="CA921" s="34"/>
      <c r="CB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</row>
    <row r="922" ht="15.75" customHeight="1">
      <c r="B922" s="34"/>
      <c r="E922" s="34"/>
      <c r="F922" s="34"/>
      <c r="G922" s="34"/>
      <c r="H922" s="34"/>
      <c r="I922" s="34"/>
      <c r="J922" s="34"/>
      <c r="K922" s="34"/>
      <c r="L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AA922" s="34"/>
      <c r="AB922" s="34"/>
      <c r="AC922" s="34"/>
      <c r="AD922" s="34"/>
      <c r="AE922" s="34"/>
      <c r="AF922" s="34"/>
      <c r="AG922" s="34"/>
      <c r="AH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I922" s="34"/>
      <c r="BJ922" s="34"/>
      <c r="BK922" s="34"/>
      <c r="BL922" s="34"/>
      <c r="BM922" s="34"/>
      <c r="BN922" s="34"/>
      <c r="BO922" s="34"/>
      <c r="BP922" s="34"/>
      <c r="BY922" s="34"/>
      <c r="BZ922" s="34"/>
      <c r="CA922" s="34"/>
      <c r="CB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</row>
    <row r="923" ht="15.75" customHeight="1">
      <c r="B923" s="34"/>
      <c r="E923" s="34"/>
      <c r="F923" s="34"/>
      <c r="G923" s="34"/>
      <c r="H923" s="34"/>
      <c r="I923" s="34"/>
      <c r="J923" s="34"/>
      <c r="K923" s="34"/>
      <c r="L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AA923" s="34"/>
      <c r="AB923" s="34"/>
      <c r="AC923" s="34"/>
      <c r="AD923" s="34"/>
      <c r="AE923" s="34"/>
      <c r="AF923" s="34"/>
      <c r="AG923" s="34"/>
      <c r="AH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I923" s="34"/>
      <c r="BJ923" s="34"/>
      <c r="BK923" s="34"/>
      <c r="BL923" s="34"/>
      <c r="BM923" s="34"/>
      <c r="BN923" s="34"/>
      <c r="BO923" s="34"/>
      <c r="BP923" s="34"/>
      <c r="BY923" s="34"/>
      <c r="BZ923" s="34"/>
      <c r="CA923" s="34"/>
      <c r="CB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</row>
    <row r="924" ht="15.75" customHeight="1">
      <c r="B924" s="34"/>
      <c r="E924" s="34"/>
      <c r="F924" s="34"/>
      <c r="G924" s="34"/>
      <c r="H924" s="34"/>
      <c r="I924" s="34"/>
      <c r="J924" s="34"/>
      <c r="K924" s="34"/>
      <c r="L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AA924" s="34"/>
      <c r="AB924" s="34"/>
      <c r="AC924" s="34"/>
      <c r="AD924" s="34"/>
      <c r="AE924" s="34"/>
      <c r="AF924" s="34"/>
      <c r="AG924" s="34"/>
      <c r="AH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I924" s="34"/>
      <c r="BJ924" s="34"/>
      <c r="BK924" s="34"/>
      <c r="BL924" s="34"/>
      <c r="BM924" s="34"/>
      <c r="BN924" s="34"/>
      <c r="BO924" s="34"/>
      <c r="BP924" s="34"/>
      <c r="BY924" s="34"/>
      <c r="BZ924" s="34"/>
      <c r="CA924" s="34"/>
      <c r="CB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</row>
    <row r="925" ht="15.75" customHeight="1">
      <c r="B925" s="34"/>
      <c r="E925" s="34"/>
      <c r="F925" s="34"/>
      <c r="G925" s="34"/>
      <c r="H925" s="34"/>
      <c r="I925" s="34"/>
      <c r="J925" s="34"/>
      <c r="K925" s="34"/>
      <c r="L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AA925" s="34"/>
      <c r="AB925" s="34"/>
      <c r="AC925" s="34"/>
      <c r="AD925" s="34"/>
      <c r="AE925" s="34"/>
      <c r="AF925" s="34"/>
      <c r="AG925" s="34"/>
      <c r="AH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I925" s="34"/>
      <c r="BJ925" s="34"/>
      <c r="BK925" s="34"/>
      <c r="BL925" s="34"/>
      <c r="BM925" s="34"/>
      <c r="BN925" s="34"/>
      <c r="BO925" s="34"/>
      <c r="BP925" s="34"/>
      <c r="BY925" s="34"/>
      <c r="BZ925" s="34"/>
      <c r="CA925" s="34"/>
      <c r="CB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</row>
    <row r="926" ht="15.75" customHeight="1">
      <c r="B926" s="34"/>
      <c r="E926" s="34"/>
      <c r="F926" s="34"/>
      <c r="G926" s="34"/>
      <c r="H926" s="34"/>
      <c r="I926" s="34"/>
      <c r="J926" s="34"/>
      <c r="K926" s="34"/>
      <c r="L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AA926" s="34"/>
      <c r="AB926" s="34"/>
      <c r="AC926" s="34"/>
      <c r="AD926" s="34"/>
      <c r="AE926" s="34"/>
      <c r="AF926" s="34"/>
      <c r="AG926" s="34"/>
      <c r="AH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I926" s="34"/>
      <c r="BJ926" s="34"/>
      <c r="BK926" s="34"/>
      <c r="BL926" s="34"/>
      <c r="BM926" s="34"/>
      <c r="BN926" s="34"/>
      <c r="BO926" s="34"/>
      <c r="BP926" s="34"/>
      <c r="BY926" s="34"/>
      <c r="BZ926" s="34"/>
      <c r="CA926" s="34"/>
      <c r="CB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</row>
    <row r="927" ht="15.75" customHeight="1">
      <c r="B927" s="34"/>
      <c r="E927" s="34"/>
      <c r="F927" s="34"/>
      <c r="G927" s="34"/>
      <c r="H927" s="34"/>
      <c r="I927" s="34"/>
      <c r="J927" s="34"/>
      <c r="K927" s="34"/>
      <c r="L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AA927" s="34"/>
      <c r="AB927" s="34"/>
      <c r="AC927" s="34"/>
      <c r="AD927" s="34"/>
      <c r="AE927" s="34"/>
      <c r="AF927" s="34"/>
      <c r="AG927" s="34"/>
      <c r="AH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I927" s="34"/>
      <c r="BJ927" s="34"/>
      <c r="BK927" s="34"/>
      <c r="BL927" s="34"/>
      <c r="BM927" s="34"/>
      <c r="BN927" s="34"/>
      <c r="BO927" s="34"/>
      <c r="BP927" s="34"/>
      <c r="BY927" s="34"/>
      <c r="BZ927" s="34"/>
      <c r="CA927" s="34"/>
      <c r="CB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</row>
    <row r="928" ht="15.75" customHeight="1">
      <c r="B928" s="34"/>
      <c r="E928" s="34"/>
      <c r="F928" s="34"/>
      <c r="G928" s="34"/>
      <c r="H928" s="34"/>
      <c r="I928" s="34"/>
      <c r="J928" s="34"/>
      <c r="K928" s="34"/>
      <c r="L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AA928" s="34"/>
      <c r="AB928" s="34"/>
      <c r="AC928" s="34"/>
      <c r="AD928" s="34"/>
      <c r="AE928" s="34"/>
      <c r="AF928" s="34"/>
      <c r="AG928" s="34"/>
      <c r="AH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I928" s="34"/>
      <c r="BJ928" s="34"/>
      <c r="BK928" s="34"/>
      <c r="BL928" s="34"/>
      <c r="BM928" s="34"/>
      <c r="BN928" s="34"/>
      <c r="BO928" s="34"/>
      <c r="BP928" s="34"/>
      <c r="BY928" s="34"/>
      <c r="BZ928" s="34"/>
      <c r="CA928" s="34"/>
      <c r="CB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</row>
    <row r="929" ht="15.75" customHeight="1">
      <c r="B929" s="34"/>
      <c r="E929" s="34"/>
      <c r="F929" s="34"/>
      <c r="G929" s="34"/>
      <c r="H929" s="34"/>
      <c r="I929" s="34"/>
      <c r="J929" s="34"/>
      <c r="K929" s="34"/>
      <c r="L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AA929" s="34"/>
      <c r="AB929" s="34"/>
      <c r="AC929" s="34"/>
      <c r="AD929" s="34"/>
      <c r="AE929" s="34"/>
      <c r="AF929" s="34"/>
      <c r="AG929" s="34"/>
      <c r="AH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I929" s="34"/>
      <c r="BJ929" s="34"/>
      <c r="BK929" s="34"/>
      <c r="BL929" s="34"/>
      <c r="BM929" s="34"/>
      <c r="BN929" s="34"/>
      <c r="BO929" s="34"/>
      <c r="BP929" s="34"/>
      <c r="BY929" s="34"/>
      <c r="BZ929" s="34"/>
      <c r="CA929" s="34"/>
      <c r="CB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</row>
    <row r="930" ht="15.75" customHeight="1">
      <c r="B930" s="34"/>
      <c r="E930" s="34"/>
      <c r="F930" s="34"/>
      <c r="G930" s="34"/>
      <c r="H930" s="34"/>
      <c r="I930" s="34"/>
      <c r="J930" s="34"/>
      <c r="K930" s="34"/>
      <c r="L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AA930" s="34"/>
      <c r="AB930" s="34"/>
      <c r="AC930" s="34"/>
      <c r="AD930" s="34"/>
      <c r="AE930" s="34"/>
      <c r="AF930" s="34"/>
      <c r="AG930" s="34"/>
      <c r="AH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I930" s="34"/>
      <c r="BJ930" s="34"/>
      <c r="BK930" s="34"/>
      <c r="BL930" s="34"/>
      <c r="BM930" s="34"/>
      <c r="BN930" s="34"/>
      <c r="BO930" s="34"/>
      <c r="BP930" s="34"/>
      <c r="BY930" s="34"/>
      <c r="BZ930" s="34"/>
      <c r="CA930" s="34"/>
      <c r="CB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</row>
    <row r="931" ht="15.75" customHeight="1">
      <c r="B931" s="34"/>
      <c r="E931" s="34"/>
      <c r="F931" s="34"/>
      <c r="G931" s="34"/>
      <c r="H931" s="34"/>
      <c r="I931" s="34"/>
      <c r="J931" s="34"/>
      <c r="K931" s="34"/>
      <c r="L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AA931" s="34"/>
      <c r="AB931" s="34"/>
      <c r="AC931" s="34"/>
      <c r="AD931" s="34"/>
      <c r="AE931" s="34"/>
      <c r="AF931" s="34"/>
      <c r="AG931" s="34"/>
      <c r="AH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I931" s="34"/>
      <c r="BJ931" s="34"/>
      <c r="BK931" s="34"/>
      <c r="BL931" s="34"/>
      <c r="BM931" s="34"/>
      <c r="BN931" s="34"/>
      <c r="BO931" s="34"/>
      <c r="BP931" s="34"/>
      <c r="BY931" s="34"/>
      <c r="BZ931" s="34"/>
      <c r="CA931" s="34"/>
      <c r="CB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</row>
    <row r="932" ht="15.75" customHeight="1">
      <c r="B932" s="34"/>
      <c r="E932" s="34"/>
      <c r="F932" s="34"/>
      <c r="G932" s="34"/>
      <c r="H932" s="34"/>
      <c r="I932" s="34"/>
      <c r="J932" s="34"/>
      <c r="K932" s="34"/>
      <c r="L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AA932" s="34"/>
      <c r="AB932" s="34"/>
      <c r="AC932" s="34"/>
      <c r="AD932" s="34"/>
      <c r="AE932" s="34"/>
      <c r="AF932" s="34"/>
      <c r="AG932" s="34"/>
      <c r="AH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I932" s="34"/>
      <c r="BJ932" s="34"/>
      <c r="BK932" s="34"/>
      <c r="BL932" s="34"/>
      <c r="BM932" s="34"/>
      <c r="BN932" s="34"/>
      <c r="BO932" s="34"/>
      <c r="BP932" s="34"/>
      <c r="BY932" s="34"/>
      <c r="BZ932" s="34"/>
      <c r="CA932" s="34"/>
      <c r="CB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</row>
    <row r="933" ht="15.75" customHeight="1">
      <c r="B933" s="34"/>
      <c r="E933" s="34"/>
      <c r="F933" s="34"/>
      <c r="G933" s="34"/>
      <c r="H933" s="34"/>
      <c r="I933" s="34"/>
      <c r="J933" s="34"/>
      <c r="K933" s="34"/>
      <c r="L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AA933" s="34"/>
      <c r="AB933" s="34"/>
      <c r="AC933" s="34"/>
      <c r="AD933" s="34"/>
      <c r="AE933" s="34"/>
      <c r="AF933" s="34"/>
      <c r="AG933" s="34"/>
      <c r="AH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I933" s="34"/>
      <c r="BJ933" s="34"/>
      <c r="BK933" s="34"/>
      <c r="BL933" s="34"/>
      <c r="BM933" s="34"/>
      <c r="BN933" s="34"/>
      <c r="BO933" s="34"/>
      <c r="BP933" s="34"/>
      <c r="BY933" s="34"/>
      <c r="BZ933" s="34"/>
      <c r="CA933" s="34"/>
      <c r="CB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</row>
    <row r="934" ht="15.75" customHeight="1">
      <c r="B934" s="34"/>
      <c r="E934" s="34"/>
      <c r="F934" s="34"/>
      <c r="G934" s="34"/>
      <c r="H934" s="34"/>
      <c r="I934" s="34"/>
      <c r="J934" s="34"/>
      <c r="K934" s="34"/>
      <c r="L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AA934" s="34"/>
      <c r="AB934" s="34"/>
      <c r="AC934" s="34"/>
      <c r="AD934" s="34"/>
      <c r="AE934" s="34"/>
      <c r="AF934" s="34"/>
      <c r="AG934" s="34"/>
      <c r="AH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I934" s="34"/>
      <c r="BJ934" s="34"/>
      <c r="BK934" s="34"/>
      <c r="BL934" s="34"/>
      <c r="BM934" s="34"/>
      <c r="BN934" s="34"/>
      <c r="BO934" s="34"/>
      <c r="BP934" s="34"/>
      <c r="BY934" s="34"/>
      <c r="BZ934" s="34"/>
      <c r="CA934" s="34"/>
      <c r="CB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</row>
    <row r="935" ht="15.75" customHeight="1">
      <c r="B935" s="34"/>
      <c r="E935" s="34"/>
      <c r="F935" s="34"/>
      <c r="G935" s="34"/>
      <c r="H935" s="34"/>
      <c r="I935" s="34"/>
      <c r="J935" s="34"/>
      <c r="K935" s="34"/>
      <c r="L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AA935" s="34"/>
      <c r="AB935" s="34"/>
      <c r="AC935" s="34"/>
      <c r="AD935" s="34"/>
      <c r="AE935" s="34"/>
      <c r="AF935" s="34"/>
      <c r="AG935" s="34"/>
      <c r="AH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I935" s="34"/>
      <c r="BJ935" s="34"/>
      <c r="BK935" s="34"/>
      <c r="BL935" s="34"/>
      <c r="BM935" s="34"/>
      <c r="BN935" s="34"/>
      <c r="BO935" s="34"/>
      <c r="BP935" s="34"/>
      <c r="BY935" s="34"/>
      <c r="BZ935" s="34"/>
      <c r="CA935" s="34"/>
      <c r="CB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</row>
    <row r="936" ht="15.75" customHeight="1">
      <c r="B936" s="34"/>
      <c r="E936" s="34"/>
      <c r="F936" s="34"/>
      <c r="G936" s="34"/>
      <c r="H936" s="34"/>
      <c r="I936" s="34"/>
      <c r="J936" s="34"/>
      <c r="K936" s="34"/>
      <c r="L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AA936" s="34"/>
      <c r="AB936" s="34"/>
      <c r="AC936" s="34"/>
      <c r="AD936" s="34"/>
      <c r="AE936" s="34"/>
      <c r="AF936" s="34"/>
      <c r="AG936" s="34"/>
      <c r="AH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I936" s="34"/>
      <c r="BJ936" s="34"/>
      <c r="BK936" s="34"/>
      <c r="BL936" s="34"/>
      <c r="BM936" s="34"/>
      <c r="BN936" s="34"/>
      <c r="BO936" s="34"/>
      <c r="BP936" s="34"/>
      <c r="BY936" s="34"/>
      <c r="BZ936" s="34"/>
      <c r="CA936" s="34"/>
      <c r="CB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</row>
    <row r="937" ht="15.75" customHeight="1">
      <c r="B937" s="34"/>
      <c r="E937" s="34"/>
      <c r="F937" s="34"/>
      <c r="G937" s="34"/>
      <c r="H937" s="34"/>
      <c r="I937" s="34"/>
      <c r="J937" s="34"/>
      <c r="K937" s="34"/>
      <c r="L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AA937" s="34"/>
      <c r="AB937" s="34"/>
      <c r="AC937" s="34"/>
      <c r="AD937" s="34"/>
      <c r="AE937" s="34"/>
      <c r="AF937" s="34"/>
      <c r="AG937" s="34"/>
      <c r="AH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I937" s="34"/>
      <c r="BJ937" s="34"/>
      <c r="BK937" s="34"/>
      <c r="BL937" s="34"/>
      <c r="BM937" s="34"/>
      <c r="BN937" s="34"/>
      <c r="BO937" s="34"/>
      <c r="BP937" s="34"/>
      <c r="BY937" s="34"/>
      <c r="BZ937" s="34"/>
      <c r="CA937" s="34"/>
      <c r="CB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</row>
    <row r="938" ht="15.75" customHeight="1">
      <c r="B938" s="34"/>
      <c r="E938" s="34"/>
      <c r="F938" s="34"/>
      <c r="G938" s="34"/>
      <c r="H938" s="34"/>
      <c r="I938" s="34"/>
      <c r="J938" s="34"/>
      <c r="K938" s="34"/>
      <c r="L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AA938" s="34"/>
      <c r="AB938" s="34"/>
      <c r="AC938" s="34"/>
      <c r="AD938" s="34"/>
      <c r="AE938" s="34"/>
      <c r="AF938" s="34"/>
      <c r="AG938" s="34"/>
      <c r="AH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I938" s="34"/>
      <c r="BJ938" s="34"/>
      <c r="BK938" s="34"/>
      <c r="BL938" s="34"/>
      <c r="BM938" s="34"/>
      <c r="BN938" s="34"/>
      <c r="BO938" s="34"/>
      <c r="BP938" s="34"/>
      <c r="BY938" s="34"/>
      <c r="BZ938" s="34"/>
      <c r="CA938" s="34"/>
      <c r="CB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</row>
    <row r="939" ht="15.75" customHeight="1">
      <c r="B939" s="34"/>
      <c r="E939" s="34"/>
      <c r="F939" s="34"/>
      <c r="G939" s="34"/>
      <c r="H939" s="34"/>
      <c r="I939" s="34"/>
      <c r="J939" s="34"/>
      <c r="K939" s="34"/>
      <c r="L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AA939" s="34"/>
      <c r="AB939" s="34"/>
      <c r="AC939" s="34"/>
      <c r="AD939" s="34"/>
      <c r="AE939" s="34"/>
      <c r="AF939" s="34"/>
      <c r="AG939" s="34"/>
      <c r="AH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I939" s="34"/>
      <c r="BJ939" s="34"/>
      <c r="BK939" s="34"/>
      <c r="BL939" s="34"/>
      <c r="BM939" s="34"/>
      <c r="BN939" s="34"/>
      <c r="BO939" s="34"/>
      <c r="BP939" s="34"/>
      <c r="BY939" s="34"/>
      <c r="BZ939" s="34"/>
      <c r="CA939" s="34"/>
      <c r="CB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</row>
    <row r="940" ht="15.75" customHeight="1">
      <c r="B940" s="34"/>
      <c r="E940" s="34"/>
      <c r="F940" s="34"/>
      <c r="G940" s="34"/>
      <c r="H940" s="34"/>
      <c r="I940" s="34"/>
      <c r="J940" s="34"/>
      <c r="K940" s="34"/>
      <c r="L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AA940" s="34"/>
      <c r="AB940" s="34"/>
      <c r="AC940" s="34"/>
      <c r="AD940" s="34"/>
      <c r="AE940" s="34"/>
      <c r="AF940" s="34"/>
      <c r="AG940" s="34"/>
      <c r="AH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I940" s="34"/>
      <c r="BJ940" s="34"/>
      <c r="BK940" s="34"/>
      <c r="BL940" s="34"/>
      <c r="BM940" s="34"/>
      <c r="BN940" s="34"/>
      <c r="BO940" s="34"/>
      <c r="BP940" s="34"/>
      <c r="BY940" s="34"/>
      <c r="BZ940" s="34"/>
      <c r="CA940" s="34"/>
      <c r="CB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</row>
    <row r="941" ht="15.75" customHeight="1">
      <c r="B941" s="34"/>
      <c r="E941" s="34"/>
      <c r="F941" s="34"/>
      <c r="G941" s="34"/>
      <c r="H941" s="34"/>
      <c r="I941" s="34"/>
      <c r="J941" s="34"/>
      <c r="K941" s="34"/>
      <c r="L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AA941" s="34"/>
      <c r="AB941" s="34"/>
      <c r="AC941" s="34"/>
      <c r="AD941" s="34"/>
      <c r="AE941" s="34"/>
      <c r="AF941" s="34"/>
      <c r="AG941" s="34"/>
      <c r="AH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I941" s="34"/>
      <c r="BJ941" s="34"/>
      <c r="BK941" s="34"/>
      <c r="BL941" s="34"/>
      <c r="BM941" s="34"/>
      <c r="BN941" s="34"/>
      <c r="BO941" s="34"/>
      <c r="BP941" s="34"/>
      <c r="BY941" s="34"/>
      <c r="BZ941" s="34"/>
      <c r="CA941" s="34"/>
      <c r="CB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</row>
    <row r="942" ht="15.75" customHeight="1">
      <c r="B942" s="34"/>
      <c r="E942" s="34"/>
      <c r="F942" s="34"/>
      <c r="G942" s="34"/>
      <c r="H942" s="34"/>
      <c r="I942" s="34"/>
      <c r="J942" s="34"/>
      <c r="K942" s="34"/>
      <c r="L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AA942" s="34"/>
      <c r="AB942" s="34"/>
      <c r="AC942" s="34"/>
      <c r="AD942" s="34"/>
      <c r="AE942" s="34"/>
      <c r="AF942" s="34"/>
      <c r="AG942" s="34"/>
      <c r="AH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I942" s="34"/>
      <c r="BJ942" s="34"/>
      <c r="BK942" s="34"/>
      <c r="BL942" s="34"/>
      <c r="BM942" s="34"/>
      <c r="BN942" s="34"/>
      <c r="BO942" s="34"/>
      <c r="BP942" s="34"/>
      <c r="BY942" s="34"/>
      <c r="BZ942" s="34"/>
      <c r="CA942" s="34"/>
      <c r="CB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</row>
    <row r="943" ht="15.75" customHeight="1">
      <c r="B943" s="34"/>
      <c r="E943" s="34"/>
      <c r="F943" s="34"/>
      <c r="G943" s="34"/>
      <c r="H943" s="34"/>
      <c r="I943" s="34"/>
      <c r="J943" s="34"/>
      <c r="K943" s="34"/>
      <c r="L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AA943" s="34"/>
      <c r="AB943" s="34"/>
      <c r="AC943" s="34"/>
      <c r="AD943" s="34"/>
      <c r="AE943" s="34"/>
      <c r="AF943" s="34"/>
      <c r="AG943" s="34"/>
      <c r="AH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I943" s="34"/>
      <c r="BJ943" s="34"/>
      <c r="BK943" s="34"/>
      <c r="BL943" s="34"/>
      <c r="BM943" s="34"/>
      <c r="BN943" s="34"/>
      <c r="BO943" s="34"/>
      <c r="BP943" s="34"/>
      <c r="BY943" s="34"/>
      <c r="BZ943" s="34"/>
      <c r="CA943" s="34"/>
      <c r="CB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</row>
    <row r="944" ht="15.75" customHeight="1">
      <c r="B944" s="34"/>
      <c r="E944" s="34"/>
      <c r="F944" s="34"/>
      <c r="G944" s="34"/>
      <c r="H944" s="34"/>
      <c r="I944" s="34"/>
      <c r="J944" s="34"/>
      <c r="K944" s="34"/>
      <c r="L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AA944" s="34"/>
      <c r="AB944" s="34"/>
      <c r="AC944" s="34"/>
      <c r="AD944" s="34"/>
      <c r="AE944" s="34"/>
      <c r="AF944" s="34"/>
      <c r="AG944" s="34"/>
      <c r="AH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I944" s="34"/>
      <c r="BJ944" s="34"/>
      <c r="BK944" s="34"/>
      <c r="BL944" s="34"/>
      <c r="BM944" s="34"/>
      <c r="BN944" s="34"/>
      <c r="BO944" s="34"/>
      <c r="BP944" s="34"/>
      <c r="BY944" s="34"/>
      <c r="BZ944" s="34"/>
      <c r="CA944" s="34"/>
      <c r="CB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</row>
    <row r="945" ht="15.75" customHeight="1">
      <c r="B945" s="34"/>
      <c r="E945" s="34"/>
      <c r="F945" s="34"/>
      <c r="G945" s="34"/>
      <c r="H945" s="34"/>
      <c r="I945" s="34"/>
      <c r="J945" s="34"/>
      <c r="K945" s="34"/>
      <c r="L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AA945" s="34"/>
      <c r="AB945" s="34"/>
      <c r="AC945" s="34"/>
      <c r="AD945" s="34"/>
      <c r="AE945" s="34"/>
      <c r="AF945" s="34"/>
      <c r="AG945" s="34"/>
      <c r="AH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I945" s="34"/>
      <c r="BJ945" s="34"/>
      <c r="BK945" s="34"/>
      <c r="BL945" s="34"/>
      <c r="BM945" s="34"/>
      <c r="BN945" s="34"/>
      <c r="BO945" s="34"/>
      <c r="BP945" s="34"/>
      <c r="BY945" s="34"/>
      <c r="BZ945" s="34"/>
      <c r="CA945" s="34"/>
      <c r="CB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</row>
    <row r="946" ht="15.75" customHeight="1">
      <c r="B946" s="34"/>
      <c r="E946" s="34"/>
      <c r="F946" s="34"/>
      <c r="G946" s="34"/>
      <c r="H946" s="34"/>
      <c r="I946" s="34"/>
      <c r="J946" s="34"/>
      <c r="K946" s="34"/>
      <c r="L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AA946" s="34"/>
      <c r="AB946" s="34"/>
      <c r="AC946" s="34"/>
      <c r="AD946" s="34"/>
      <c r="AE946" s="34"/>
      <c r="AF946" s="34"/>
      <c r="AG946" s="34"/>
      <c r="AH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I946" s="34"/>
      <c r="BJ946" s="34"/>
      <c r="BK946" s="34"/>
      <c r="BL946" s="34"/>
      <c r="BM946" s="34"/>
      <c r="BN946" s="34"/>
      <c r="BO946" s="34"/>
      <c r="BP946" s="34"/>
      <c r="BY946" s="34"/>
      <c r="BZ946" s="34"/>
      <c r="CA946" s="34"/>
      <c r="CB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</row>
    <row r="947" ht="15.75" customHeight="1">
      <c r="B947" s="34"/>
      <c r="E947" s="34"/>
      <c r="F947" s="34"/>
      <c r="G947" s="34"/>
      <c r="H947" s="34"/>
      <c r="I947" s="34"/>
      <c r="J947" s="34"/>
      <c r="K947" s="34"/>
      <c r="L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AA947" s="34"/>
      <c r="AB947" s="34"/>
      <c r="AC947" s="34"/>
      <c r="AD947" s="34"/>
      <c r="AE947" s="34"/>
      <c r="AF947" s="34"/>
      <c r="AG947" s="34"/>
      <c r="AH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I947" s="34"/>
      <c r="BJ947" s="34"/>
      <c r="BK947" s="34"/>
      <c r="BL947" s="34"/>
      <c r="BM947" s="34"/>
      <c r="BN947" s="34"/>
      <c r="BO947" s="34"/>
      <c r="BP947" s="34"/>
      <c r="BY947" s="34"/>
      <c r="BZ947" s="34"/>
      <c r="CA947" s="34"/>
      <c r="CB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</row>
    <row r="948" ht="15.75" customHeight="1">
      <c r="B948" s="34"/>
      <c r="E948" s="34"/>
      <c r="F948" s="34"/>
      <c r="G948" s="34"/>
      <c r="H948" s="34"/>
      <c r="I948" s="34"/>
      <c r="J948" s="34"/>
      <c r="K948" s="34"/>
      <c r="L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AA948" s="34"/>
      <c r="AB948" s="34"/>
      <c r="AC948" s="34"/>
      <c r="AD948" s="34"/>
      <c r="AE948" s="34"/>
      <c r="AF948" s="34"/>
      <c r="AG948" s="34"/>
      <c r="AH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I948" s="34"/>
      <c r="BJ948" s="34"/>
      <c r="BK948" s="34"/>
      <c r="BL948" s="34"/>
      <c r="BM948" s="34"/>
      <c r="BN948" s="34"/>
      <c r="BO948" s="34"/>
      <c r="BP948" s="34"/>
      <c r="BY948" s="34"/>
      <c r="BZ948" s="34"/>
      <c r="CA948" s="34"/>
      <c r="CB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</row>
    <row r="949" ht="15.75" customHeight="1">
      <c r="B949" s="34"/>
      <c r="E949" s="34"/>
      <c r="F949" s="34"/>
      <c r="G949" s="34"/>
      <c r="H949" s="34"/>
      <c r="I949" s="34"/>
      <c r="J949" s="34"/>
      <c r="K949" s="34"/>
      <c r="L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AA949" s="34"/>
      <c r="AB949" s="34"/>
      <c r="AC949" s="34"/>
      <c r="AD949" s="34"/>
      <c r="AE949" s="34"/>
      <c r="AF949" s="34"/>
      <c r="AG949" s="34"/>
      <c r="AH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I949" s="34"/>
      <c r="BJ949" s="34"/>
      <c r="BK949" s="34"/>
      <c r="BL949" s="34"/>
      <c r="BM949" s="34"/>
      <c r="BN949" s="34"/>
      <c r="BO949" s="34"/>
      <c r="BP949" s="34"/>
      <c r="BY949" s="34"/>
      <c r="BZ949" s="34"/>
      <c r="CA949" s="34"/>
      <c r="CB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</row>
    <row r="950" ht="15.75" customHeight="1">
      <c r="B950" s="34"/>
      <c r="E950" s="34"/>
      <c r="F950" s="34"/>
      <c r="G950" s="34"/>
      <c r="H950" s="34"/>
      <c r="I950" s="34"/>
      <c r="J950" s="34"/>
      <c r="K950" s="34"/>
      <c r="L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AA950" s="34"/>
      <c r="AB950" s="34"/>
      <c r="AC950" s="34"/>
      <c r="AD950" s="34"/>
      <c r="AE950" s="34"/>
      <c r="AF950" s="34"/>
      <c r="AG950" s="34"/>
      <c r="AH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I950" s="34"/>
      <c r="BJ950" s="34"/>
      <c r="BK950" s="34"/>
      <c r="BL950" s="34"/>
      <c r="BM950" s="34"/>
      <c r="BN950" s="34"/>
      <c r="BO950" s="34"/>
      <c r="BP950" s="34"/>
      <c r="BY950" s="34"/>
      <c r="BZ950" s="34"/>
      <c r="CA950" s="34"/>
      <c r="CB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</row>
    <row r="951" ht="15.75" customHeight="1">
      <c r="B951" s="34"/>
      <c r="E951" s="34"/>
      <c r="F951" s="34"/>
      <c r="G951" s="34"/>
      <c r="H951" s="34"/>
      <c r="I951" s="34"/>
      <c r="J951" s="34"/>
      <c r="K951" s="34"/>
      <c r="L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AA951" s="34"/>
      <c r="AB951" s="34"/>
      <c r="AC951" s="34"/>
      <c r="AD951" s="34"/>
      <c r="AE951" s="34"/>
      <c r="AF951" s="34"/>
      <c r="AG951" s="34"/>
      <c r="AH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I951" s="34"/>
      <c r="BJ951" s="34"/>
      <c r="BK951" s="34"/>
      <c r="BL951" s="34"/>
      <c r="BM951" s="34"/>
      <c r="BN951" s="34"/>
      <c r="BO951" s="34"/>
      <c r="BP951" s="34"/>
      <c r="BY951" s="34"/>
      <c r="BZ951" s="34"/>
      <c r="CA951" s="34"/>
      <c r="CB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</row>
    <row r="952" ht="15.75" customHeight="1">
      <c r="B952" s="34"/>
      <c r="E952" s="34"/>
      <c r="F952" s="34"/>
      <c r="G952" s="34"/>
      <c r="H952" s="34"/>
      <c r="I952" s="34"/>
      <c r="J952" s="34"/>
      <c r="K952" s="34"/>
      <c r="L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AA952" s="34"/>
      <c r="AB952" s="34"/>
      <c r="AC952" s="34"/>
      <c r="AD952" s="34"/>
      <c r="AE952" s="34"/>
      <c r="AF952" s="34"/>
      <c r="AG952" s="34"/>
      <c r="AH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I952" s="34"/>
      <c r="BJ952" s="34"/>
      <c r="BK952" s="34"/>
      <c r="BL952" s="34"/>
      <c r="BM952" s="34"/>
      <c r="BN952" s="34"/>
      <c r="BO952" s="34"/>
      <c r="BP952" s="34"/>
      <c r="BY952" s="34"/>
      <c r="BZ952" s="34"/>
      <c r="CA952" s="34"/>
      <c r="CB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</row>
    <row r="953" ht="15.75" customHeight="1">
      <c r="B953" s="34"/>
      <c r="E953" s="34"/>
      <c r="F953" s="34"/>
      <c r="G953" s="34"/>
      <c r="H953" s="34"/>
      <c r="I953" s="34"/>
      <c r="J953" s="34"/>
      <c r="K953" s="34"/>
      <c r="L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AA953" s="34"/>
      <c r="AB953" s="34"/>
      <c r="AC953" s="34"/>
      <c r="AD953" s="34"/>
      <c r="AE953" s="34"/>
      <c r="AF953" s="34"/>
      <c r="AG953" s="34"/>
      <c r="AH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I953" s="34"/>
      <c r="BJ953" s="34"/>
      <c r="BK953" s="34"/>
      <c r="BL953" s="34"/>
      <c r="BM953" s="34"/>
      <c r="BN953" s="34"/>
      <c r="BO953" s="34"/>
      <c r="BP953" s="34"/>
      <c r="BY953" s="34"/>
      <c r="BZ953" s="34"/>
      <c r="CA953" s="34"/>
      <c r="CB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</row>
    <row r="954" ht="15.75" customHeight="1">
      <c r="B954" s="34"/>
      <c r="E954" s="34"/>
      <c r="F954" s="34"/>
      <c r="G954" s="34"/>
      <c r="H954" s="34"/>
      <c r="I954" s="34"/>
      <c r="J954" s="34"/>
      <c r="K954" s="34"/>
      <c r="L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AA954" s="34"/>
      <c r="AB954" s="34"/>
      <c r="AC954" s="34"/>
      <c r="AD954" s="34"/>
      <c r="AE954" s="34"/>
      <c r="AF954" s="34"/>
      <c r="AG954" s="34"/>
      <c r="AH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I954" s="34"/>
      <c r="BJ954" s="34"/>
      <c r="BK954" s="34"/>
      <c r="BL954" s="34"/>
      <c r="BM954" s="34"/>
      <c r="BN954" s="34"/>
      <c r="BO954" s="34"/>
      <c r="BP954" s="34"/>
      <c r="BY954" s="34"/>
      <c r="BZ954" s="34"/>
      <c r="CA954" s="34"/>
      <c r="CB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</row>
    <row r="955" ht="15.75" customHeight="1">
      <c r="B955" s="34"/>
      <c r="E955" s="34"/>
      <c r="F955" s="34"/>
      <c r="G955" s="34"/>
      <c r="H955" s="34"/>
      <c r="I955" s="34"/>
      <c r="J955" s="34"/>
      <c r="K955" s="34"/>
      <c r="L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AA955" s="34"/>
      <c r="AB955" s="34"/>
      <c r="AC955" s="34"/>
      <c r="AD955" s="34"/>
      <c r="AE955" s="34"/>
      <c r="AF955" s="34"/>
      <c r="AG955" s="34"/>
      <c r="AH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I955" s="34"/>
      <c r="BJ955" s="34"/>
      <c r="BK955" s="34"/>
      <c r="BL955" s="34"/>
      <c r="BM955" s="34"/>
      <c r="BN955" s="34"/>
      <c r="BO955" s="34"/>
      <c r="BP955" s="34"/>
      <c r="BY955" s="34"/>
      <c r="BZ955" s="34"/>
      <c r="CA955" s="34"/>
      <c r="CB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</row>
    <row r="956" ht="15.75" customHeight="1">
      <c r="B956" s="34"/>
      <c r="E956" s="34"/>
      <c r="F956" s="34"/>
      <c r="G956" s="34"/>
      <c r="H956" s="34"/>
      <c r="I956" s="34"/>
      <c r="J956" s="34"/>
      <c r="K956" s="34"/>
      <c r="L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AA956" s="34"/>
      <c r="AB956" s="34"/>
      <c r="AC956" s="34"/>
      <c r="AD956" s="34"/>
      <c r="AE956" s="34"/>
      <c r="AF956" s="34"/>
      <c r="AG956" s="34"/>
      <c r="AH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I956" s="34"/>
      <c r="BJ956" s="34"/>
      <c r="BK956" s="34"/>
      <c r="BL956" s="34"/>
      <c r="BM956" s="34"/>
      <c r="BN956" s="34"/>
      <c r="BO956" s="34"/>
      <c r="BP956" s="34"/>
      <c r="BY956" s="34"/>
      <c r="BZ956" s="34"/>
      <c r="CA956" s="34"/>
      <c r="CB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</row>
    <row r="957" ht="15.75" customHeight="1">
      <c r="B957" s="34"/>
      <c r="E957" s="34"/>
      <c r="F957" s="34"/>
      <c r="G957" s="34"/>
      <c r="H957" s="34"/>
      <c r="I957" s="34"/>
      <c r="J957" s="34"/>
      <c r="K957" s="34"/>
      <c r="L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AA957" s="34"/>
      <c r="AB957" s="34"/>
      <c r="AC957" s="34"/>
      <c r="AD957" s="34"/>
      <c r="AE957" s="34"/>
      <c r="AF957" s="34"/>
      <c r="AG957" s="34"/>
      <c r="AH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I957" s="34"/>
      <c r="BJ957" s="34"/>
      <c r="BK957" s="34"/>
      <c r="BL957" s="34"/>
      <c r="BM957" s="34"/>
      <c r="BN957" s="34"/>
      <c r="BO957" s="34"/>
      <c r="BP957" s="34"/>
      <c r="BY957" s="34"/>
      <c r="BZ957" s="34"/>
      <c r="CA957" s="34"/>
      <c r="CB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</row>
    <row r="958" ht="15.75" customHeight="1">
      <c r="B958" s="34"/>
      <c r="E958" s="34"/>
      <c r="F958" s="34"/>
      <c r="G958" s="34"/>
      <c r="H958" s="34"/>
      <c r="I958" s="34"/>
      <c r="J958" s="34"/>
      <c r="K958" s="34"/>
      <c r="L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AA958" s="34"/>
      <c r="AB958" s="34"/>
      <c r="AC958" s="34"/>
      <c r="AD958" s="34"/>
      <c r="AE958" s="34"/>
      <c r="AF958" s="34"/>
      <c r="AG958" s="34"/>
      <c r="AH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I958" s="34"/>
      <c r="BJ958" s="34"/>
      <c r="BK958" s="34"/>
      <c r="BL958" s="34"/>
      <c r="BM958" s="34"/>
      <c r="BN958" s="34"/>
      <c r="BO958" s="34"/>
      <c r="BP958" s="34"/>
      <c r="BY958" s="34"/>
      <c r="BZ958" s="34"/>
      <c r="CA958" s="34"/>
      <c r="CB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</row>
    <row r="959" ht="15.75" customHeight="1">
      <c r="B959" s="34"/>
      <c r="E959" s="34"/>
      <c r="F959" s="34"/>
      <c r="G959" s="34"/>
      <c r="H959" s="34"/>
      <c r="I959" s="34"/>
      <c r="J959" s="34"/>
      <c r="K959" s="34"/>
      <c r="L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AA959" s="34"/>
      <c r="AB959" s="34"/>
      <c r="AC959" s="34"/>
      <c r="AD959" s="34"/>
      <c r="AE959" s="34"/>
      <c r="AF959" s="34"/>
      <c r="AG959" s="34"/>
      <c r="AH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I959" s="34"/>
      <c r="BJ959" s="34"/>
      <c r="BK959" s="34"/>
      <c r="BL959" s="34"/>
      <c r="BM959" s="34"/>
      <c r="BN959" s="34"/>
      <c r="BO959" s="34"/>
      <c r="BP959" s="34"/>
      <c r="BY959" s="34"/>
      <c r="BZ959" s="34"/>
      <c r="CA959" s="34"/>
      <c r="CB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</row>
    <row r="960" ht="15.75" customHeight="1">
      <c r="B960" s="34"/>
      <c r="E960" s="34"/>
      <c r="F960" s="34"/>
      <c r="G960" s="34"/>
      <c r="H960" s="34"/>
      <c r="I960" s="34"/>
      <c r="J960" s="34"/>
      <c r="K960" s="34"/>
      <c r="L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AA960" s="34"/>
      <c r="AB960" s="34"/>
      <c r="AC960" s="34"/>
      <c r="AD960" s="34"/>
      <c r="AE960" s="34"/>
      <c r="AF960" s="34"/>
      <c r="AG960" s="34"/>
      <c r="AH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I960" s="34"/>
      <c r="BJ960" s="34"/>
      <c r="BK960" s="34"/>
      <c r="BL960" s="34"/>
      <c r="BM960" s="34"/>
      <c r="BN960" s="34"/>
      <c r="BO960" s="34"/>
      <c r="BP960" s="34"/>
      <c r="BY960" s="34"/>
      <c r="BZ960" s="34"/>
      <c r="CA960" s="34"/>
      <c r="CB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</row>
    <row r="961" ht="15.75" customHeight="1">
      <c r="B961" s="34"/>
      <c r="E961" s="34"/>
      <c r="F961" s="34"/>
      <c r="G961" s="34"/>
      <c r="H961" s="34"/>
      <c r="I961" s="34"/>
      <c r="J961" s="34"/>
      <c r="K961" s="34"/>
      <c r="L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AA961" s="34"/>
      <c r="AB961" s="34"/>
      <c r="AC961" s="34"/>
      <c r="AD961" s="34"/>
      <c r="AE961" s="34"/>
      <c r="AF961" s="34"/>
      <c r="AG961" s="34"/>
      <c r="AH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I961" s="34"/>
      <c r="BJ961" s="34"/>
      <c r="BK961" s="34"/>
      <c r="BL961" s="34"/>
      <c r="BM961" s="34"/>
      <c r="BN961" s="34"/>
      <c r="BO961" s="34"/>
      <c r="BP961" s="34"/>
      <c r="BY961" s="34"/>
      <c r="BZ961" s="34"/>
      <c r="CA961" s="34"/>
      <c r="CB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</row>
    <row r="962" ht="15.75" customHeight="1">
      <c r="B962" s="34"/>
      <c r="E962" s="34"/>
      <c r="F962" s="34"/>
      <c r="G962" s="34"/>
      <c r="H962" s="34"/>
      <c r="I962" s="34"/>
      <c r="J962" s="34"/>
      <c r="K962" s="34"/>
      <c r="L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AA962" s="34"/>
      <c r="AB962" s="34"/>
      <c r="AC962" s="34"/>
      <c r="AD962" s="34"/>
      <c r="AE962" s="34"/>
      <c r="AF962" s="34"/>
      <c r="AG962" s="34"/>
      <c r="AH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I962" s="34"/>
      <c r="BJ962" s="34"/>
      <c r="BK962" s="34"/>
      <c r="BL962" s="34"/>
      <c r="BM962" s="34"/>
      <c r="BN962" s="34"/>
      <c r="BO962" s="34"/>
      <c r="BP962" s="34"/>
      <c r="BY962" s="34"/>
      <c r="BZ962" s="34"/>
      <c r="CA962" s="34"/>
      <c r="CB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</row>
    <row r="963" ht="15.75" customHeight="1">
      <c r="B963" s="34"/>
      <c r="E963" s="34"/>
      <c r="F963" s="34"/>
      <c r="G963" s="34"/>
      <c r="H963" s="34"/>
      <c r="I963" s="34"/>
      <c r="J963" s="34"/>
      <c r="K963" s="34"/>
      <c r="L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AA963" s="34"/>
      <c r="AB963" s="34"/>
      <c r="AC963" s="34"/>
      <c r="AD963" s="34"/>
      <c r="AE963" s="34"/>
      <c r="AF963" s="34"/>
      <c r="AG963" s="34"/>
      <c r="AH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I963" s="34"/>
      <c r="BJ963" s="34"/>
      <c r="BK963" s="34"/>
      <c r="BL963" s="34"/>
      <c r="BM963" s="34"/>
      <c r="BN963" s="34"/>
      <c r="BO963" s="34"/>
      <c r="BP963" s="34"/>
      <c r="BY963" s="34"/>
      <c r="BZ963" s="34"/>
      <c r="CA963" s="34"/>
      <c r="CB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</row>
    <row r="964" ht="15.75" customHeight="1">
      <c r="B964" s="34"/>
      <c r="E964" s="34"/>
      <c r="F964" s="34"/>
      <c r="G964" s="34"/>
      <c r="H964" s="34"/>
      <c r="I964" s="34"/>
      <c r="J964" s="34"/>
      <c r="K964" s="34"/>
      <c r="L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AA964" s="34"/>
      <c r="AB964" s="34"/>
      <c r="AC964" s="34"/>
      <c r="AD964" s="34"/>
      <c r="AE964" s="34"/>
      <c r="AF964" s="34"/>
      <c r="AG964" s="34"/>
      <c r="AH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I964" s="34"/>
      <c r="BJ964" s="34"/>
      <c r="BK964" s="34"/>
      <c r="BL964" s="34"/>
      <c r="BM964" s="34"/>
      <c r="BN964" s="34"/>
      <c r="BO964" s="34"/>
      <c r="BP964" s="34"/>
      <c r="BY964" s="34"/>
      <c r="BZ964" s="34"/>
      <c r="CA964" s="34"/>
      <c r="CB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</row>
    <row r="965" ht="15.75" customHeight="1">
      <c r="B965" s="34"/>
      <c r="E965" s="34"/>
      <c r="F965" s="34"/>
      <c r="G965" s="34"/>
      <c r="H965" s="34"/>
      <c r="I965" s="34"/>
      <c r="J965" s="34"/>
      <c r="K965" s="34"/>
      <c r="L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AA965" s="34"/>
      <c r="AB965" s="34"/>
      <c r="AC965" s="34"/>
      <c r="AD965" s="34"/>
      <c r="AE965" s="34"/>
      <c r="AF965" s="34"/>
      <c r="AG965" s="34"/>
      <c r="AH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I965" s="34"/>
      <c r="BJ965" s="34"/>
      <c r="BK965" s="34"/>
      <c r="BL965" s="34"/>
      <c r="BM965" s="34"/>
      <c r="BN965" s="34"/>
      <c r="BO965" s="34"/>
      <c r="BP965" s="34"/>
      <c r="BY965" s="34"/>
      <c r="BZ965" s="34"/>
      <c r="CA965" s="34"/>
      <c r="CB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</row>
    <row r="966" ht="15.75" customHeight="1">
      <c r="B966" s="34"/>
      <c r="E966" s="34"/>
      <c r="F966" s="34"/>
      <c r="G966" s="34"/>
      <c r="H966" s="34"/>
      <c r="I966" s="34"/>
      <c r="J966" s="34"/>
      <c r="K966" s="34"/>
      <c r="L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AA966" s="34"/>
      <c r="AB966" s="34"/>
      <c r="AC966" s="34"/>
      <c r="AD966" s="34"/>
      <c r="AE966" s="34"/>
      <c r="AF966" s="34"/>
      <c r="AG966" s="34"/>
      <c r="AH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I966" s="34"/>
      <c r="BJ966" s="34"/>
      <c r="BK966" s="34"/>
      <c r="BL966" s="34"/>
      <c r="BM966" s="34"/>
      <c r="BN966" s="34"/>
      <c r="BO966" s="34"/>
      <c r="BP966" s="34"/>
      <c r="BY966" s="34"/>
      <c r="BZ966" s="34"/>
      <c r="CA966" s="34"/>
      <c r="CB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</row>
    <row r="967" ht="15.75" customHeight="1">
      <c r="B967" s="34"/>
      <c r="E967" s="34"/>
      <c r="F967" s="34"/>
      <c r="G967" s="34"/>
      <c r="H967" s="34"/>
      <c r="I967" s="34"/>
      <c r="J967" s="34"/>
      <c r="K967" s="34"/>
      <c r="L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AA967" s="34"/>
      <c r="AB967" s="34"/>
      <c r="AC967" s="34"/>
      <c r="AD967" s="34"/>
      <c r="AE967" s="34"/>
      <c r="AF967" s="34"/>
      <c r="AG967" s="34"/>
      <c r="AH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I967" s="34"/>
      <c r="BJ967" s="34"/>
      <c r="BK967" s="34"/>
      <c r="BL967" s="34"/>
      <c r="BM967" s="34"/>
      <c r="BN967" s="34"/>
      <c r="BO967" s="34"/>
      <c r="BP967" s="34"/>
      <c r="BY967" s="34"/>
      <c r="BZ967" s="34"/>
      <c r="CA967" s="34"/>
      <c r="CB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</row>
    <row r="968" ht="15.75" customHeight="1">
      <c r="B968" s="34"/>
      <c r="E968" s="34"/>
      <c r="F968" s="34"/>
      <c r="G968" s="34"/>
      <c r="H968" s="34"/>
      <c r="I968" s="34"/>
      <c r="J968" s="34"/>
      <c r="K968" s="34"/>
      <c r="L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AA968" s="34"/>
      <c r="AB968" s="34"/>
      <c r="AC968" s="34"/>
      <c r="AD968" s="34"/>
      <c r="AE968" s="34"/>
      <c r="AF968" s="34"/>
      <c r="AG968" s="34"/>
      <c r="AH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I968" s="34"/>
      <c r="BJ968" s="34"/>
      <c r="BK968" s="34"/>
      <c r="BL968" s="34"/>
      <c r="BM968" s="34"/>
      <c r="BN968" s="34"/>
      <c r="BO968" s="34"/>
      <c r="BP968" s="34"/>
      <c r="BY968" s="34"/>
      <c r="BZ968" s="34"/>
      <c r="CA968" s="34"/>
      <c r="CB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</row>
    <row r="969" ht="15.75" customHeight="1">
      <c r="B969" s="34"/>
      <c r="E969" s="34"/>
      <c r="F969" s="34"/>
      <c r="G969" s="34"/>
      <c r="H969" s="34"/>
      <c r="I969" s="34"/>
      <c r="J969" s="34"/>
      <c r="K969" s="34"/>
      <c r="L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AA969" s="34"/>
      <c r="AB969" s="34"/>
      <c r="AC969" s="34"/>
      <c r="AD969" s="34"/>
      <c r="AE969" s="34"/>
      <c r="AF969" s="34"/>
      <c r="AG969" s="34"/>
      <c r="AH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I969" s="34"/>
      <c r="BJ969" s="34"/>
      <c r="BK969" s="34"/>
      <c r="BL969" s="34"/>
      <c r="BM969" s="34"/>
      <c r="BN969" s="34"/>
      <c r="BO969" s="34"/>
      <c r="BP969" s="34"/>
      <c r="BY969" s="34"/>
      <c r="BZ969" s="34"/>
      <c r="CA969" s="34"/>
      <c r="CB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</row>
    <row r="970" ht="15.75" customHeight="1">
      <c r="B970" s="34"/>
      <c r="E970" s="34"/>
      <c r="F970" s="34"/>
      <c r="G970" s="34"/>
      <c r="H970" s="34"/>
      <c r="I970" s="34"/>
      <c r="J970" s="34"/>
      <c r="K970" s="34"/>
      <c r="L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AA970" s="34"/>
      <c r="AB970" s="34"/>
      <c r="AC970" s="34"/>
      <c r="AD970" s="34"/>
      <c r="AE970" s="34"/>
      <c r="AF970" s="34"/>
      <c r="AG970" s="34"/>
      <c r="AH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I970" s="34"/>
      <c r="BJ970" s="34"/>
      <c r="BK970" s="34"/>
      <c r="BL970" s="34"/>
      <c r="BM970" s="34"/>
      <c r="BN970" s="34"/>
      <c r="BO970" s="34"/>
      <c r="BP970" s="34"/>
      <c r="BY970" s="34"/>
      <c r="BZ970" s="34"/>
      <c r="CA970" s="34"/>
      <c r="CB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</row>
    <row r="971" ht="15.75" customHeight="1">
      <c r="B971" s="34"/>
      <c r="E971" s="34"/>
      <c r="F971" s="34"/>
      <c r="G971" s="34"/>
      <c r="H971" s="34"/>
      <c r="I971" s="34"/>
      <c r="J971" s="34"/>
      <c r="K971" s="34"/>
      <c r="L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AA971" s="34"/>
      <c r="AB971" s="34"/>
      <c r="AC971" s="34"/>
      <c r="AD971" s="34"/>
      <c r="AE971" s="34"/>
      <c r="AF971" s="34"/>
      <c r="AG971" s="34"/>
      <c r="AH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I971" s="34"/>
      <c r="BJ971" s="34"/>
      <c r="BK971" s="34"/>
      <c r="BL971" s="34"/>
      <c r="BM971" s="34"/>
      <c r="BN971" s="34"/>
      <c r="BO971" s="34"/>
      <c r="BP971" s="34"/>
      <c r="BY971" s="34"/>
      <c r="BZ971" s="34"/>
      <c r="CA971" s="34"/>
      <c r="CB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</row>
    <row r="972" ht="15.75" customHeight="1">
      <c r="B972" s="34"/>
      <c r="E972" s="34"/>
      <c r="F972" s="34"/>
      <c r="G972" s="34"/>
      <c r="H972" s="34"/>
      <c r="I972" s="34"/>
      <c r="J972" s="34"/>
      <c r="K972" s="34"/>
      <c r="L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AA972" s="34"/>
      <c r="AB972" s="34"/>
      <c r="AC972" s="34"/>
      <c r="AD972" s="34"/>
      <c r="AE972" s="34"/>
      <c r="AF972" s="34"/>
      <c r="AG972" s="34"/>
      <c r="AH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I972" s="34"/>
      <c r="BJ972" s="34"/>
      <c r="BK972" s="34"/>
      <c r="BL972" s="34"/>
      <c r="BM972" s="34"/>
      <c r="BN972" s="34"/>
      <c r="BO972" s="34"/>
      <c r="BP972" s="34"/>
      <c r="BY972" s="34"/>
      <c r="BZ972" s="34"/>
      <c r="CA972" s="34"/>
      <c r="CB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</row>
    <row r="973" ht="15.75" customHeight="1">
      <c r="B973" s="34"/>
      <c r="E973" s="34"/>
      <c r="F973" s="34"/>
      <c r="G973" s="34"/>
      <c r="H973" s="34"/>
      <c r="I973" s="34"/>
      <c r="J973" s="34"/>
      <c r="K973" s="34"/>
      <c r="L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AA973" s="34"/>
      <c r="AB973" s="34"/>
      <c r="AC973" s="34"/>
      <c r="AD973" s="34"/>
      <c r="AE973" s="34"/>
      <c r="AF973" s="34"/>
      <c r="AG973" s="34"/>
      <c r="AH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I973" s="34"/>
      <c r="BJ973" s="34"/>
      <c r="BK973" s="34"/>
      <c r="BL973" s="34"/>
      <c r="BM973" s="34"/>
      <c r="BN973" s="34"/>
      <c r="BO973" s="34"/>
      <c r="BP973" s="34"/>
      <c r="BY973" s="34"/>
      <c r="BZ973" s="34"/>
      <c r="CA973" s="34"/>
      <c r="CB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</row>
    <row r="974" ht="15.75" customHeight="1">
      <c r="B974" s="34"/>
      <c r="E974" s="34"/>
      <c r="F974" s="34"/>
      <c r="G974" s="34"/>
      <c r="H974" s="34"/>
      <c r="I974" s="34"/>
      <c r="J974" s="34"/>
      <c r="K974" s="34"/>
      <c r="L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AA974" s="34"/>
      <c r="AB974" s="34"/>
      <c r="AC974" s="34"/>
      <c r="AD974" s="34"/>
      <c r="AE974" s="34"/>
      <c r="AF974" s="34"/>
      <c r="AG974" s="34"/>
      <c r="AH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I974" s="34"/>
      <c r="BJ974" s="34"/>
      <c r="BK974" s="34"/>
      <c r="BL974" s="34"/>
      <c r="BM974" s="34"/>
      <c r="BN974" s="34"/>
      <c r="BO974" s="34"/>
      <c r="BP974" s="34"/>
      <c r="BY974" s="34"/>
      <c r="BZ974" s="34"/>
      <c r="CA974" s="34"/>
      <c r="CB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</row>
    <row r="975" ht="15.75" customHeight="1">
      <c r="B975" s="34"/>
      <c r="E975" s="34"/>
      <c r="F975" s="34"/>
      <c r="G975" s="34"/>
      <c r="H975" s="34"/>
      <c r="I975" s="34"/>
      <c r="J975" s="34"/>
      <c r="K975" s="34"/>
      <c r="L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AA975" s="34"/>
      <c r="AB975" s="34"/>
      <c r="AC975" s="34"/>
      <c r="AD975" s="34"/>
      <c r="AE975" s="34"/>
      <c r="AF975" s="34"/>
      <c r="AG975" s="34"/>
      <c r="AH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I975" s="34"/>
      <c r="BJ975" s="34"/>
      <c r="BK975" s="34"/>
      <c r="BL975" s="34"/>
      <c r="BM975" s="34"/>
      <c r="BN975" s="34"/>
      <c r="BO975" s="34"/>
      <c r="BP975" s="34"/>
      <c r="BY975" s="34"/>
      <c r="BZ975" s="34"/>
      <c r="CA975" s="34"/>
      <c r="CB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</row>
    <row r="976" ht="15.75" customHeight="1">
      <c r="B976" s="34"/>
      <c r="E976" s="34"/>
      <c r="F976" s="34"/>
      <c r="G976" s="34"/>
      <c r="H976" s="34"/>
      <c r="I976" s="34"/>
      <c r="J976" s="34"/>
      <c r="K976" s="34"/>
      <c r="L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AA976" s="34"/>
      <c r="AB976" s="34"/>
      <c r="AC976" s="34"/>
      <c r="AD976" s="34"/>
      <c r="AE976" s="34"/>
      <c r="AF976" s="34"/>
      <c r="AG976" s="34"/>
      <c r="AH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I976" s="34"/>
      <c r="BJ976" s="34"/>
      <c r="BK976" s="34"/>
      <c r="BL976" s="34"/>
      <c r="BM976" s="34"/>
      <c r="BN976" s="34"/>
      <c r="BO976" s="34"/>
      <c r="BP976" s="34"/>
      <c r="BY976" s="34"/>
      <c r="BZ976" s="34"/>
      <c r="CA976" s="34"/>
      <c r="CB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</row>
    <row r="977" ht="15.75" customHeight="1">
      <c r="B977" s="34"/>
      <c r="E977" s="34"/>
      <c r="F977" s="34"/>
      <c r="G977" s="34"/>
      <c r="H977" s="34"/>
      <c r="I977" s="34"/>
      <c r="J977" s="34"/>
      <c r="K977" s="34"/>
      <c r="L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AA977" s="34"/>
      <c r="AB977" s="34"/>
      <c r="AC977" s="34"/>
      <c r="AD977" s="34"/>
      <c r="AE977" s="34"/>
      <c r="AF977" s="34"/>
      <c r="AG977" s="34"/>
      <c r="AH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I977" s="34"/>
      <c r="BJ977" s="34"/>
      <c r="BK977" s="34"/>
      <c r="BL977" s="34"/>
      <c r="BM977" s="34"/>
      <c r="BN977" s="34"/>
      <c r="BO977" s="34"/>
      <c r="BP977" s="34"/>
      <c r="BY977" s="34"/>
      <c r="BZ977" s="34"/>
      <c r="CA977" s="34"/>
      <c r="CB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</row>
    <row r="978" ht="15.75" customHeight="1">
      <c r="B978" s="34"/>
      <c r="E978" s="34"/>
      <c r="F978" s="34"/>
      <c r="G978" s="34"/>
      <c r="H978" s="34"/>
      <c r="I978" s="34"/>
      <c r="J978" s="34"/>
      <c r="K978" s="34"/>
      <c r="L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AA978" s="34"/>
      <c r="AB978" s="34"/>
      <c r="AC978" s="34"/>
      <c r="AD978" s="34"/>
      <c r="AE978" s="34"/>
      <c r="AF978" s="34"/>
      <c r="AG978" s="34"/>
      <c r="AH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I978" s="34"/>
      <c r="BJ978" s="34"/>
      <c r="BK978" s="34"/>
      <c r="BL978" s="34"/>
      <c r="BM978" s="34"/>
      <c r="BN978" s="34"/>
      <c r="BO978" s="34"/>
      <c r="BP978" s="34"/>
      <c r="BY978" s="34"/>
      <c r="BZ978" s="34"/>
      <c r="CA978" s="34"/>
      <c r="CB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</row>
    <row r="979" ht="15.75" customHeight="1">
      <c r="B979" s="34"/>
      <c r="E979" s="34"/>
      <c r="F979" s="34"/>
      <c r="G979" s="34"/>
      <c r="H979" s="34"/>
      <c r="I979" s="34"/>
      <c r="J979" s="34"/>
      <c r="K979" s="34"/>
      <c r="L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AA979" s="34"/>
      <c r="AB979" s="34"/>
      <c r="AC979" s="34"/>
      <c r="AD979" s="34"/>
      <c r="AE979" s="34"/>
      <c r="AF979" s="34"/>
      <c r="AG979" s="34"/>
      <c r="AH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I979" s="34"/>
      <c r="BJ979" s="34"/>
      <c r="BK979" s="34"/>
      <c r="BL979" s="34"/>
      <c r="BM979" s="34"/>
      <c r="BN979" s="34"/>
      <c r="BO979" s="34"/>
      <c r="BP979" s="34"/>
      <c r="BY979" s="34"/>
      <c r="BZ979" s="34"/>
      <c r="CA979" s="34"/>
      <c r="CB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</row>
    <row r="980" ht="15.75" customHeight="1">
      <c r="B980" s="34"/>
      <c r="E980" s="34"/>
      <c r="F980" s="34"/>
      <c r="G980" s="34"/>
      <c r="H980" s="34"/>
      <c r="I980" s="34"/>
      <c r="J980" s="34"/>
      <c r="K980" s="34"/>
      <c r="L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AA980" s="34"/>
      <c r="AB980" s="34"/>
      <c r="AC980" s="34"/>
      <c r="AD980" s="34"/>
      <c r="AE980" s="34"/>
      <c r="AF980" s="34"/>
      <c r="AG980" s="34"/>
      <c r="AH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I980" s="34"/>
      <c r="BJ980" s="34"/>
      <c r="BK980" s="34"/>
      <c r="BL980" s="34"/>
      <c r="BM980" s="34"/>
      <c r="BN980" s="34"/>
      <c r="BO980" s="34"/>
      <c r="BP980" s="34"/>
      <c r="BY980" s="34"/>
      <c r="BZ980" s="34"/>
      <c r="CA980" s="34"/>
      <c r="CB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</row>
    <row r="981" ht="15.75" customHeight="1">
      <c r="B981" s="34"/>
      <c r="E981" s="34"/>
      <c r="F981" s="34"/>
      <c r="G981" s="34"/>
      <c r="H981" s="34"/>
      <c r="I981" s="34"/>
      <c r="J981" s="34"/>
      <c r="K981" s="34"/>
      <c r="L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AA981" s="34"/>
      <c r="AB981" s="34"/>
      <c r="AC981" s="34"/>
      <c r="AD981" s="34"/>
      <c r="AE981" s="34"/>
      <c r="AF981" s="34"/>
      <c r="AG981" s="34"/>
      <c r="AH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I981" s="34"/>
      <c r="BJ981" s="34"/>
      <c r="BK981" s="34"/>
      <c r="BL981" s="34"/>
      <c r="BM981" s="34"/>
      <c r="BN981" s="34"/>
      <c r="BO981" s="34"/>
      <c r="BP981" s="34"/>
      <c r="BY981" s="34"/>
      <c r="BZ981" s="34"/>
      <c r="CA981" s="34"/>
      <c r="CB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</row>
    <row r="982" ht="15.75" customHeight="1">
      <c r="B982" s="34"/>
      <c r="E982" s="34"/>
      <c r="F982" s="34"/>
      <c r="G982" s="34"/>
      <c r="H982" s="34"/>
      <c r="I982" s="34"/>
      <c r="J982" s="34"/>
      <c r="K982" s="34"/>
      <c r="L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AA982" s="34"/>
      <c r="AB982" s="34"/>
      <c r="AC982" s="34"/>
      <c r="AD982" s="34"/>
      <c r="AE982" s="34"/>
      <c r="AF982" s="34"/>
      <c r="AG982" s="34"/>
      <c r="AH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I982" s="34"/>
      <c r="BJ982" s="34"/>
      <c r="BK982" s="34"/>
      <c r="BL982" s="34"/>
      <c r="BM982" s="34"/>
      <c r="BN982" s="34"/>
      <c r="BO982" s="34"/>
      <c r="BP982" s="34"/>
      <c r="BY982" s="34"/>
      <c r="BZ982" s="34"/>
      <c r="CA982" s="34"/>
      <c r="CB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</row>
    <row r="983" ht="15.75" customHeight="1">
      <c r="B983" s="34"/>
      <c r="E983" s="34"/>
      <c r="F983" s="34"/>
      <c r="G983" s="34"/>
      <c r="H983" s="34"/>
      <c r="I983" s="34"/>
      <c r="J983" s="34"/>
      <c r="K983" s="34"/>
      <c r="L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AA983" s="34"/>
      <c r="AB983" s="34"/>
      <c r="AC983" s="34"/>
      <c r="AD983" s="34"/>
      <c r="AE983" s="34"/>
      <c r="AF983" s="34"/>
      <c r="AG983" s="34"/>
      <c r="AH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I983" s="34"/>
      <c r="BJ983" s="34"/>
      <c r="BK983" s="34"/>
      <c r="BL983" s="34"/>
      <c r="BM983" s="34"/>
      <c r="BN983" s="34"/>
      <c r="BO983" s="34"/>
      <c r="BP983" s="34"/>
      <c r="BY983" s="34"/>
      <c r="BZ983" s="34"/>
      <c r="CA983" s="34"/>
      <c r="CB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</row>
    <row r="984" ht="15.75" customHeight="1">
      <c r="B984" s="34"/>
      <c r="E984" s="34"/>
      <c r="F984" s="34"/>
      <c r="G984" s="34"/>
      <c r="H984" s="34"/>
      <c r="I984" s="34"/>
      <c r="J984" s="34"/>
      <c r="K984" s="34"/>
      <c r="L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AA984" s="34"/>
      <c r="AB984" s="34"/>
      <c r="AC984" s="34"/>
      <c r="AD984" s="34"/>
      <c r="AE984" s="34"/>
      <c r="AF984" s="34"/>
      <c r="AG984" s="34"/>
      <c r="AH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I984" s="34"/>
      <c r="BJ984" s="34"/>
      <c r="BK984" s="34"/>
      <c r="BL984" s="34"/>
      <c r="BM984" s="34"/>
      <c r="BN984" s="34"/>
      <c r="BO984" s="34"/>
      <c r="BP984" s="34"/>
      <c r="BY984" s="34"/>
      <c r="BZ984" s="34"/>
      <c r="CA984" s="34"/>
      <c r="CB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</row>
    <row r="985" ht="15.75" customHeight="1">
      <c r="B985" s="34"/>
      <c r="E985" s="34"/>
      <c r="F985" s="34"/>
      <c r="G985" s="34"/>
      <c r="H985" s="34"/>
      <c r="I985" s="34"/>
      <c r="J985" s="34"/>
      <c r="K985" s="34"/>
      <c r="L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AA985" s="34"/>
      <c r="AB985" s="34"/>
      <c r="AC985" s="34"/>
      <c r="AD985" s="34"/>
      <c r="AE985" s="34"/>
      <c r="AF985" s="34"/>
      <c r="AG985" s="34"/>
      <c r="AH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I985" s="34"/>
      <c r="BJ985" s="34"/>
      <c r="BK985" s="34"/>
      <c r="BL985" s="34"/>
      <c r="BM985" s="34"/>
      <c r="BN985" s="34"/>
      <c r="BO985" s="34"/>
      <c r="BP985" s="34"/>
      <c r="BY985" s="34"/>
      <c r="BZ985" s="34"/>
      <c r="CA985" s="34"/>
      <c r="CB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</row>
    <row r="986" ht="15.75" customHeight="1">
      <c r="B986" s="34"/>
      <c r="E986" s="34"/>
      <c r="F986" s="34"/>
      <c r="G986" s="34"/>
      <c r="H986" s="34"/>
      <c r="I986" s="34"/>
      <c r="J986" s="34"/>
      <c r="K986" s="34"/>
      <c r="L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AA986" s="34"/>
      <c r="AB986" s="34"/>
      <c r="AC986" s="34"/>
      <c r="AD986" s="34"/>
      <c r="AE986" s="34"/>
      <c r="AF986" s="34"/>
      <c r="AG986" s="34"/>
      <c r="AH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I986" s="34"/>
      <c r="BJ986" s="34"/>
      <c r="BK986" s="34"/>
      <c r="BL986" s="34"/>
      <c r="BM986" s="34"/>
      <c r="BN986" s="34"/>
      <c r="BO986" s="34"/>
      <c r="BP986" s="34"/>
      <c r="BY986" s="34"/>
      <c r="BZ986" s="34"/>
      <c r="CA986" s="34"/>
      <c r="CB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</row>
    <row r="987" ht="15.75" customHeight="1">
      <c r="B987" s="34"/>
      <c r="E987" s="34"/>
      <c r="F987" s="34"/>
      <c r="G987" s="34"/>
      <c r="H987" s="34"/>
      <c r="I987" s="34"/>
      <c r="J987" s="34"/>
      <c r="K987" s="34"/>
      <c r="L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AA987" s="34"/>
      <c r="AB987" s="34"/>
      <c r="AC987" s="34"/>
      <c r="AD987" s="34"/>
      <c r="AE987" s="34"/>
      <c r="AF987" s="34"/>
      <c r="AG987" s="34"/>
      <c r="AH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I987" s="34"/>
      <c r="BJ987" s="34"/>
      <c r="BK987" s="34"/>
      <c r="BL987" s="34"/>
      <c r="BM987" s="34"/>
      <c r="BN987" s="34"/>
      <c r="BO987" s="34"/>
      <c r="BP987" s="34"/>
      <c r="BY987" s="34"/>
      <c r="BZ987" s="34"/>
      <c r="CA987" s="34"/>
      <c r="CB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</row>
    <row r="988" ht="15.75" customHeight="1">
      <c r="B988" s="34"/>
      <c r="E988" s="34"/>
      <c r="F988" s="34"/>
      <c r="G988" s="34"/>
      <c r="H988" s="34"/>
      <c r="I988" s="34"/>
      <c r="J988" s="34"/>
      <c r="K988" s="34"/>
      <c r="L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AA988" s="34"/>
      <c r="AB988" s="34"/>
      <c r="AC988" s="34"/>
      <c r="AD988" s="34"/>
      <c r="AE988" s="34"/>
      <c r="AF988" s="34"/>
      <c r="AG988" s="34"/>
      <c r="AH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I988" s="34"/>
      <c r="BJ988" s="34"/>
      <c r="BK988" s="34"/>
      <c r="BL988" s="34"/>
      <c r="BM988" s="34"/>
      <c r="BN988" s="34"/>
      <c r="BO988" s="34"/>
      <c r="BP988" s="34"/>
      <c r="BY988" s="34"/>
      <c r="BZ988" s="34"/>
      <c r="CA988" s="34"/>
      <c r="CB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</row>
    <row r="989" ht="15.75" customHeight="1">
      <c r="B989" s="34"/>
      <c r="E989" s="34"/>
      <c r="F989" s="34"/>
      <c r="G989" s="34"/>
      <c r="H989" s="34"/>
      <c r="I989" s="34"/>
      <c r="J989" s="34"/>
      <c r="K989" s="34"/>
      <c r="L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AA989" s="34"/>
      <c r="AB989" s="34"/>
      <c r="AC989" s="34"/>
      <c r="AD989" s="34"/>
      <c r="AE989" s="34"/>
      <c r="AF989" s="34"/>
      <c r="AG989" s="34"/>
      <c r="AH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I989" s="34"/>
      <c r="BJ989" s="34"/>
      <c r="BK989" s="34"/>
      <c r="BL989" s="34"/>
      <c r="BM989" s="34"/>
      <c r="BN989" s="34"/>
      <c r="BO989" s="34"/>
      <c r="BP989" s="34"/>
      <c r="BY989" s="34"/>
      <c r="BZ989" s="34"/>
      <c r="CA989" s="34"/>
      <c r="CB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</row>
    <row r="990" ht="15.75" customHeight="1">
      <c r="B990" s="34"/>
      <c r="E990" s="34"/>
      <c r="F990" s="34"/>
      <c r="G990" s="34"/>
      <c r="H990" s="34"/>
      <c r="I990" s="34"/>
      <c r="J990" s="34"/>
      <c r="K990" s="34"/>
      <c r="L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AA990" s="34"/>
      <c r="AB990" s="34"/>
      <c r="AC990" s="34"/>
      <c r="AD990" s="34"/>
      <c r="AE990" s="34"/>
      <c r="AF990" s="34"/>
      <c r="AG990" s="34"/>
      <c r="AH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I990" s="34"/>
      <c r="BJ990" s="34"/>
      <c r="BK990" s="34"/>
      <c r="BL990" s="34"/>
      <c r="BM990" s="34"/>
      <c r="BN990" s="34"/>
      <c r="BO990" s="34"/>
      <c r="BP990" s="34"/>
      <c r="BY990" s="34"/>
      <c r="BZ990" s="34"/>
      <c r="CA990" s="34"/>
      <c r="CB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</row>
    <row r="991" ht="15.75" customHeight="1">
      <c r="B991" s="34"/>
      <c r="E991" s="34"/>
      <c r="F991" s="34"/>
      <c r="G991" s="34"/>
      <c r="H991" s="34"/>
      <c r="I991" s="34"/>
      <c r="J991" s="34"/>
      <c r="K991" s="34"/>
      <c r="L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AA991" s="34"/>
      <c r="AB991" s="34"/>
      <c r="AC991" s="34"/>
      <c r="AD991" s="34"/>
      <c r="AE991" s="34"/>
      <c r="AF991" s="34"/>
      <c r="AG991" s="34"/>
      <c r="AH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I991" s="34"/>
      <c r="BJ991" s="34"/>
      <c r="BK991" s="34"/>
      <c r="BL991" s="34"/>
      <c r="BM991" s="34"/>
      <c r="BN991" s="34"/>
      <c r="BO991" s="34"/>
      <c r="BP991" s="34"/>
      <c r="BY991" s="34"/>
      <c r="BZ991" s="34"/>
      <c r="CA991" s="34"/>
      <c r="CB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</row>
    <row r="992" ht="15.75" customHeight="1">
      <c r="B992" s="34"/>
      <c r="E992" s="34"/>
      <c r="F992" s="34"/>
      <c r="G992" s="34"/>
      <c r="H992" s="34"/>
      <c r="I992" s="34"/>
      <c r="J992" s="34"/>
      <c r="K992" s="34"/>
      <c r="L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AA992" s="34"/>
      <c r="AB992" s="34"/>
      <c r="AC992" s="34"/>
      <c r="AD992" s="34"/>
      <c r="AE992" s="34"/>
      <c r="AF992" s="34"/>
      <c r="AG992" s="34"/>
      <c r="AH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I992" s="34"/>
      <c r="BJ992" s="34"/>
      <c r="BK992" s="34"/>
      <c r="BL992" s="34"/>
      <c r="BM992" s="34"/>
      <c r="BN992" s="34"/>
      <c r="BO992" s="34"/>
      <c r="BP992" s="34"/>
      <c r="BY992" s="34"/>
      <c r="BZ992" s="34"/>
      <c r="CA992" s="34"/>
      <c r="CB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</row>
    <row r="993" ht="15.75" customHeight="1">
      <c r="B993" s="34"/>
      <c r="E993" s="34"/>
      <c r="F993" s="34"/>
      <c r="G993" s="34"/>
      <c r="H993" s="34"/>
      <c r="I993" s="34"/>
      <c r="J993" s="34"/>
      <c r="K993" s="34"/>
      <c r="L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AA993" s="34"/>
      <c r="AB993" s="34"/>
      <c r="AC993" s="34"/>
      <c r="AD993" s="34"/>
      <c r="AE993" s="34"/>
      <c r="AF993" s="34"/>
      <c r="AG993" s="34"/>
      <c r="AH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I993" s="34"/>
      <c r="BJ993" s="34"/>
      <c r="BK993" s="34"/>
      <c r="BL993" s="34"/>
      <c r="BM993" s="34"/>
      <c r="BN993" s="34"/>
      <c r="BO993" s="34"/>
      <c r="BP993" s="34"/>
      <c r="BY993" s="34"/>
      <c r="BZ993" s="34"/>
      <c r="CA993" s="34"/>
      <c r="CB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</row>
    <row r="994" ht="15.75" customHeight="1">
      <c r="B994" s="34"/>
      <c r="E994" s="34"/>
      <c r="F994" s="34"/>
      <c r="G994" s="34"/>
      <c r="H994" s="34"/>
      <c r="I994" s="34"/>
      <c r="J994" s="34"/>
      <c r="K994" s="34"/>
      <c r="L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AA994" s="34"/>
      <c r="AB994" s="34"/>
      <c r="AC994" s="34"/>
      <c r="AD994" s="34"/>
      <c r="AE994" s="34"/>
      <c r="AF994" s="34"/>
      <c r="AG994" s="34"/>
      <c r="AH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I994" s="34"/>
      <c r="BJ994" s="34"/>
      <c r="BK994" s="34"/>
      <c r="BL994" s="34"/>
      <c r="BM994" s="34"/>
      <c r="BN994" s="34"/>
      <c r="BO994" s="34"/>
      <c r="BP994" s="34"/>
      <c r="BY994" s="34"/>
      <c r="BZ994" s="34"/>
      <c r="CA994" s="34"/>
      <c r="CB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</row>
    <row r="995" ht="15.75" customHeight="1">
      <c r="B995" s="34"/>
      <c r="E995" s="34"/>
      <c r="F995" s="34"/>
      <c r="G995" s="34"/>
      <c r="H995" s="34"/>
      <c r="I995" s="34"/>
      <c r="J995" s="34"/>
      <c r="K995" s="34"/>
      <c r="L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AA995" s="34"/>
      <c r="AB995" s="34"/>
      <c r="AC995" s="34"/>
      <c r="AD995" s="34"/>
      <c r="AE995" s="34"/>
      <c r="AF995" s="34"/>
      <c r="AG995" s="34"/>
      <c r="AH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I995" s="34"/>
      <c r="BJ995" s="34"/>
      <c r="BK995" s="34"/>
      <c r="BL995" s="34"/>
      <c r="BM995" s="34"/>
      <c r="BN995" s="34"/>
      <c r="BO995" s="34"/>
      <c r="BP995" s="34"/>
      <c r="BY995" s="34"/>
      <c r="BZ995" s="34"/>
      <c r="CA995" s="34"/>
      <c r="CB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</row>
    <row r="996" ht="15.75" customHeight="1">
      <c r="B996" s="34"/>
      <c r="E996" s="34"/>
      <c r="F996" s="34"/>
      <c r="G996" s="34"/>
      <c r="H996" s="34"/>
      <c r="I996" s="34"/>
      <c r="J996" s="34"/>
      <c r="K996" s="34"/>
      <c r="L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AA996" s="34"/>
      <c r="AB996" s="34"/>
      <c r="AC996" s="34"/>
      <c r="AD996" s="34"/>
      <c r="AE996" s="34"/>
      <c r="AF996" s="34"/>
      <c r="AG996" s="34"/>
      <c r="AH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I996" s="34"/>
      <c r="BJ996" s="34"/>
      <c r="BK996" s="34"/>
      <c r="BL996" s="34"/>
      <c r="BM996" s="34"/>
      <c r="BN996" s="34"/>
      <c r="BO996" s="34"/>
      <c r="BP996" s="34"/>
      <c r="BY996" s="34"/>
      <c r="BZ996" s="34"/>
      <c r="CA996" s="34"/>
      <c r="CB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</row>
    <row r="997" ht="15.75" customHeight="1">
      <c r="B997" s="34"/>
      <c r="E997" s="34"/>
      <c r="F997" s="34"/>
      <c r="G997" s="34"/>
      <c r="H997" s="34"/>
      <c r="I997" s="34"/>
      <c r="J997" s="34"/>
      <c r="K997" s="34"/>
      <c r="L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AA997" s="34"/>
      <c r="AB997" s="34"/>
      <c r="AC997" s="34"/>
      <c r="AD997" s="34"/>
      <c r="AE997" s="34"/>
      <c r="AF997" s="34"/>
      <c r="AG997" s="34"/>
      <c r="AH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I997" s="34"/>
      <c r="BJ997" s="34"/>
      <c r="BK997" s="34"/>
      <c r="BL997" s="34"/>
      <c r="BM997" s="34"/>
      <c r="BN997" s="34"/>
      <c r="BO997" s="34"/>
      <c r="BP997" s="34"/>
      <c r="BY997" s="34"/>
      <c r="BZ997" s="34"/>
      <c r="CA997" s="34"/>
      <c r="CB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</row>
    <row r="998" ht="15.75" customHeight="1">
      <c r="B998" s="34"/>
      <c r="E998" s="34"/>
      <c r="F998" s="34"/>
      <c r="G998" s="34"/>
      <c r="H998" s="34"/>
      <c r="I998" s="34"/>
      <c r="J998" s="34"/>
      <c r="K998" s="34"/>
      <c r="L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AA998" s="34"/>
      <c r="AB998" s="34"/>
      <c r="AC998" s="34"/>
      <c r="AD998" s="34"/>
      <c r="AE998" s="34"/>
      <c r="AF998" s="34"/>
      <c r="AG998" s="34"/>
      <c r="AH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I998" s="34"/>
      <c r="BJ998" s="34"/>
      <c r="BK998" s="34"/>
      <c r="BL998" s="34"/>
      <c r="BM998" s="34"/>
      <c r="BN998" s="34"/>
      <c r="BO998" s="34"/>
      <c r="BP998" s="34"/>
      <c r="BY998" s="34"/>
      <c r="BZ998" s="34"/>
      <c r="CA998" s="34"/>
      <c r="CB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</row>
    <row r="999" ht="15.75" customHeight="1">
      <c r="B999" s="34"/>
      <c r="E999" s="34"/>
      <c r="F999" s="34"/>
      <c r="G999" s="34"/>
      <c r="H999" s="34"/>
      <c r="I999" s="34"/>
      <c r="J999" s="34"/>
      <c r="K999" s="34"/>
      <c r="L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AA999" s="34"/>
      <c r="AB999" s="34"/>
      <c r="AC999" s="34"/>
      <c r="AD999" s="34"/>
      <c r="AE999" s="34"/>
      <c r="AF999" s="34"/>
      <c r="AG999" s="34"/>
      <c r="AH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I999" s="34"/>
      <c r="BJ999" s="34"/>
      <c r="BK999" s="34"/>
      <c r="BL999" s="34"/>
      <c r="BM999" s="34"/>
      <c r="BN999" s="34"/>
      <c r="BO999" s="34"/>
      <c r="BP999" s="34"/>
      <c r="BY999" s="34"/>
      <c r="BZ999" s="34"/>
      <c r="CA999" s="34"/>
      <c r="CB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</row>
    <row r="1000" ht="15.75" customHeight="1">
      <c r="B1000" s="34"/>
      <c r="E1000" s="34"/>
      <c r="F1000" s="34"/>
      <c r="G1000" s="34"/>
      <c r="H1000" s="34"/>
      <c r="I1000" s="34"/>
      <c r="J1000" s="34"/>
      <c r="K1000" s="34"/>
      <c r="L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AA1000" s="34"/>
      <c r="AB1000" s="34"/>
      <c r="AC1000" s="34"/>
      <c r="AD1000" s="34"/>
      <c r="AE1000" s="34"/>
      <c r="AF1000" s="34"/>
      <c r="AG1000" s="34"/>
      <c r="AH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I1000" s="34"/>
      <c r="BJ1000" s="34"/>
      <c r="BK1000" s="34"/>
      <c r="BL1000" s="34"/>
      <c r="BM1000" s="34"/>
      <c r="BN1000" s="34"/>
      <c r="BO1000" s="34"/>
      <c r="BP1000" s="34"/>
      <c r="BY1000" s="34"/>
      <c r="BZ1000" s="34"/>
      <c r="CA1000" s="34"/>
      <c r="CB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</row>
  </sheetData>
  <mergeCells count="22">
    <mergeCell ref="M2:N2"/>
    <mergeCell ref="B3:B4"/>
    <mergeCell ref="C3:D3"/>
    <mergeCell ref="M3:N3"/>
    <mergeCell ref="Y3:Z3"/>
    <mergeCell ref="B22:B23"/>
    <mergeCell ref="C22:D22"/>
    <mergeCell ref="BU22:BV22"/>
    <mergeCell ref="BW22:BX22"/>
    <mergeCell ref="CC22:CD22"/>
    <mergeCell ref="CO22:CP22"/>
    <mergeCell ref="DA22:DB22"/>
    <mergeCell ref="DM22:DN22"/>
    <mergeCell ref="DO22:DP22"/>
    <mergeCell ref="Z36:DP36"/>
    <mergeCell ref="M22:N22"/>
    <mergeCell ref="Y22:Z22"/>
    <mergeCell ref="AI22:AJ22"/>
    <mergeCell ref="AU22:AV22"/>
    <mergeCell ref="BG22:BH22"/>
    <mergeCell ref="BQ22:BR22"/>
    <mergeCell ref="BS22:BT22"/>
  </mergeCells>
  <conditionalFormatting sqref="DO22:DP23">
    <cfRule type="containsText" dxfId="0" priority="1" operator="containsText" text="Meta">
      <formula>NOT(ISERROR(SEARCH(("Meta"),(DO22))))</formula>
    </cfRule>
  </conditionalFormatting>
  <conditionalFormatting sqref="DO22:DP23">
    <cfRule type="containsText" dxfId="1" priority="2" operator="containsText" text="Atingido">
      <formula>NOT(ISERROR(SEARCH(("Atingido"),(DO22))))</formula>
    </cfRule>
  </conditionalFormatting>
  <conditionalFormatting sqref="DO22:DP23">
    <cfRule type="containsText" dxfId="2" priority="3" operator="containsText" text="/">
      <formula>NOT(ISERROR(SEARCH(("/"),(DO22))))</formula>
    </cfRule>
  </conditionalFormatting>
  <conditionalFormatting sqref="C1:C23 C25 C27 C29 C36:F37 D1:F29 G1:L37 M1:M23 M25 M27 M29 M36:N37 N1:N29 O1:BP37 BQ2:BR17 BQ21:BR23 BR35 BS1:DL37 DM2:DQ17 DM21:DN23">
    <cfRule type="containsText" dxfId="3" priority="4" operator="containsText" text="Meta">
      <formula>NOT(ISERROR(SEARCH(("Meta"),(C1))))</formula>
    </cfRule>
  </conditionalFormatting>
  <conditionalFormatting sqref="C1:C23 C25 C27 C29 C36:F37 D1:F29 G1:L37 M1:M23 M25 M27 M29 M36:N37 N1:N29 O1:BP37 BQ2:BR17 BQ21:BR23 BR35 BS1:DL37 DM2:DQ17 DM21:DN23">
    <cfRule type="containsText" dxfId="4" priority="5" operator="containsText" text="Atingido">
      <formula>NOT(ISERROR(SEARCH(("Atingido"),(C1))))</formula>
    </cfRule>
  </conditionalFormatting>
  <conditionalFormatting sqref="A1:B37 C1:C23 C25 C27 C29 C36:F37 D1:F29 G1:L37 M1:M23 M25 M27 M29 M36:N37 N1:N29 O1:DR37">
    <cfRule type="containsText" dxfId="5" priority="6" operator="containsText" text="/">
      <formula>NOT(ISERROR(SEARCH(("/"),(A1))))</formula>
    </cfRule>
  </conditionalFormatting>
  <conditionalFormatting sqref="C23">
    <cfRule type="expression" dxfId="6" priority="7">
      <formula>LEN(TRIM(C23))&gt;0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Col="1"/>
  <cols>
    <col customWidth="1" min="1" max="1" width="12.63"/>
    <col customWidth="1" min="2" max="2" width="38.13"/>
    <col customWidth="1" min="3" max="4" width="12.63"/>
    <col customWidth="1" hidden="1" min="5" max="12" width="12.63" outlineLevel="1"/>
    <col customWidth="1" hidden="1" min="15" max="24" width="12.63" outlineLevel="1"/>
    <col customWidth="1" hidden="1" min="27" max="34" width="12.63" outlineLevel="1"/>
    <col customWidth="1" hidden="1" min="37" max="46" width="12.63" outlineLevel="1"/>
    <col customWidth="1" hidden="1" min="49" max="58" width="12.63" outlineLevel="1"/>
    <col customWidth="1" hidden="1" min="61" max="68" width="12.63" outlineLevel="1"/>
    <col customWidth="1" hidden="1" min="77" max="80" width="12.63" outlineLevel="1"/>
    <col customWidth="1" hidden="1" min="83" max="92" width="12.63" outlineLevel="1"/>
    <col customWidth="1" hidden="1" min="95" max="104" width="12.63" outlineLevel="1"/>
    <col customWidth="1" hidden="1" min="107" max="116" width="12.63" outlineLevel="1"/>
  </cols>
  <sheetData>
    <row r="1" ht="15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4"/>
      <c r="AB1" s="214"/>
      <c r="AC1" s="214"/>
      <c r="AD1" s="214"/>
      <c r="AE1" s="214"/>
      <c r="AF1" s="214"/>
      <c r="AG1" s="214"/>
      <c r="AH1" s="214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4"/>
      <c r="BZ1" s="214"/>
      <c r="CA1" s="214"/>
      <c r="CB1" s="214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</row>
    <row r="2" ht="16.5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128" t="s">
        <v>113</v>
      </c>
      <c r="N2" s="46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129">
        <v>1.0</v>
      </c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</row>
    <row r="3" ht="16.5" customHeight="1">
      <c r="A3" s="213"/>
      <c r="B3" s="130" t="s">
        <v>114</v>
      </c>
      <c r="C3" s="128" t="s">
        <v>115</v>
      </c>
      <c r="D3" s="46"/>
      <c r="E3" s="131">
        <v>45299.0</v>
      </c>
      <c r="F3" s="131">
        <v>45303.0</v>
      </c>
      <c r="G3" s="131">
        <v>45306.0</v>
      </c>
      <c r="H3" s="131">
        <v>45310.0</v>
      </c>
      <c r="I3" s="131">
        <v>45313.0</v>
      </c>
      <c r="J3" s="131">
        <v>45317.0</v>
      </c>
      <c r="K3" s="131">
        <v>45320.0</v>
      </c>
      <c r="L3" s="131">
        <v>45322.0</v>
      </c>
      <c r="M3" s="128" t="s">
        <v>113</v>
      </c>
      <c r="N3" s="46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128" t="s">
        <v>116</v>
      </c>
      <c r="Z3" s="46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</row>
    <row r="4" ht="16.5" customHeight="1">
      <c r="A4" s="213"/>
      <c r="B4" s="104"/>
      <c r="C4" s="132" t="s">
        <v>92</v>
      </c>
      <c r="D4" s="133" t="s">
        <v>117</v>
      </c>
      <c r="E4" s="132" t="s">
        <v>91</v>
      </c>
      <c r="F4" s="133" t="s">
        <v>92</v>
      </c>
      <c r="G4" s="132" t="s">
        <v>91</v>
      </c>
      <c r="H4" s="133" t="s">
        <v>92</v>
      </c>
      <c r="I4" s="132" t="s">
        <v>91</v>
      </c>
      <c r="J4" s="133" t="s">
        <v>92</v>
      </c>
      <c r="K4" s="132" t="s">
        <v>91</v>
      </c>
      <c r="L4" s="133" t="s">
        <v>92</v>
      </c>
      <c r="M4" s="132" t="s">
        <v>92</v>
      </c>
      <c r="N4" s="133" t="s">
        <v>117</v>
      </c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134" t="s">
        <v>92</v>
      </c>
      <c r="Z4" s="135" t="s">
        <v>117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</row>
    <row r="5" ht="16.5" customHeight="1">
      <c r="A5" s="213"/>
      <c r="B5" s="136" t="s">
        <v>118</v>
      </c>
      <c r="C5" s="215">
        <f>C7/D6</f>
        <v>176.366843</v>
      </c>
      <c r="D5" s="216"/>
      <c r="E5" s="217"/>
      <c r="F5" s="218"/>
      <c r="G5" s="217"/>
      <c r="H5" s="218"/>
      <c r="I5" s="217"/>
      <c r="J5" s="218"/>
      <c r="K5" s="217"/>
      <c r="L5" s="218"/>
      <c r="M5" s="215">
        <f>C5/Y2</f>
        <v>176.366843</v>
      </c>
      <c r="N5" s="216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140"/>
      <c r="Z5" s="219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</row>
    <row r="6" ht="16.5" customHeight="1">
      <c r="A6" s="213"/>
      <c r="B6" s="136" t="s">
        <v>96</v>
      </c>
      <c r="C6" s="142">
        <f>C7/C5</f>
        <v>0.15</v>
      </c>
      <c r="D6" s="143">
        <v>0.15</v>
      </c>
      <c r="E6" s="142" t="str">
        <f t="shared" ref="E6:M6" si="1">E7/E5</f>
        <v>#DIV/0!</v>
      </c>
      <c r="F6" s="143" t="str">
        <f t="shared" si="1"/>
        <v>#DIV/0!</v>
      </c>
      <c r="G6" s="142" t="str">
        <f t="shared" si="1"/>
        <v>#DIV/0!</v>
      </c>
      <c r="H6" s="143" t="str">
        <f t="shared" si="1"/>
        <v>#DIV/0!</v>
      </c>
      <c r="I6" s="142" t="str">
        <f t="shared" si="1"/>
        <v>#DIV/0!</v>
      </c>
      <c r="J6" s="143" t="str">
        <f t="shared" si="1"/>
        <v>#DIV/0!</v>
      </c>
      <c r="K6" s="142" t="str">
        <f t="shared" si="1"/>
        <v>#DIV/0!</v>
      </c>
      <c r="L6" s="143" t="str">
        <f t="shared" si="1"/>
        <v>#DIV/0!</v>
      </c>
      <c r="M6" s="142">
        <f t="shared" si="1"/>
        <v>0.15</v>
      </c>
      <c r="N6" s="143">
        <v>0.15</v>
      </c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140"/>
      <c r="Z6" s="140"/>
      <c r="AA6" s="213"/>
      <c r="AB6" s="213"/>
      <c r="AC6" s="213"/>
      <c r="AD6" s="213"/>
      <c r="AE6" s="213"/>
      <c r="AF6" s="213"/>
      <c r="AG6" s="213"/>
      <c r="AH6" s="213"/>
      <c r="AI6" s="213"/>
      <c r="AJ6" s="220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F6" s="213"/>
      <c r="DG6" s="213"/>
      <c r="DH6" s="213"/>
      <c r="DI6" s="213"/>
      <c r="DJ6" s="213"/>
      <c r="DK6" s="213"/>
      <c r="DL6" s="213"/>
      <c r="DM6" s="213"/>
      <c r="DN6" s="213"/>
      <c r="DO6" s="213"/>
      <c r="DP6" s="213"/>
      <c r="DQ6" s="213"/>
      <c r="DR6" s="213"/>
    </row>
    <row r="7" ht="16.5" customHeight="1">
      <c r="A7" s="213"/>
      <c r="B7" s="136" t="s">
        <v>119</v>
      </c>
      <c r="C7" s="215">
        <f>C9/D8</f>
        <v>26.45502646</v>
      </c>
      <c r="D7" s="221"/>
      <c r="E7" s="222"/>
      <c r="F7" s="221"/>
      <c r="G7" s="222"/>
      <c r="H7" s="221"/>
      <c r="I7" s="222"/>
      <c r="J7" s="221"/>
      <c r="K7" s="222"/>
      <c r="L7" s="221"/>
      <c r="M7" s="215">
        <f>C7/Y2</f>
        <v>26.45502646</v>
      </c>
      <c r="N7" s="221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140"/>
      <c r="Z7" s="22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  <c r="DI7" s="213"/>
      <c r="DJ7" s="213"/>
      <c r="DK7" s="213"/>
      <c r="DL7" s="213"/>
      <c r="DM7" s="213"/>
      <c r="DN7" s="213"/>
      <c r="DO7" s="213"/>
      <c r="DP7" s="213"/>
      <c r="DQ7" s="213"/>
      <c r="DR7" s="224"/>
    </row>
    <row r="8" ht="16.5" customHeight="1">
      <c r="A8" s="213"/>
      <c r="B8" s="136" t="s">
        <v>99</v>
      </c>
      <c r="C8" s="142">
        <f>C9/C7</f>
        <v>0.2</v>
      </c>
      <c r="D8" s="143">
        <v>0.2</v>
      </c>
      <c r="E8" s="142" t="str">
        <f t="shared" ref="E8:M8" si="2">E9/E7</f>
        <v>#DIV/0!</v>
      </c>
      <c r="F8" s="143" t="str">
        <f t="shared" si="2"/>
        <v>#DIV/0!</v>
      </c>
      <c r="G8" s="142" t="str">
        <f t="shared" si="2"/>
        <v>#DIV/0!</v>
      </c>
      <c r="H8" s="143" t="str">
        <f t="shared" si="2"/>
        <v>#DIV/0!</v>
      </c>
      <c r="I8" s="142" t="str">
        <f t="shared" si="2"/>
        <v>#DIV/0!</v>
      </c>
      <c r="J8" s="143" t="str">
        <f t="shared" si="2"/>
        <v>#DIV/0!</v>
      </c>
      <c r="K8" s="142" t="str">
        <f t="shared" si="2"/>
        <v>#DIV/0!</v>
      </c>
      <c r="L8" s="143" t="str">
        <f t="shared" si="2"/>
        <v>#DIV/0!</v>
      </c>
      <c r="M8" s="142">
        <f t="shared" si="2"/>
        <v>0.2</v>
      </c>
      <c r="N8" s="143">
        <v>0.15</v>
      </c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140"/>
      <c r="Z8" s="140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  <c r="DI8" s="213"/>
      <c r="DJ8" s="213"/>
      <c r="DK8" s="213"/>
      <c r="DL8" s="213"/>
      <c r="DM8" s="213"/>
      <c r="DN8" s="213"/>
      <c r="DO8" s="213"/>
      <c r="DP8" s="213"/>
      <c r="DQ8" s="213"/>
      <c r="DR8" s="213"/>
    </row>
    <row r="9" ht="16.5" customHeight="1">
      <c r="A9" s="220"/>
      <c r="B9" s="149" t="s">
        <v>120</v>
      </c>
      <c r="C9" s="215">
        <f>C11/D10</f>
        <v>5.291005291</v>
      </c>
      <c r="D9" s="225"/>
      <c r="E9" s="222"/>
      <c r="F9" s="225"/>
      <c r="G9" s="222"/>
      <c r="H9" s="225"/>
      <c r="I9" s="222"/>
      <c r="J9" s="225"/>
      <c r="K9" s="222"/>
      <c r="L9" s="225"/>
      <c r="M9" s="215">
        <f>C9/Y2</f>
        <v>5.291005291</v>
      </c>
      <c r="N9" s="225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140"/>
      <c r="Z9" s="226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  <c r="DI9" s="213"/>
      <c r="DJ9" s="213"/>
      <c r="DK9" s="213"/>
      <c r="DL9" s="213"/>
      <c r="DM9" s="213"/>
      <c r="DN9" s="213"/>
      <c r="DO9" s="213"/>
      <c r="DP9" s="213"/>
      <c r="DQ9" s="213"/>
      <c r="DR9" s="213"/>
    </row>
    <row r="10" ht="16.5" customHeight="1">
      <c r="A10" s="227"/>
      <c r="B10" s="136" t="s">
        <v>101</v>
      </c>
      <c r="C10" s="142">
        <f>C11/C9</f>
        <v>0.9</v>
      </c>
      <c r="D10" s="153">
        <v>0.9</v>
      </c>
      <c r="E10" s="142" t="str">
        <f t="shared" ref="E10:M10" si="3">E11/E9</f>
        <v>#DIV/0!</v>
      </c>
      <c r="F10" s="143" t="str">
        <f t="shared" si="3"/>
        <v>#DIV/0!</v>
      </c>
      <c r="G10" s="142" t="str">
        <f t="shared" si="3"/>
        <v>#DIV/0!</v>
      </c>
      <c r="H10" s="143" t="str">
        <f t="shared" si="3"/>
        <v>#DIV/0!</v>
      </c>
      <c r="I10" s="142" t="str">
        <f t="shared" si="3"/>
        <v>#DIV/0!</v>
      </c>
      <c r="J10" s="143" t="str">
        <f t="shared" si="3"/>
        <v>#DIV/0!</v>
      </c>
      <c r="K10" s="142" t="str">
        <f t="shared" si="3"/>
        <v>#DIV/0!</v>
      </c>
      <c r="L10" s="143" t="str">
        <f t="shared" si="3"/>
        <v>#DIV/0!</v>
      </c>
      <c r="M10" s="142">
        <f t="shared" si="3"/>
        <v>0.9</v>
      </c>
      <c r="N10" s="143">
        <v>0.8</v>
      </c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140"/>
      <c r="Z10" s="140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  <c r="CE10" s="213"/>
      <c r="CF10" s="213"/>
      <c r="CG10" s="213"/>
      <c r="CH10" s="213"/>
      <c r="CI10" s="213"/>
      <c r="CJ10" s="213"/>
      <c r="CK10" s="213"/>
      <c r="CL10" s="213"/>
      <c r="CM10" s="213"/>
      <c r="CN10" s="213"/>
      <c r="CO10" s="213"/>
      <c r="CP10" s="213"/>
      <c r="CQ10" s="213"/>
      <c r="CR10" s="213"/>
      <c r="CS10" s="213"/>
      <c r="CT10" s="213"/>
      <c r="CU10" s="213"/>
      <c r="CV10" s="213"/>
      <c r="CW10" s="213"/>
      <c r="CX10" s="213"/>
      <c r="CY10" s="213"/>
      <c r="CZ10" s="213"/>
      <c r="DA10" s="213"/>
      <c r="DB10" s="213"/>
      <c r="DC10" s="213"/>
      <c r="DD10" s="213"/>
      <c r="DE10" s="213"/>
      <c r="DF10" s="213"/>
      <c r="DG10" s="213"/>
      <c r="DH10" s="213"/>
      <c r="DI10" s="213"/>
      <c r="DJ10" s="213"/>
      <c r="DK10" s="213"/>
      <c r="DL10" s="213"/>
      <c r="DM10" s="213"/>
      <c r="DN10" s="213"/>
      <c r="DO10" s="213"/>
      <c r="DP10" s="213"/>
      <c r="DQ10" s="213"/>
      <c r="DR10" s="213"/>
    </row>
    <row r="11" ht="16.5" customHeight="1">
      <c r="A11" s="228"/>
      <c r="B11" s="155" t="s">
        <v>121</v>
      </c>
      <c r="C11" s="215">
        <f>C13/D12</f>
        <v>4.761904762</v>
      </c>
      <c r="D11" s="221"/>
      <c r="E11" s="222"/>
      <c r="F11" s="221"/>
      <c r="G11" s="222"/>
      <c r="H11" s="221"/>
      <c r="I11" s="222"/>
      <c r="J11" s="221"/>
      <c r="K11" s="222"/>
      <c r="L11" s="221"/>
      <c r="M11" s="215">
        <f>C11/Y2</f>
        <v>4.761904762</v>
      </c>
      <c r="N11" s="221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15">
        <f>C11</f>
        <v>4.761904762</v>
      </c>
      <c r="Z11" s="221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  <c r="CI11" s="213"/>
      <c r="CJ11" s="213"/>
      <c r="CK11" s="213"/>
      <c r="CL11" s="213"/>
      <c r="CM11" s="213"/>
      <c r="CN11" s="213"/>
      <c r="CO11" s="213"/>
      <c r="CP11" s="213"/>
      <c r="CQ11" s="213"/>
      <c r="CR11" s="213"/>
      <c r="CS11" s="213"/>
      <c r="CT11" s="213"/>
      <c r="CU11" s="213"/>
      <c r="CV11" s="213"/>
      <c r="CW11" s="213"/>
      <c r="CX11" s="213"/>
      <c r="CY11" s="213"/>
      <c r="CZ11" s="213"/>
      <c r="DA11" s="213"/>
      <c r="DB11" s="213"/>
      <c r="DC11" s="213"/>
      <c r="DD11" s="213"/>
      <c r="DE11" s="213"/>
      <c r="DF11" s="213"/>
      <c r="DG11" s="213"/>
      <c r="DH11" s="213"/>
      <c r="DI11" s="213"/>
      <c r="DJ11" s="213"/>
      <c r="DK11" s="213"/>
      <c r="DL11" s="213"/>
      <c r="DM11" s="213"/>
      <c r="DN11" s="213"/>
      <c r="DO11" s="213"/>
      <c r="DP11" s="213"/>
      <c r="DQ11" s="213"/>
      <c r="DR11" s="213"/>
    </row>
    <row r="12" ht="16.5" customHeight="1">
      <c r="A12" s="228"/>
      <c r="B12" s="155" t="s">
        <v>122</v>
      </c>
      <c r="C12" s="142">
        <f>C13/C11</f>
        <v>0.6</v>
      </c>
      <c r="D12" s="143">
        <v>0.6</v>
      </c>
      <c r="E12" s="142" t="str">
        <f t="shared" ref="E12:L12" si="4">E13/E11</f>
        <v>#DIV/0!</v>
      </c>
      <c r="F12" s="143" t="str">
        <f t="shared" si="4"/>
        <v>#DIV/0!</v>
      </c>
      <c r="G12" s="142" t="str">
        <f t="shared" si="4"/>
        <v>#DIV/0!</v>
      </c>
      <c r="H12" s="143" t="str">
        <f t="shared" si="4"/>
        <v>#DIV/0!</v>
      </c>
      <c r="I12" s="142" t="str">
        <f t="shared" si="4"/>
        <v>#DIV/0!</v>
      </c>
      <c r="J12" s="143" t="str">
        <f t="shared" si="4"/>
        <v>#DIV/0!</v>
      </c>
      <c r="K12" s="142" t="str">
        <f t="shared" si="4"/>
        <v>#DIV/0!</v>
      </c>
      <c r="L12" s="143" t="str">
        <f t="shared" si="4"/>
        <v>#DIV/0!</v>
      </c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2">
        <f>Y13/Y11</f>
        <v>0.6</v>
      </c>
      <c r="Z12" s="143">
        <v>1.0</v>
      </c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3"/>
      <c r="CF12" s="213"/>
      <c r="CG12" s="213"/>
      <c r="CH12" s="213"/>
      <c r="CI12" s="213"/>
      <c r="CJ12" s="213"/>
      <c r="CK12" s="213"/>
      <c r="CL12" s="213"/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C12" s="213"/>
      <c r="DD12" s="213"/>
      <c r="DE12" s="213"/>
      <c r="DF12" s="213"/>
      <c r="DG12" s="213"/>
      <c r="DH12" s="213"/>
      <c r="DI12" s="213"/>
      <c r="DJ12" s="213"/>
      <c r="DK12" s="213"/>
      <c r="DL12" s="213"/>
      <c r="DM12" s="213"/>
      <c r="DN12" s="213"/>
      <c r="DO12" s="213"/>
      <c r="DP12" s="213"/>
      <c r="DQ12" s="213"/>
      <c r="DR12" s="213"/>
    </row>
    <row r="13" ht="16.5" customHeight="1">
      <c r="A13" s="228"/>
      <c r="B13" s="155" t="s">
        <v>123</v>
      </c>
      <c r="C13" s="215">
        <f>C15/D14</f>
        <v>2.857142857</v>
      </c>
      <c r="D13" s="230"/>
      <c r="E13" s="231"/>
      <c r="F13" s="230"/>
      <c r="G13" s="231"/>
      <c r="H13" s="230"/>
      <c r="I13" s="231"/>
      <c r="J13" s="230"/>
      <c r="K13" s="231"/>
      <c r="L13" s="23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215">
        <f>C13</f>
        <v>2.857142857</v>
      </c>
      <c r="Z13" s="230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  <c r="DN13" s="213"/>
      <c r="DO13" s="213"/>
      <c r="DP13" s="213"/>
      <c r="DQ13" s="213"/>
      <c r="DR13" s="228"/>
    </row>
    <row r="14" ht="16.5" customHeight="1">
      <c r="A14" s="227"/>
      <c r="B14" s="155" t="s">
        <v>124</v>
      </c>
      <c r="C14" s="142">
        <f>C15/C13</f>
        <v>0.35</v>
      </c>
      <c r="D14" s="143">
        <v>0.35</v>
      </c>
      <c r="E14" s="142" t="str">
        <f t="shared" ref="E14:L14" si="5">E15/E13</f>
        <v>#DIV/0!</v>
      </c>
      <c r="F14" s="143" t="str">
        <f t="shared" si="5"/>
        <v>#DIV/0!</v>
      </c>
      <c r="G14" s="142" t="str">
        <f t="shared" si="5"/>
        <v>#DIV/0!</v>
      </c>
      <c r="H14" s="143" t="str">
        <f t="shared" si="5"/>
        <v>#DIV/0!</v>
      </c>
      <c r="I14" s="142" t="str">
        <f t="shared" si="5"/>
        <v>#DIV/0!</v>
      </c>
      <c r="J14" s="143" t="str">
        <f t="shared" si="5"/>
        <v>#DIV/0!</v>
      </c>
      <c r="K14" s="142" t="str">
        <f t="shared" si="5"/>
        <v>#DIV/0!</v>
      </c>
      <c r="L14" s="143" t="str">
        <f t="shared" si="5"/>
        <v>#DIV/0!</v>
      </c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2">
        <f>Y15/Y13</f>
        <v>0.35</v>
      </c>
      <c r="Z14" s="143">
        <v>0.25</v>
      </c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13"/>
      <c r="DC14" s="213"/>
      <c r="DD14" s="213"/>
      <c r="DE14" s="213"/>
      <c r="DF14" s="213"/>
      <c r="DG14" s="213"/>
      <c r="DH14" s="213"/>
      <c r="DI14" s="213"/>
      <c r="DJ14" s="213"/>
      <c r="DK14" s="213"/>
      <c r="DL14" s="213"/>
      <c r="DM14" s="213"/>
      <c r="DN14" s="213"/>
      <c r="DO14" s="213"/>
      <c r="DP14" s="213"/>
      <c r="DQ14" s="213"/>
      <c r="DR14" s="228"/>
    </row>
    <row r="15" ht="16.5" customHeight="1">
      <c r="A15" s="228"/>
      <c r="B15" s="159" t="s">
        <v>125</v>
      </c>
      <c r="C15" s="215">
        <v>1.0</v>
      </c>
      <c r="D15" s="230"/>
      <c r="E15" s="222"/>
      <c r="F15" s="230"/>
      <c r="G15" s="222"/>
      <c r="H15" s="230"/>
      <c r="I15" s="222"/>
      <c r="J15" s="230"/>
      <c r="K15" s="222"/>
      <c r="L15" s="23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215">
        <f>C15</f>
        <v>1</v>
      </c>
      <c r="Z15" s="230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13"/>
      <c r="DC15" s="213"/>
      <c r="DD15" s="213"/>
      <c r="DE15" s="213"/>
      <c r="DF15" s="213"/>
      <c r="DG15" s="213"/>
      <c r="DH15" s="213"/>
      <c r="DI15" s="213"/>
      <c r="DJ15" s="213"/>
      <c r="DK15" s="213"/>
      <c r="DL15" s="213"/>
      <c r="DM15" s="213"/>
      <c r="DN15" s="213"/>
      <c r="DO15" s="213"/>
      <c r="DP15" s="213"/>
      <c r="DQ15" s="213"/>
      <c r="DR15" s="228"/>
    </row>
    <row r="16" ht="16.5" customHeight="1">
      <c r="A16" s="228"/>
      <c r="B16" s="159" t="s">
        <v>126</v>
      </c>
      <c r="C16" s="232">
        <f>B17*C15</f>
        <v>20000</v>
      </c>
      <c r="D16" s="230"/>
      <c r="E16" s="222"/>
      <c r="F16" s="230"/>
      <c r="G16" s="222"/>
      <c r="H16" s="230"/>
      <c r="I16" s="222"/>
      <c r="J16" s="230"/>
      <c r="K16" s="222"/>
      <c r="L16" s="23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232">
        <f>AH17*Y15</f>
        <v>0</v>
      </c>
      <c r="Z16" s="230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13"/>
      <c r="DL16" s="213"/>
      <c r="DM16" s="213"/>
      <c r="DN16" s="213"/>
      <c r="DO16" s="213"/>
      <c r="DP16" s="213"/>
      <c r="DQ16" s="213"/>
      <c r="DR16" s="228"/>
    </row>
    <row r="17" ht="15.75" customHeight="1">
      <c r="A17" s="213" t="s">
        <v>127</v>
      </c>
      <c r="B17" s="233">
        <v>20000.0</v>
      </c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4"/>
      <c r="N17" s="236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34"/>
      <c r="Z17" s="235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  <c r="CE17" s="213"/>
      <c r="CF17" s="213"/>
      <c r="CG17" s="213"/>
      <c r="CH17" s="213"/>
      <c r="CI17" s="213"/>
      <c r="CJ17" s="213"/>
      <c r="CK17" s="213"/>
      <c r="CL17" s="213"/>
      <c r="CM17" s="213"/>
      <c r="CN17" s="213"/>
      <c r="CO17" s="213"/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3"/>
      <c r="DA17" s="213"/>
      <c r="DB17" s="213"/>
      <c r="DC17" s="213"/>
      <c r="DD17" s="213"/>
      <c r="DE17" s="213"/>
      <c r="DF17" s="213"/>
      <c r="DG17" s="213"/>
      <c r="DH17" s="213"/>
      <c r="DI17" s="213"/>
      <c r="DJ17" s="213"/>
      <c r="DK17" s="213"/>
      <c r="DL17" s="213"/>
      <c r="DM17" s="213"/>
      <c r="DN17" s="213"/>
      <c r="DO17" s="213"/>
      <c r="DP17" s="213"/>
      <c r="DQ17" s="213"/>
      <c r="DR17" s="213"/>
    </row>
    <row r="18" ht="15.7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23"/>
      <c r="AB18" s="223"/>
      <c r="AC18" s="223"/>
      <c r="AD18" s="223"/>
      <c r="AE18" s="223"/>
      <c r="AF18" s="223"/>
      <c r="AG18" s="223"/>
      <c r="AH18" s="22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23"/>
      <c r="BZ18" s="223"/>
      <c r="CA18" s="223"/>
      <c r="CB18" s="223"/>
      <c r="CC18" s="213"/>
      <c r="CD18" s="213"/>
      <c r="CE18" s="213"/>
      <c r="CF18" s="213"/>
      <c r="CG18" s="213"/>
      <c r="CH18" s="213"/>
      <c r="CI18" s="213"/>
      <c r="CJ18" s="213"/>
      <c r="CK18" s="213"/>
      <c r="CL18" s="213"/>
      <c r="CM18" s="213"/>
      <c r="CN18" s="213"/>
      <c r="CO18" s="213"/>
      <c r="CP18" s="213"/>
      <c r="CQ18" s="213"/>
      <c r="CR18" s="213"/>
      <c r="CS18" s="213"/>
      <c r="CT18" s="213"/>
      <c r="CU18" s="213"/>
      <c r="CV18" s="213"/>
      <c r="CW18" s="213"/>
      <c r="CX18" s="213"/>
      <c r="CY18" s="213"/>
      <c r="CZ18" s="213"/>
      <c r="DA18" s="213"/>
      <c r="DB18" s="213"/>
      <c r="DC18" s="213"/>
      <c r="DD18" s="213"/>
      <c r="DE18" s="213"/>
      <c r="DF18" s="213"/>
      <c r="DG18" s="213"/>
      <c r="DH18" s="213"/>
      <c r="DI18" s="213"/>
      <c r="DJ18" s="213"/>
      <c r="DK18" s="213"/>
      <c r="DL18" s="213"/>
      <c r="DM18" s="213"/>
      <c r="DN18" s="213"/>
      <c r="DO18" s="213"/>
      <c r="DP18" s="213"/>
      <c r="DQ18" s="213"/>
      <c r="DR18" s="213"/>
    </row>
    <row r="19" ht="15.75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4"/>
      <c r="AB19" s="214"/>
      <c r="AC19" s="214"/>
      <c r="AD19" s="214"/>
      <c r="AE19" s="214"/>
      <c r="AF19" s="214"/>
      <c r="AG19" s="214"/>
      <c r="AH19" s="214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4"/>
      <c r="BZ19" s="214"/>
      <c r="CA19" s="214"/>
      <c r="CB19" s="214"/>
      <c r="CC19" s="213"/>
      <c r="CD19" s="213"/>
      <c r="CE19" s="213"/>
      <c r="CF19" s="213"/>
      <c r="CG19" s="213"/>
      <c r="CH19" s="213"/>
      <c r="CI19" s="213"/>
      <c r="CJ19" s="213"/>
      <c r="CK19" s="213"/>
      <c r="CL19" s="213"/>
      <c r="CM19" s="213"/>
      <c r="CN19" s="213"/>
      <c r="CO19" s="213"/>
      <c r="CP19" s="213"/>
      <c r="CQ19" s="213"/>
      <c r="CR19" s="213"/>
      <c r="CS19" s="213"/>
      <c r="CT19" s="213"/>
      <c r="CU19" s="213"/>
      <c r="CV19" s="213"/>
      <c r="CW19" s="213"/>
      <c r="CX19" s="213"/>
      <c r="CY19" s="213"/>
      <c r="CZ19" s="213"/>
      <c r="DA19" s="213"/>
      <c r="DB19" s="213"/>
      <c r="DC19" s="213"/>
      <c r="DD19" s="213"/>
      <c r="DE19" s="213"/>
      <c r="DF19" s="213"/>
      <c r="DG19" s="213"/>
      <c r="DH19" s="213"/>
      <c r="DI19" s="213"/>
      <c r="DJ19" s="213"/>
      <c r="DK19" s="213"/>
      <c r="DL19" s="213"/>
      <c r="DM19" s="213"/>
      <c r="DN19" s="213"/>
      <c r="DO19" s="213"/>
      <c r="DP19" s="213"/>
      <c r="DQ19" s="213"/>
      <c r="DR19" s="213"/>
    </row>
    <row r="20" ht="15.7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23"/>
      <c r="AB20" s="223"/>
      <c r="AC20" s="223"/>
      <c r="AD20" s="223"/>
      <c r="AE20" s="223"/>
      <c r="AF20" s="223"/>
      <c r="AG20" s="223"/>
      <c r="AH20" s="22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23"/>
      <c r="BZ20" s="223"/>
      <c r="CA20" s="223"/>
      <c r="CB20" s="223"/>
      <c r="CC20" s="213"/>
      <c r="CD20" s="213"/>
      <c r="CE20" s="213"/>
      <c r="CF20" s="213"/>
      <c r="CG20" s="213"/>
      <c r="CH20" s="213"/>
      <c r="CI20" s="213"/>
      <c r="CJ20" s="213"/>
      <c r="CK20" s="213"/>
      <c r="CL20" s="213"/>
      <c r="CM20" s="213"/>
      <c r="CN20" s="213"/>
      <c r="CO20" s="213"/>
      <c r="CP20" s="213"/>
      <c r="CQ20" s="213"/>
      <c r="CR20" s="213"/>
      <c r="CS20" s="213"/>
      <c r="CT20" s="213"/>
      <c r="CU20" s="213"/>
      <c r="CV20" s="213"/>
      <c r="CW20" s="213"/>
      <c r="CX20" s="213"/>
      <c r="CY20" s="213"/>
      <c r="CZ20" s="213"/>
      <c r="DA20" s="213"/>
      <c r="DB20" s="213"/>
      <c r="DC20" s="213"/>
      <c r="DD20" s="213"/>
      <c r="DE20" s="213"/>
      <c r="DF20" s="213"/>
      <c r="DG20" s="213"/>
      <c r="DH20" s="213"/>
      <c r="DI20" s="213"/>
      <c r="DJ20" s="213"/>
      <c r="DK20" s="213"/>
      <c r="DL20" s="213"/>
      <c r="DM20" s="213"/>
      <c r="DN20" s="213"/>
      <c r="DO20" s="213"/>
      <c r="DP20" s="213"/>
      <c r="DQ20" s="213"/>
      <c r="DR20" s="213"/>
    </row>
    <row r="21" ht="22.5" customHeight="1">
      <c r="A21" s="165"/>
      <c r="B21" s="166" t="s">
        <v>128</v>
      </c>
      <c r="C21" s="167"/>
      <c r="D21" s="167"/>
      <c r="E21" s="168"/>
      <c r="F21" s="168"/>
      <c r="G21" s="168"/>
      <c r="H21" s="168"/>
      <c r="I21" s="168"/>
      <c r="J21" s="168"/>
      <c r="K21" s="168"/>
      <c r="L21" s="168"/>
      <c r="M21" s="167"/>
      <c r="N21" s="167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7"/>
      <c r="Z21" s="167"/>
      <c r="AA21" s="168"/>
      <c r="AB21" s="168"/>
      <c r="AC21" s="168"/>
      <c r="AD21" s="168"/>
      <c r="AE21" s="168"/>
      <c r="AF21" s="168"/>
      <c r="AG21" s="168"/>
      <c r="AH21" s="168"/>
      <c r="AI21" s="167"/>
      <c r="AJ21" s="167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7"/>
      <c r="AV21" s="167"/>
      <c r="AW21" s="168"/>
      <c r="AX21" s="168"/>
      <c r="AY21" s="168"/>
      <c r="AZ21" s="169"/>
      <c r="BA21" s="169"/>
      <c r="BB21" s="169"/>
      <c r="BC21" s="169"/>
      <c r="BD21" s="169"/>
      <c r="BE21" s="169"/>
      <c r="BF21" s="169"/>
      <c r="BG21" s="167"/>
      <c r="BH21" s="167"/>
      <c r="BI21" s="169"/>
      <c r="BJ21" s="169"/>
      <c r="BK21" s="169"/>
      <c r="BL21" s="169"/>
      <c r="BM21" s="169"/>
      <c r="BN21" s="169"/>
      <c r="BO21" s="169"/>
      <c r="BP21" s="169"/>
      <c r="BQ21" s="167"/>
      <c r="BR21" s="167"/>
      <c r="BS21" s="167"/>
      <c r="BT21" s="167"/>
      <c r="BU21" s="167"/>
      <c r="BV21" s="167"/>
      <c r="BW21" s="167"/>
      <c r="BX21" s="167"/>
      <c r="BY21" s="168"/>
      <c r="BZ21" s="168"/>
      <c r="CA21" s="168"/>
      <c r="CB21" s="168"/>
      <c r="CC21" s="167"/>
      <c r="CD21" s="167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7"/>
      <c r="CP21" s="167"/>
      <c r="CQ21" s="168"/>
      <c r="CR21" s="168"/>
      <c r="CS21" s="168"/>
      <c r="CT21" s="169"/>
      <c r="CU21" s="169"/>
      <c r="CV21" s="169"/>
      <c r="CW21" s="169"/>
      <c r="CX21" s="169"/>
      <c r="CY21" s="169"/>
      <c r="CZ21" s="169"/>
      <c r="DA21" s="167"/>
      <c r="DB21" s="167"/>
      <c r="DC21" s="169"/>
      <c r="DD21" s="169"/>
      <c r="DE21" s="169"/>
      <c r="DF21" s="169"/>
      <c r="DG21" s="169"/>
      <c r="DH21" s="169"/>
      <c r="DI21" s="169"/>
      <c r="DJ21" s="169"/>
      <c r="DK21" s="169"/>
      <c r="DL21" s="169"/>
      <c r="DM21" s="167"/>
      <c r="DN21" s="167"/>
      <c r="DO21" s="237"/>
      <c r="DP21" s="237"/>
      <c r="DQ21" s="237"/>
      <c r="DR21" s="237"/>
    </row>
    <row r="22" ht="22.5" customHeight="1">
      <c r="A22" s="166"/>
      <c r="B22" s="130" t="s">
        <v>129</v>
      </c>
      <c r="C22" s="128" t="s">
        <v>130</v>
      </c>
      <c r="D22" s="46"/>
      <c r="E22" s="171">
        <v>45299.0</v>
      </c>
      <c r="F22" s="171">
        <v>45303.0</v>
      </c>
      <c r="G22" s="171">
        <v>45306.0</v>
      </c>
      <c r="H22" s="171">
        <v>45310.0</v>
      </c>
      <c r="I22" s="171">
        <v>45313.0</v>
      </c>
      <c r="J22" s="171">
        <v>45317.0</v>
      </c>
      <c r="K22" s="171">
        <v>45320.0</v>
      </c>
      <c r="L22" s="171">
        <v>45322.0</v>
      </c>
      <c r="M22" s="128" t="s">
        <v>131</v>
      </c>
      <c r="N22" s="46"/>
      <c r="O22" s="172">
        <v>45323.0</v>
      </c>
      <c r="P22" s="172">
        <v>45324.0</v>
      </c>
      <c r="Q22" s="172">
        <v>45327.0</v>
      </c>
      <c r="R22" s="172">
        <v>45331.0</v>
      </c>
      <c r="S22" s="172">
        <v>45334.0</v>
      </c>
      <c r="T22" s="172">
        <v>45338.0</v>
      </c>
      <c r="U22" s="172">
        <v>45341.0</v>
      </c>
      <c r="V22" s="172">
        <v>45345.0</v>
      </c>
      <c r="W22" s="172">
        <v>45348.0</v>
      </c>
      <c r="X22" s="172">
        <v>45351.0</v>
      </c>
      <c r="Y22" s="128" t="s">
        <v>132</v>
      </c>
      <c r="Z22" s="46"/>
      <c r="AA22" s="172">
        <v>45352.0</v>
      </c>
      <c r="AB22" s="172">
        <v>45359.0</v>
      </c>
      <c r="AC22" s="172">
        <v>45362.0</v>
      </c>
      <c r="AD22" s="172">
        <v>45366.0</v>
      </c>
      <c r="AE22" s="172">
        <v>45369.0</v>
      </c>
      <c r="AF22" s="172">
        <v>45373.0</v>
      </c>
      <c r="AG22" s="172">
        <v>45376.0</v>
      </c>
      <c r="AH22" s="172">
        <v>45382.0</v>
      </c>
      <c r="AI22" s="128" t="s">
        <v>133</v>
      </c>
      <c r="AJ22" s="46"/>
      <c r="AK22" s="172">
        <v>45383.0</v>
      </c>
      <c r="AL22" s="173">
        <v>45389.0</v>
      </c>
      <c r="AM22" s="173">
        <v>45390.0</v>
      </c>
      <c r="AN22" s="173">
        <v>45396.0</v>
      </c>
      <c r="AO22" s="172">
        <v>45397.0</v>
      </c>
      <c r="AP22" s="173">
        <v>45403.0</v>
      </c>
      <c r="AQ22" s="173">
        <v>45404.0</v>
      </c>
      <c r="AR22" s="173">
        <v>45410.0</v>
      </c>
      <c r="AS22" s="173">
        <v>45411.0</v>
      </c>
      <c r="AT22" s="173">
        <v>45412.0</v>
      </c>
      <c r="AU22" s="128" t="s">
        <v>134</v>
      </c>
      <c r="AV22" s="46"/>
      <c r="AW22" s="172">
        <v>45413.0</v>
      </c>
      <c r="AX22" s="172"/>
      <c r="AY22" s="172">
        <v>45417.0</v>
      </c>
      <c r="AZ22" s="174"/>
      <c r="BA22" s="174">
        <v>45424.0</v>
      </c>
      <c r="BB22" s="174"/>
      <c r="BC22" s="174">
        <v>45431.0</v>
      </c>
      <c r="BD22" s="174"/>
      <c r="BE22" s="174">
        <v>45438.0</v>
      </c>
      <c r="BF22" s="174"/>
      <c r="BG22" s="128" t="s">
        <v>135</v>
      </c>
      <c r="BH22" s="46"/>
      <c r="BI22" s="174">
        <v>45446.0</v>
      </c>
      <c r="BJ22" s="174"/>
      <c r="BK22" s="174">
        <v>45453.0</v>
      </c>
      <c r="BL22" s="174"/>
      <c r="BM22" s="174">
        <v>45460.0</v>
      </c>
      <c r="BN22" s="174"/>
      <c r="BO22" s="174">
        <v>45467.0</v>
      </c>
      <c r="BP22" s="174"/>
      <c r="BQ22" s="128" t="s">
        <v>136</v>
      </c>
      <c r="BR22" s="46"/>
      <c r="BS22" s="128" t="s">
        <v>137</v>
      </c>
      <c r="BT22" s="46"/>
      <c r="BU22" s="128" t="s">
        <v>138</v>
      </c>
      <c r="BV22" s="46"/>
      <c r="BW22" s="128" t="s">
        <v>139</v>
      </c>
      <c r="BX22" s="46"/>
      <c r="BY22" s="172">
        <v>45187.0</v>
      </c>
      <c r="BZ22" s="172">
        <v>45191.0</v>
      </c>
      <c r="CA22" s="172">
        <v>45194.0</v>
      </c>
      <c r="CB22" s="172">
        <v>45198.0</v>
      </c>
      <c r="CC22" s="128" t="s">
        <v>140</v>
      </c>
      <c r="CD22" s="46"/>
      <c r="CE22" s="172">
        <v>45201.0</v>
      </c>
      <c r="CF22" s="173">
        <v>45205.0</v>
      </c>
      <c r="CG22" s="173">
        <v>45208.0</v>
      </c>
      <c r="CH22" s="173">
        <v>45212.0</v>
      </c>
      <c r="CI22" s="172">
        <v>45215.0</v>
      </c>
      <c r="CJ22" s="173">
        <v>45219.0</v>
      </c>
      <c r="CK22" s="173">
        <v>45222.0</v>
      </c>
      <c r="CL22" s="173">
        <v>45226.0</v>
      </c>
      <c r="CM22" s="173">
        <v>45229.0</v>
      </c>
      <c r="CN22" s="173">
        <v>45230.0</v>
      </c>
      <c r="CO22" s="128" t="s">
        <v>141</v>
      </c>
      <c r="CP22" s="46"/>
      <c r="CQ22" s="172">
        <v>45231.0</v>
      </c>
      <c r="CR22" s="172">
        <v>45233.0</v>
      </c>
      <c r="CS22" s="172">
        <v>45236.0</v>
      </c>
      <c r="CT22" s="174">
        <v>45240.0</v>
      </c>
      <c r="CU22" s="174">
        <v>45243.0</v>
      </c>
      <c r="CV22" s="174">
        <v>45247.0</v>
      </c>
      <c r="CW22" s="174">
        <v>45250.0</v>
      </c>
      <c r="CX22" s="174">
        <v>45254.0</v>
      </c>
      <c r="CY22" s="174">
        <v>45257.0</v>
      </c>
      <c r="CZ22" s="174">
        <v>45260.0</v>
      </c>
      <c r="DA22" s="128" t="s">
        <v>142</v>
      </c>
      <c r="DB22" s="46"/>
      <c r="DC22" s="174">
        <v>45261.0</v>
      </c>
      <c r="DD22" s="174">
        <v>45261.0</v>
      </c>
      <c r="DE22" s="174">
        <v>45264.0</v>
      </c>
      <c r="DF22" s="174">
        <v>45268.0</v>
      </c>
      <c r="DG22" s="174">
        <v>45271.0</v>
      </c>
      <c r="DH22" s="174">
        <v>45275.0</v>
      </c>
      <c r="DI22" s="174">
        <v>45278.0</v>
      </c>
      <c r="DJ22" s="174">
        <v>45282.0</v>
      </c>
      <c r="DK22" s="174">
        <v>45285.0</v>
      </c>
      <c r="DL22" s="174">
        <v>45289.0</v>
      </c>
      <c r="DM22" s="128" t="s">
        <v>143</v>
      </c>
      <c r="DN22" s="46"/>
      <c r="DO22" s="128" t="s">
        <v>94</v>
      </c>
      <c r="DP22" s="46"/>
      <c r="DQ22" s="237"/>
      <c r="DR22" s="237"/>
    </row>
    <row r="23" ht="22.5" customHeight="1">
      <c r="A23" s="166"/>
      <c r="B23" s="104"/>
      <c r="C23" s="175" t="s">
        <v>91</v>
      </c>
      <c r="D23" s="175" t="s">
        <v>92</v>
      </c>
      <c r="E23" s="175" t="s">
        <v>91</v>
      </c>
      <c r="F23" s="175" t="s">
        <v>92</v>
      </c>
      <c r="G23" s="175" t="s">
        <v>91</v>
      </c>
      <c r="H23" s="175" t="s">
        <v>92</v>
      </c>
      <c r="I23" s="175" t="s">
        <v>91</v>
      </c>
      <c r="J23" s="175" t="s">
        <v>92</v>
      </c>
      <c r="K23" s="175" t="s">
        <v>91</v>
      </c>
      <c r="L23" s="175" t="s">
        <v>92</v>
      </c>
      <c r="M23" s="175" t="s">
        <v>91</v>
      </c>
      <c r="N23" s="175" t="s">
        <v>92</v>
      </c>
      <c r="O23" s="175" t="s">
        <v>91</v>
      </c>
      <c r="P23" s="175" t="s">
        <v>92</v>
      </c>
      <c r="Q23" s="175" t="s">
        <v>91</v>
      </c>
      <c r="R23" s="175" t="s">
        <v>92</v>
      </c>
      <c r="S23" s="175" t="s">
        <v>91</v>
      </c>
      <c r="T23" s="175" t="s">
        <v>92</v>
      </c>
      <c r="U23" s="175" t="s">
        <v>91</v>
      </c>
      <c r="V23" s="175" t="s">
        <v>92</v>
      </c>
      <c r="W23" s="175" t="s">
        <v>91</v>
      </c>
      <c r="X23" s="175" t="s">
        <v>92</v>
      </c>
      <c r="Y23" s="175" t="s">
        <v>91</v>
      </c>
      <c r="Z23" s="175" t="s">
        <v>92</v>
      </c>
      <c r="AA23" s="176" t="s">
        <v>91</v>
      </c>
      <c r="AB23" s="177" t="s">
        <v>92</v>
      </c>
      <c r="AC23" s="176" t="s">
        <v>91</v>
      </c>
      <c r="AD23" s="177" t="s">
        <v>92</v>
      </c>
      <c r="AE23" s="176" t="s">
        <v>91</v>
      </c>
      <c r="AF23" s="177" t="s">
        <v>92</v>
      </c>
      <c r="AG23" s="176" t="s">
        <v>91</v>
      </c>
      <c r="AH23" s="177" t="s">
        <v>92</v>
      </c>
      <c r="AI23" s="175" t="s">
        <v>91</v>
      </c>
      <c r="AJ23" s="175" t="s">
        <v>92</v>
      </c>
      <c r="AK23" s="178" t="s">
        <v>91</v>
      </c>
      <c r="AL23" s="179" t="s">
        <v>92</v>
      </c>
      <c r="AM23" s="178" t="s">
        <v>91</v>
      </c>
      <c r="AN23" s="179" t="s">
        <v>92</v>
      </c>
      <c r="AO23" s="178" t="s">
        <v>91</v>
      </c>
      <c r="AP23" s="179" t="s">
        <v>92</v>
      </c>
      <c r="AQ23" s="178" t="s">
        <v>91</v>
      </c>
      <c r="AR23" s="179" t="s">
        <v>92</v>
      </c>
      <c r="AS23" s="178" t="s">
        <v>91</v>
      </c>
      <c r="AT23" s="179" t="s">
        <v>92</v>
      </c>
      <c r="AU23" s="178" t="s">
        <v>91</v>
      </c>
      <c r="AV23" s="179" t="s">
        <v>92</v>
      </c>
      <c r="AW23" s="180" t="s">
        <v>91</v>
      </c>
      <c r="AX23" s="181" t="s">
        <v>92</v>
      </c>
      <c r="AY23" s="178" t="s">
        <v>91</v>
      </c>
      <c r="AZ23" s="179" t="s">
        <v>92</v>
      </c>
      <c r="BA23" s="178" t="s">
        <v>91</v>
      </c>
      <c r="BB23" s="179" t="s">
        <v>92</v>
      </c>
      <c r="BC23" s="178" t="s">
        <v>91</v>
      </c>
      <c r="BD23" s="179" t="s">
        <v>92</v>
      </c>
      <c r="BE23" s="178" t="s">
        <v>91</v>
      </c>
      <c r="BF23" s="179" t="s">
        <v>92</v>
      </c>
      <c r="BG23" s="178" t="s">
        <v>91</v>
      </c>
      <c r="BH23" s="179" t="s">
        <v>92</v>
      </c>
      <c r="BI23" s="178" t="s">
        <v>91</v>
      </c>
      <c r="BJ23" s="179" t="s">
        <v>92</v>
      </c>
      <c r="BK23" s="178" t="s">
        <v>91</v>
      </c>
      <c r="BL23" s="179" t="s">
        <v>92</v>
      </c>
      <c r="BM23" s="178" t="s">
        <v>91</v>
      </c>
      <c r="BN23" s="179" t="s">
        <v>92</v>
      </c>
      <c r="BO23" s="178" t="s">
        <v>91</v>
      </c>
      <c r="BP23" s="179" t="s">
        <v>92</v>
      </c>
      <c r="BQ23" s="175" t="s">
        <v>91</v>
      </c>
      <c r="BR23" s="175" t="s">
        <v>92</v>
      </c>
      <c r="BS23" s="175" t="s">
        <v>91</v>
      </c>
      <c r="BT23" s="175" t="s">
        <v>92</v>
      </c>
      <c r="BU23" s="175" t="s">
        <v>91</v>
      </c>
      <c r="BV23" s="175" t="s">
        <v>92</v>
      </c>
      <c r="BW23" s="175" t="s">
        <v>91</v>
      </c>
      <c r="BX23" s="175" t="s">
        <v>92</v>
      </c>
      <c r="BY23" s="176" t="s">
        <v>91</v>
      </c>
      <c r="BZ23" s="177" t="s">
        <v>92</v>
      </c>
      <c r="CA23" s="176" t="s">
        <v>91</v>
      </c>
      <c r="CB23" s="177" t="s">
        <v>92</v>
      </c>
      <c r="CC23" s="175" t="s">
        <v>91</v>
      </c>
      <c r="CD23" s="175" t="s">
        <v>92</v>
      </c>
      <c r="CE23" s="178" t="s">
        <v>91</v>
      </c>
      <c r="CF23" s="179" t="s">
        <v>92</v>
      </c>
      <c r="CG23" s="178" t="s">
        <v>91</v>
      </c>
      <c r="CH23" s="179" t="s">
        <v>92</v>
      </c>
      <c r="CI23" s="178" t="s">
        <v>91</v>
      </c>
      <c r="CJ23" s="179" t="s">
        <v>92</v>
      </c>
      <c r="CK23" s="178" t="s">
        <v>91</v>
      </c>
      <c r="CL23" s="179" t="s">
        <v>92</v>
      </c>
      <c r="CM23" s="178" t="s">
        <v>91</v>
      </c>
      <c r="CN23" s="179" t="s">
        <v>92</v>
      </c>
      <c r="CO23" s="178" t="s">
        <v>91</v>
      </c>
      <c r="CP23" s="179" t="s">
        <v>92</v>
      </c>
      <c r="CQ23" s="180" t="s">
        <v>91</v>
      </c>
      <c r="CR23" s="181" t="s">
        <v>92</v>
      </c>
      <c r="CS23" s="178" t="s">
        <v>91</v>
      </c>
      <c r="CT23" s="179" t="s">
        <v>92</v>
      </c>
      <c r="CU23" s="178" t="s">
        <v>91</v>
      </c>
      <c r="CV23" s="179" t="s">
        <v>92</v>
      </c>
      <c r="CW23" s="178" t="s">
        <v>91</v>
      </c>
      <c r="CX23" s="179" t="s">
        <v>92</v>
      </c>
      <c r="CY23" s="178" t="s">
        <v>91</v>
      </c>
      <c r="CZ23" s="179" t="s">
        <v>92</v>
      </c>
      <c r="DA23" s="178" t="s">
        <v>91</v>
      </c>
      <c r="DB23" s="179" t="s">
        <v>92</v>
      </c>
      <c r="DC23" s="178" t="s">
        <v>91</v>
      </c>
      <c r="DD23" s="179" t="s">
        <v>92</v>
      </c>
      <c r="DE23" s="178" t="s">
        <v>91</v>
      </c>
      <c r="DF23" s="179" t="s">
        <v>92</v>
      </c>
      <c r="DG23" s="178" t="s">
        <v>91</v>
      </c>
      <c r="DH23" s="179" t="s">
        <v>92</v>
      </c>
      <c r="DI23" s="178" t="s">
        <v>91</v>
      </c>
      <c r="DJ23" s="179" t="s">
        <v>92</v>
      </c>
      <c r="DK23" s="178" t="s">
        <v>91</v>
      </c>
      <c r="DL23" s="179" t="s">
        <v>92</v>
      </c>
      <c r="DM23" s="175" t="s">
        <v>91</v>
      </c>
      <c r="DN23" s="175" t="s">
        <v>92</v>
      </c>
      <c r="DO23" s="182" t="s">
        <v>91</v>
      </c>
      <c r="DP23" s="183" t="s">
        <v>92</v>
      </c>
      <c r="DQ23" s="237"/>
      <c r="DR23" s="237"/>
    </row>
    <row r="24" ht="22.5" customHeight="1">
      <c r="A24" s="170"/>
      <c r="B24" s="136" t="s">
        <v>118</v>
      </c>
      <c r="C24" s="175"/>
      <c r="D24" s="184"/>
      <c r="E24" s="185"/>
      <c r="F24" s="185"/>
      <c r="G24" s="185"/>
      <c r="H24" s="185"/>
      <c r="I24" s="185"/>
      <c r="J24" s="185"/>
      <c r="K24" s="185"/>
      <c r="L24" s="185"/>
      <c r="M24" s="175"/>
      <c r="N24" s="184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6"/>
      <c r="AA24" s="176"/>
      <c r="AB24" s="177"/>
      <c r="AC24" s="176"/>
      <c r="AD24" s="177"/>
      <c r="AE24" s="176"/>
      <c r="AF24" s="177"/>
      <c r="AG24" s="176"/>
      <c r="AH24" s="177"/>
      <c r="AI24" s="185"/>
      <c r="AJ24" s="186"/>
      <c r="AK24" s="176"/>
      <c r="AL24" s="187"/>
      <c r="AM24" s="176"/>
      <c r="AN24" s="187"/>
      <c r="AO24" s="176"/>
      <c r="AP24" s="187"/>
      <c r="AQ24" s="176"/>
      <c r="AR24" s="187"/>
      <c r="AS24" s="176"/>
      <c r="AT24" s="187"/>
      <c r="AU24" s="176">
        <f>AW24+AY24+BA24+BC24++BE24</f>
        <v>0</v>
      </c>
      <c r="AV24" s="186"/>
      <c r="AW24" s="176"/>
      <c r="AX24" s="187">
        <f>$AV$24/5</f>
        <v>0</v>
      </c>
      <c r="AY24" s="176"/>
      <c r="AZ24" s="187">
        <f>$AV$24/5</f>
        <v>0</v>
      </c>
      <c r="BA24" s="176"/>
      <c r="BB24" s="187">
        <f>$AV$24/5</f>
        <v>0</v>
      </c>
      <c r="BC24" s="176"/>
      <c r="BD24" s="187">
        <f>$AV$24/5</f>
        <v>0</v>
      </c>
      <c r="BE24" s="176"/>
      <c r="BF24" s="187">
        <f>$AV$24/5</f>
        <v>0</v>
      </c>
      <c r="BG24" s="176"/>
      <c r="BH24" s="188"/>
      <c r="BI24" s="176"/>
      <c r="BJ24" s="188">
        <f>$BH24/4</f>
        <v>0</v>
      </c>
      <c r="BK24" s="176"/>
      <c r="BL24" s="187">
        <f>$BH$24/4</f>
        <v>0</v>
      </c>
      <c r="BM24" s="176"/>
      <c r="BN24" s="187">
        <f>$BH$24/4</f>
        <v>0</v>
      </c>
      <c r="BO24" s="176"/>
      <c r="BP24" s="187">
        <f>$BH$24/4</f>
        <v>0</v>
      </c>
      <c r="BQ24" s="185">
        <f>SUM(W24,Y24,AA24,AG24,AS24,BE24)</f>
        <v>0</v>
      </c>
      <c r="BR24" s="184">
        <v>175.0</v>
      </c>
      <c r="BS24" s="185"/>
      <c r="BT24" s="189">
        <v>176.36684303351</v>
      </c>
      <c r="BU24" s="185"/>
      <c r="BV24" s="189">
        <v>176.36684303351</v>
      </c>
      <c r="BW24" s="185"/>
      <c r="BX24" s="189">
        <v>176.36684303351</v>
      </c>
      <c r="BY24" s="176"/>
      <c r="BZ24" s="177"/>
      <c r="CA24" s="176"/>
      <c r="CB24" s="177"/>
      <c r="CC24" s="185"/>
      <c r="CD24" s="189">
        <v>176.36684303351</v>
      </c>
      <c r="CE24" s="176"/>
      <c r="CF24" s="187"/>
      <c r="CG24" s="176"/>
      <c r="CH24" s="187"/>
      <c r="CI24" s="176"/>
      <c r="CJ24" s="187"/>
      <c r="CK24" s="176"/>
      <c r="CL24" s="187"/>
      <c r="CM24" s="176"/>
      <c r="CN24" s="187"/>
      <c r="CO24" s="176"/>
      <c r="CP24" s="189">
        <v>176.36684303351</v>
      </c>
      <c r="CQ24" s="176"/>
      <c r="CR24" s="187"/>
      <c r="CS24" s="176"/>
      <c r="CT24" s="187"/>
      <c r="CU24" s="176"/>
      <c r="CV24" s="187"/>
      <c r="CW24" s="176"/>
      <c r="CX24" s="187"/>
      <c r="CY24" s="176"/>
      <c r="CZ24" s="187"/>
      <c r="DA24" s="176"/>
      <c r="DB24" s="189">
        <v>176.36684303351</v>
      </c>
      <c r="DC24" s="176"/>
      <c r="DD24" s="187"/>
      <c r="DE24" s="176"/>
      <c r="DF24" s="187"/>
      <c r="DG24" s="176"/>
      <c r="DH24" s="187"/>
      <c r="DI24" s="176"/>
      <c r="DJ24" s="187"/>
      <c r="DK24" s="176"/>
      <c r="DL24" s="187"/>
      <c r="DM24" s="185">
        <f t="shared" ref="DM24:DN24" si="6">SUM(BS24,BU24,BW24,CC24,CO24,DA24)</f>
        <v>0</v>
      </c>
      <c r="DN24" s="184">
        <f t="shared" si="6"/>
        <v>1058.201058</v>
      </c>
      <c r="DO24" s="190">
        <f t="shared" ref="DO24:DP24" si="7">SUM(BQ24,DM24)</f>
        <v>0</v>
      </c>
      <c r="DP24" s="191">
        <f t="shared" si="7"/>
        <v>1233.201058</v>
      </c>
      <c r="DQ24" s="237"/>
      <c r="DR24" s="237"/>
    </row>
    <row r="25" ht="22.5" customHeight="1">
      <c r="A25" s="170"/>
      <c r="B25" s="136" t="s">
        <v>96</v>
      </c>
      <c r="C25" s="142" t="str">
        <f t="shared" ref="C25:DJ25" si="8">C26/C24</f>
        <v>#DIV/0!</v>
      </c>
      <c r="D25" s="143" t="str">
        <f t="shared" si="8"/>
        <v>#DIV/0!</v>
      </c>
      <c r="E25" s="142" t="str">
        <f t="shared" si="8"/>
        <v>#DIV/0!</v>
      </c>
      <c r="F25" s="143" t="str">
        <f t="shared" si="8"/>
        <v>#DIV/0!</v>
      </c>
      <c r="G25" s="142" t="str">
        <f t="shared" si="8"/>
        <v>#DIV/0!</v>
      </c>
      <c r="H25" s="143" t="str">
        <f t="shared" si="8"/>
        <v>#DIV/0!</v>
      </c>
      <c r="I25" s="142" t="str">
        <f t="shared" si="8"/>
        <v>#DIV/0!</v>
      </c>
      <c r="J25" s="143" t="str">
        <f t="shared" si="8"/>
        <v>#DIV/0!</v>
      </c>
      <c r="K25" s="142" t="str">
        <f t="shared" si="8"/>
        <v>#DIV/0!</v>
      </c>
      <c r="L25" s="143" t="str">
        <f t="shared" si="8"/>
        <v>#DIV/0!</v>
      </c>
      <c r="M25" s="142" t="str">
        <f t="shared" si="8"/>
        <v>#DIV/0!</v>
      </c>
      <c r="N25" s="143" t="str">
        <f t="shared" si="8"/>
        <v>#DIV/0!</v>
      </c>
      <c r="O25" s="142" t="str">
        <f t="shared" si="8"/>
        <v>#DIV/0!</v>
      </c>
      <c r="P25" s="143" t="str">
        <f t="shared" si="8"/>
        <v>#DIV/0!</v>
      </c>
      <c r="Q25" s="142" t="str">
        <f t="shared" si="8"/>
        <v>#DIV/0!</v>
      </c>
      <c r="R25" s="143" t="str">
        <f t="shared" si="8"/>
        <v>#DIV/0!</v>
      </c>
      <c r="S25" s="142" t="str">
        <f t="shared" si="8"/>
        <v>#DIV/0!</v>
      </c>
      <c r="T25" s="143" t="str">
        <f t="shared" si="8"/>
        <v>#DIV/0!</v>
      </c>
      <c r="U25" s="142" t="str">
        <f t="shared" si="8"/>
        <v>#DIV/0!</v>
      </c>
      <c r="V25" s="143" t="str">
        <f t="shared" si="8"/>
        <v>#DIV/0!</v>
      </c>
      <c r="W25" s="142" t="str">
        <f t="shared" si="8"/>
        <v>#DIV/0!</v>
      </c>
      <c r="X25" s="143" t="str">
        <f t="shared" si="8"/>
        <v>#DIV/0!</v>
      </c>
      <c r="Y25" s="142" t="str">
        <f t="shared" si="8"/>
        <v>#DIV/0!</v>
      </c>
      <c r="Z25" s="143" t="str">
        <f t="shared" si="8"/>
        <v>#DIV/0!</v>
      </c>
      <c r="AA25" s="142" t="str">
        <f t="shared" si="8"/>
        <v>#DIV/0!</v>
      </c>
      <c r="AB25" s="143" t="str">
        <f t="shared" si="8"/>
        <v>#DIV/0!</v>
      </c>
      <c r="AC25" s="142" t="str">
        <f t="shared" si="8"/>
        <v>#DIV/0!</v>
      </c>
      <c r="AD25" s="143" t="str">
        <f t="shared" si="8"/>
        <v>#DIV/0!</v>
      </c>
      <c r="AE25" s="142" t="str">
        <f t="shared" si="8"/>
        <v>#DIV/0!</v>
      </c>
      <c r="AF25" s="143" t="str">
        <f t="shared" si="8"/>
        <v>#DIV/0!</v>
      </c>
      <c r="AG25" s="142" t="str">
        <f t="shared" si="8"/>
        <v>#DIV/0!</v>
      </c>
      <c r="AH25" s="143" t="str">
        <f t="shared" si="8"/>
        <v>#DIV/0!</v>
      </c>
      <c r="AI25" s="142" t="str">
        <f t="shared" si="8"/>
        <v>#DIV/0!</v>
      </c>
      <c r="AJ25" s="143" t="str">
        <f t="shared" si="8"/>
        <v>#DIV/0!</v>
      </c>
      <c r="AK25" s="142" t="str">
        <f t="shared" si="8"/>
        <v>#DIV/0!</v>
      </c>
      <c r="AL25" s="143" t="str">
        <f t="shared" si="8"/>
        <v>#DIV/0!</v>
      </c>
      <c r="AM25" s="142" t="str">
        <f t="shared" si="8"/>
        <v>#DIV/0!</v>
      </c>
      <c r="AN25" s="143" t="str">
        <f t="shared" si="8"/>
        <v>#DIV/0!</v>
      </c>
      <c r="AO25" s="142" t="str">
        <f t="shared" si="8"/>
        <v>#DIV/0!</v>
      </c>
      <c r="AP25" s="143" t="str">
        <f t="shared" si="8"/>
        <v>#DIV/0!</v>
      </c>
      <c r="AQ25" s="142" t="str">
        <f t="shared" si="8"/>
        <v>#DIV/0!</v>
      </c>
      <c r="AR25" s="143" t="str">
        <f t="shared" si="8"/>
        <v>#DIV/0!</v>
      </c>
      <c r="AS25" s="142" t="str">
        <f t="shared" si="8"/>
        <v>#DIV/0!</v>
      </c>
      <c r="AT25" s="143" t="str">
        <f t="shared" si="8"/>
        <v>#DIV/0!</v>
      </c>
      <c r="AU25" s="142" t="str">
        <f t="shared" si="8"/>
        <v>#DIV/0!</v>
      </c>
      <c r="AV25" s="143" t="str">
        <f t="shared" si="8"/>
        <v>#DIV/0!</v>
      </c>
      <c r="AW25" s="142" t="str">
        <f t="shared" si="8"/>
        <v>#DIV/0!</v>
      </c>
      <c r="AX25" s="143" t="str">
        <f t="shared" si="8"/>
        <v>#DIV/0!</v>
      </c>
      <c r="AY25" s="142" t="str">
        <f t="shared" si="8"/>
        <v>#DIV/0!</v>
      </c>
      <c r="AZ25" s="143" t="str">
        <f t="shared" si="8"/>
        <v>#DIV/0!</v>
      </c>
      <c r="BA25" s="142" t="str">
        <f t="shared" si="8"/>
        <v>#DIV/0!</v>
      </c>
      <c r="BB25" s="143" t="str">
        <f t="shared" si="8"/>
        <v>#DIV/0!</v>
      </c>
      <c r="BC25" s="142" t="str">
        <f t="shared" si="8"/>
        <v>#DIV/0!</v>
      </c>
      <c r="BD25" s="143" t="str">
        <f t="shared" si="8"/>
        <v>#DIV/0!</v>
      </c>
      <c r="BE25" s="142" t="str">
        <f t="shared" si="8"/>
        <v>#DIV/0!</v>
      </c>
      <c r="BF25" s="143" t="str">
        <f t="shared" si="8"/>
        <v>#DIV/0!</v>
      </c>
      <c r="BG25" s="142" t="str">
        <f t="shared" si="8"/>
        <v>#DIV/0!</v>
      </c>
      <c r="BH25" s="143" t="str">
        <f t="shared" si="8"/>
        <v>#DIV/0!</v>
      </c>
      <c r="BI25" s="142" t="str">
        <f t="shared" si="8"/>
        <v>#DIV/0!</v>
      </c>
      <c r="BJ25" s="143" t="str">
        <f t="shared" si="8"/>
        <v>#DIV/0!</v>
      </c>
      <c r="BK25" s="142" t="str">
        <f t="shared" si="8"/>
        <v>#DIV/0!</v>
      </c>
      <c r="BL25" s="143" t="str">
        <f t="shared" si="8"/>
        <v>#DIV/0!</v>
      </c>
      <c r="BM25" s="142" t="str">
        <f t="shared" si="8"/>
        <v>#DIV/0!</v>
      </c>
      <c r="BN25" s="143" t="str">
        <f t="shared" si="8"/>
        <v>#DIV/0!</v>
      </c>
      <c r="BO25" s="142" t="str">
        <f t="shared" si="8"/>
        <v>#DIV/0!</v>
      </c>
      <c r="BP25" s="143" t="str">
        <f t="shared" si="8"/>
        <v>#DIV/0!</v>
      </c>
      <c r="BQ25" s="142" t="str">
        <f t="shared" si="8"/>
        <v>#DIV/0!</v>
      </c>
      <c r="BR25" s="143">
        <f t="shared" si="8"/>
        <v>0</v>
      </c>
      <c r="BS25" s="142" t="str">
        <f t="shared" si="8"/>
        <v>#DIV/0!</v>
      </c>
      <c r="BT25" s="143">
        <f t="shared" si="8"/>
        <v>0.15</v>
      </c>
      <c r="BU25" s="142" t="str">
        <f t="shared" si="8"/>
        <v>#DIV/0!</v>
      </c>
      <c r="BV25" s="143">
        <f t="shared" si="8"/>
        <v>0.15</v>
      </c>
      <c r="BW25" s="142" t="str">
        <f t="shared" si="8"/>
        <v>#DIV/0!</v>
      </c>
      <c r="BX25" s="143">
        <f t="shared" si="8"/>
        <v>0.15</v>
      </c>
      <c r="BY25" s="142" t="str">
        <f t="shared" si="8"/>
        <v>#DIV/0!</v>
      </c>
      <c r="BZ25" s="143" t="str">
        <f t="shared" si="8"/>
        <v>#DIV/0!</v>
      </c>
      <c r="CA25" s="142" t="str">
        <f t="shared" si="8"/>
        <v>#DIV/0!</v>
      </c>
      <c r="CB25" s="143" t="str">
        <f t="shared" si="8"/>
        <v>#DIV/0!</v>
      </c>
      <c r="CC25" s="142" t="str">
        <f t="shared" si="8"/>
        <v>#DIV/0!</v>
      </c>
      <c r="CD25" s="143">
        <f t="shared" si="8"/>
        <v>0.15</v>
      </c>
      <c r="CE25" s="142" t="str">
        <f t="shared" si="8"/>
        <v>#DIV/0!</v>
      </c>
      <c r="CF25" s="143" t="str">
        <f t="shared" si="8"/>
        <v>#DIV/0!</v>
      </c>
      <c r="CG25" s="142" t="str">
        <f t="shared" si="8"/>
        <v>#DIV/0!</v>
      </c>
      <c r="CH25" s="143" t="str">
        <f t="shared" si="8"/>
        <v>#DIV/0!</v>
      </c>
      <c r="CI25" s="142" t="str">
        <f t="shared" si="8"/>
        <v>#DIV/0!</v>
      </c>
      <c r="CJ25" s="143" t="str">
        <f t="shared" si="8"/>
        <v>#DIV/0!</v>
      </c>
      <c r="CK25" s="142" t="str">
        <f t="shared" si="8"/>
        <v>#DIV/0!</v>
      </c>
      <c r="CL25" s="143" t="str">
        <f t="shared" si="8"/>
        <v>#DIV/0!</v>
      </c>
      <c r="CM25" s="142" t="str">
        <f t="shared" si="8"/>
        <v>#DIV/0!</v>
      </c>
      <c r="CN25" s="143" t="str">
        <f t="shared" si="8"/>
        <v>#DIV/0!</v>
      </c>
      <c r="CO25" s="142" t="str">
        <f t="shared" si="8"/>
        <v>#DIV/0!</v>
      </c>
      <c r="CP25" s="143">
        <f t="shared" si="8"/>
        <v>0.15</v>
      </c>
      <c r="CQ25" s="142" t="str">
        <f t="shared" si="8"/>
        <v>#DIV/0!</v>
      </c>
      <c r="CR25" s="143" t="str">
        <f t="shared" si="8"/>
        <v>#DIV/0!</v>
      </c>
      <c r="CS25" s="142" t="str">
        <f t="shared" si="8"/>
        <v>#DIV/0!</v>
      </c>
      <c r="CT25" s="143" t="str">
        <f t="shared" si="8"/>
        <v>#DIV/0!</v>
      </c>
      <c r="CU25" s="142" t="str">
        <f t="shared" si="8"/>
        <v>#DIV/0!</v>
      </c>
      <c r="CV25" s="143" t="str">
        <f t="shared" si="8"/>
        <v>#DIV/0!</v>
      </c>
      <c r="CW25" s="142" t="str">
        <f t="shared" si="8"/>
        <v>#DIV/0!</v>
      </c>
      <c r="CX25" s="143" t="str">
        <f t="shared" si="8"/>
        <v>#DIV/0!</v>
      </c>
      <c r="CY25" s="142" t="str">
        <f t="shared" si="8"/>
        <v>#DIV/0!</v>
      </c>
      <c r="CZ25" s="143" t="str">
        <f t="shared" si="8"/>
        <v>#DIV/0!</v>
      </c>
      <c r="DA25" s="142" t="str">
        <f t="shared" si="8"/>
        <v>#DIV/0!</v>
      </c>
      <c r="DB25" s="143">
        <f t="shared" si="8"/>
        <v>0.15</v>
      </c>
      <c r="DC25" s="142" t="str">
        <f t="shared" si="8"/>
        <v>#DIV/0!</v>
      </c>
      <c r="DD25" s="143" t="str">
        <f t="shared" si="8"/>
        <v>#DIV/0!</v>
      </c>
      <c r="DE25" s="142" t="str">
        <f t="shared" si="8"/>
        <v>#DIV/0!</v>
      </c>
      <c r="DF25" s="143" t="str">
        <f t="shared" si="8"/>
        <v>#DIV/0!</v>
      </c>
      <c r="DG25" s="142" t="str">
        <f t="shared" si="8"/>
        <v>#DIV/0!</v>
      </c>
      <c r="DH25" s="143" t="str">
        <f t="shared" si="8"/>
        <v>#DIV/0!</v>
      </c>
      <c r="DI25" s="142" t="str">
        <f t="shared" si="8"/>
        <v>#DIV/0!</v>
      </c>
      <c r="DJ25" s="143" t="str">
        <f t="shared" si="8"/>
        <v>#DIV/0!</v>
      </c>
      <c r="DK25" s="185"/>
      <c r="DL25" s="187"/>
      <c r="DM25" s="142" t="str">
        <f t="shared" ref="DM25:DP25" si="9">DM26/DM24</f>
        <v>#DIV/0!</v>
      </c>
      <c r="DN25" s="143">
        <f t="shared" si="9"/>
        <v>0.15</v>
      </c>
      <c r="DO25" s="192" t="str">
        <f t="shared" si="9"/>
        <v>#DIV/0!</v>
      </c>
      <c r="DP25" s="193">
        <f t="shared" si="9"/>
        <v>0.1287139333</v>
      </c>
      <c r="DQ25" s="237"/>
      <c r="DR25" s="237"/>
    </row>
    <row r="26" ht="22.5" customHeight="1">
      <c r="A26" s="170"/>
      <c r="B26" s="136" t="s">
        <v>119</v>
      </c>
      <c r="C26" s="175"/>
      <c r="D26" s="184"/>
      <c r="E26" s="194"/>
      <c r="F26" s="195"/>
      <c r="G26" s="194"/>
      <c r="H26" s="195"/>
      <c r="I26" s="194"/>
      <c r="J26" s="195"/>
      <c r="K26" s="194"/>
      <c r="L26" s="195"/>
      <c r="M26" s="175"/>
      <c r="N26" s="184"/>
      <c r="O26" s="194"/>
      <c r="P26" s="191"/>
      <c r="Q26" s="194"/>
      <c r="R26" s="195"/>
      <c r="S26" s="194"/>
      <c r="T26" s="195"/>
      <c r="U26" s="194"/>
      <c r="V26" s="195"/>
      <c r="W26" s="194"/>
      <c r="X26" s="195"/>
      <c r="Y26" s="194"/>
      <c r="Z26" s="195"/>
      <c r="AA26" s="194"/>
      <c r="AB26" s="195"/>
      <c r="AC26" s="194"/>
      <c r="AD26" s="191"/>
      <c r="AE26" s="195"/>
      <c r="AF26" s="195"/>
      <c r="AG26" s="194"/>
      <c r="AH26" s="195"/>
      <c r="AI26" s="194"/>
      <c r="AJ26" s="195"/>
      <c r="AK26" s="194"/>
      <c r="AL26" s="195"/>
      <c r="AM26" s="194"/>
      <c r="AN26" s="195"/>
      <c r="AO26" s="194"/>
      <c r="AP26" s="195"/>
      <c r="AQ26" s="194"/>
      <c r="AR26" s="191"/>
      <c r="AS26" s="194"/>
      <c r="AT26" s="195"/>
      <c r="AU26" s="176">
        <f>AW26+AY26+BA26+BC26++BE26</f>
        <v>0</v>
      </c>
      <c r="AV26" s="188"/>
      <c r="AW26" s="194"/>
      <c r="AX26" s="187">
        <f>$AV26/5</f>
        <v>0</v>
      </c>
      <c r="AY26" s="194"/>
      <c r="AZ26" s="187">
        <f>$AV26/5</f>
        <v>0</v>
      </c>
      <c r="BA26" s="194"/>
      <c r="BB26" s="187">
        <f>$AV26/5</f>
        <v>0</v>
      </c>
      <c r="BC26" s="194"/>
      <c r="BD26" s="187">
        <f>$AV26/5</f>
        <v>0</v>
      </c>
      <c r="BE26" s="194"/>
      <c r="BF26" s="187">
        <f>$AV26/5</f>
        <v>0</v>
      </c>
      <c r="BG26" s="194"/>
      <c r="BH26" s="188"/>
      <c r="BI26" s="194"/>
      <c r="BJ26" s="188">
        <f>$BH26/4</f>
        <v>0</v>
      </c>
      <c r="BK26" s="194"/>
      <c r="BL26" s="195"/>
      <c r="BM26" s="194"/>
      <c r="BN26" s="195"/>
      <c r="BO26" s="194"/>
      <c r="BP26" s="195"/>
      <c r="BQ26" s="185">
        <f>SUM(W26,Y26,AA26,AG26,AS26,BE26)</f>
        <v>0</v>
      </c>
      <c r="BR26" s="184">
        <f>SUM(D26,N26,Z26,AJ26,AV26,BH26)</f>
        <v>0</v>
      </c>
      <c r="BS26" s="194"/>
      <c r="BT26" s="189">
        <v>26.4550264550265</v>
      </c>
      <c r="BU26" s="194"/>
      <c r="BV26" s="189">
        <v>26.4550264550265</v>
      </c>
      <c r="BW26" s="194"/>
      <c r="BX26" s="189">
        <v>26.4550264550265</v>
      </c>
      <c r="BY26" s="194"/>
      <c r="BZ26" s="195"/>
      <c r="CA26" s="194"/>
      <c r="CB26" s="195"/>
      <c r="CC26" s="194"/>
      <c r="CD26" s="189">
        <v>26.4550264550265</v>
      </c>
      <c r="CE26" s="194"/>
      <c r="CF26" s="195"/>
      <c r="CG26" s="194"/>
      <c r="CH26" s="191"/>
      <c r="CI26" s="190"/>
      <c r="CJ26" s="195"/>
      <c r="CK26" s="194"/>
      <c r="CL26" s="195"/>
      <c r="CM26" s="194"/>
      <c r="CN26" s="195"/>
      <c r="CO26" s="194"/>
      <c r="CP26" s="189">
        <v>26.4550264550265</v>
      </c>
      <c r="CQ26" s="194"/>
      <c r="CR26" s="195"/>
      <c r="CS26" s="194"/>
      <c r="CT26" s="195"/>
      <c r="CU26" s="194"/>
      <c r="CV26" s="191"/>
      <c r="CW26" s="194"/>
      <c r="CX26" s="195"/>
      <c r="CY26" s="194"/>
      <c r="CZ26" s="195"/>
      <c r="DA26" s="194"/>
      <c r="DB26" s="189">
        <v>26.4550264550265</v>
      </c>
      <c r="DC26" s="194"/>
      <c r="DD26" s="195"/>
      <c r="DE26" s="194"/>
      <c r="DF26" s="195"/>
      <c r="DG26" s="194"/>
      <c r="DH26" s="195"/>
      <c r="DI26" s="194"/>
      <c r="DJ26" s="191"/>
      <c r="DK26" s="142"/>
      <c r="DL26" s="187"/>
      <c r="DM26" s="185">
        <f t="shared" ref="DM26:DN26" si="10">SUM(BS26,BU26,BW26,CC26,CO26,DA26)</f>
        <v>0</v>
      </c>
      <c r="DN26" s="184">
        <f t="shared" si="10"/>
        <v>158.7301587</v>
      </c>
      <c r="DO26" s="190">
        <f t="shared" ref="DO26:DP26" si="11">SUM(BQ26,DM26)</f>
        <v>0</v>
      </c>
      <c r="DP26" s="191">
        <f t="shared" si="11"/>
        <v>158.7301587</v>
      </c>
      <c r="DQ26" s="237"/>
      <c r="DR26" s="237"/>
    </row>
    <row r="27" ht="22.5" customHeight="1">
      <c r="A27" s="170"/>
      <c r="B27" s="136" t="s">
        <v>99</v>
      </c>
      <c r="C27" s="142" t="str">
        <f t="shared" ref="C27:DJ27" si="12">C28/C26</f>
        <v>#DIV/0!</v>
      </c>
      <c r="D27" s="143" t="str">
        <f t="shared" si="12"/>
        <v>#DIV/0!</v>
      </c>
      <c r="E27" s="142" t="str">
        <f t="shared" si="12"/>
        <v>#DIV/0!</v>
      </c>
      <c r="F27" s="143" t="str">
        <f t="shared" si="12"/>
        <v>#DIV/0!</v>
      </c>
      <c r="G27" s="142" t="str">
        <f t="shared" si="12"/>
        <v>#DIV/0!</v>
      </c>
      <c r="H27" s="143" t="str">
        <f t="shared" si="12"/>
        <v>#DIV/0!</v>
      </c>
      <c r="I27" s="142" t="str">
        <f t="shared" si="12"/>
        <v>#DIV/0!</v>
      </c>
      <c r="J27" s="143" t="str">
        <f t="shared" si="12"/>
        <v>#DIV/0!</v>
      </c>
      <c r="K27" s="142" t="str">
        <f t="shared" si="12"/>
        <v>#DIV/0!</v>
      </c>
      <c r="L27" s="143" t="str">
        <f t="shared" si="12"/>
        <v>#DIV/0!</v>
      </c>
      <c r="M27" s="142" t="str">
        <f t="shared" si="12"/>
        <v>#DIV/0!</v>
      </c>
      <c r="N27" s="143" t="str">
        <f t="shared" si="12"/>
        <v>#DIV/0!</v>
      </c>
      <c r="O27" s="142" t="str">
        <f t="shared" si="12"/>
        <v>#DIV/0!</v>
      </c>
      <c r="P27" s="143" t="str">
        <f t="shared" si="12"/>
        <v>#DIV/0!</v>
      </c>
      <c r="Q27" s="142" t="str">
        <f t="shared" si="12"/>
        <v>#DIV/0!</v>
      </c>
      <c r="R27" s="143" t="str">
        <f t="shared" si="12"/>
        <v>#DIV/0!</v>
      </c>
      <c r="S27" s="142" t="str">
        <f t="shared" si="12"/>
        <v>#DIV/0!</v>
      </c>
      <c r="T27" s="143" t="str">
        <f t="shared" si="12"/>
        <v>#DIV/0!</v>
      </c>
      <c r="U27" s="142" t="str">
        <f t="shared" si="12"/>
        <v>#DIV/0!</v>
      </c>
      <c r="V27" s="143" t="str">
        <f t="shared" si="12"/>
        <v>#DIV/0!</v>
      </c>
      <c r="W27" s="142" t="str">
        <f t="shared" si="12"/>
        <v>#DIV/0!</v>
      </c>
      <c r="X27" s="143" t="str">
        <f t="shared" si="12"/>
        <v>#DIV/0!</v>
      </c>
      <c r="Y27" s="142" t="str">
        <f t="shared" si="12"/>
        <v>#DIV/0!</v>
      </c>
      <c r="Z27" s="143" t="str">
        <f t="shared" si="12"/>
        <v>#DIV/0!</v>
      </c>
      <c r="AA27" s="142" t="str">
        <f t="shared" si="12"/>
        <v>#DIV/0!</v>
      </c>
      <c r="AB27" s="143" t="str">
        <f t="shared" si="12"/>
        <v>#DIV/0!</v>
      </c>
      <c r="AC27" s="142" t="str">
        <f t="shared" si="12"/>
        <v>#DIV/0!</v>
      </c>
      <c r="AD27" s="143" t="str">
        <f t="shared" si="12"/>
        <v>#DIV/0!</v>
      </c>
      <c r="AE27" s="142" t="str">
        <f t="shared" si="12"/>
        <v>#DIV/0!</v>
      </c>
      <c r="AF27" s="143" t="str">
        <f t="shared" si="12"/>
        <v>#DIV/0!</v>
      </c>
      <c r="AG27" s="142" t="str">
        <f t="shared" si="12"/>
        <v>#DIV/0!</v>
      </c>
      <c r="AH27" s="143" t="str">
        <f t="shared" si="12"/>
        <v>#DIV/0!</v>
      </c>
      <c r="AI27" s="142" t="str">
        <f t="shared" si="12"/>
        <v>#DIV/0!</v>
      </c>
      <c r="AJ27" s="143" t="str">
        <f t="shared" si="12"/>
        <v>#DIV/0!</v>
      </c>
      <c r="AK27" s="142" t="str">
        <f t="shared" si="12"/>
        <v>#DIV/0!</v>
      </c>
      <c r="AL27" s="143" t="str">
        <f t="shared" si="12"/>
        <v>#DIV/0!</v>
      </c>
      <c r="AM27" s="142" t="str">
        <f t="shared" si="12"/>
        <v>#DIV/0!</v>
      </c>
      <c r="AN27" s="143" t="str">
        <f t="shared" si="12"/>
        <v>#DIV/0!</v>
      </c>
      <c r="AO27" s="142" t="str">
        <f t="shared" si="12"/>
        <v>#DIV/0!</v>
      </c>
      <c r="AP27" s="143" t="str">
        <f t="shared" si="12"/>
        <v>#DIV/0!</v>
      </c>
      <c r="AQ27" s="142" t="str">
        <f t="shared" si="12"/>
        <v>#DIV/0!</v>
      </c>
      <c r="AR27" s="143" t="str">
        <f t="shared" si="12"/>
        <v>#DIV/0!</v>
      </c>
      <c r="AS27" s="142" t="str">
        <f t="shared" si="12"/>
        <v>#DIV/0!</v>
      </c>
      <c r="AT27" s="143" t="str">
        <f t="shared" si="12"/>
        <v>#DIV/0!</v>
      </c>
      <c r="AU27" s="142" t="str">
        <f t="shared" si="12"/>
        <v>#DIV/0!</v>
      </c>
      <c r="AV27" s="143" t="str">
        <f t="shared" si="12"/>
        <v>#DIV/0!</v>
      </c>
      <c r="AW27" s="142" t="str">
        <f t="shared" si="12"/>
        <v>#DIV/0!</v>
      </c>
      <c r="AX27" s="143" t="str">
        <f t="shared" si="12"/>
        <v>#DIV/0!</v>
      </c>
      <c r="AY27" s="142" t="str">
        <f t="shared" si="12"/>
        <v>#DIV/0!</v>
      </c>
      <c r="AZ27" s="143" t="str">
        <f t="shared" si="12"/>
        <v>#DIV/0!</v>
      </c>
      <c r="BA27" s="142" t="str">
        <f t="shared" si="12"/>
        <v>#DIV/0!</v>
      </c>
      <c r="BB27" s="143" t="str">
        <f t="shared" si="12"/>
        <v>#DIV/0!</v>
      </c>
      <c r="BC27" s="142" t="str">
        <f t="shared" si="12"/>
        <v>#DIV/0!</v>
      </c>
      <c r="BD27" s="143" t="str">
        <f t="shared" si="12"/>
        <v>#DIV/0!</v>
      </c>
      <c r="BE27" s="142" t="str">
        <f t="shared" si="12"/>
        <v>#DIV/0!</v>
      </c>
      <c r="BF27" s="143" t="str">
        <f t="shared" si="12"/>
        <v>#DIV/0!</v>
      </c>
      <c r="BG27" s="142" t="str">
        <f t="shared" si="12"/>
        <v>#DIV/0!</v>
      </c>
      <c r="BH27" s="143" t="str">
        <f t="shared" si="12"/>
        <v>#DIV/0!</v>
      </c>
      <c r="BI27" s="142" t="str">
        <f t="shared" si="12"/>
        <v>#DIV/0!</v>
      </c>
      <c r="BJ27" s="143" t="str">
        <f t="shared" si="12"/>
        <v>#DIV/0!</v>
      </c>
      <c r="BK27" s="142" t="str">
        <f t="shared" si="12"/>
        <v>#DIV/0!</v>
      </c>
      <c r="BL27" s="143" t="str">
        <f t="shared" si="12"/>
        <v>#DIV/0!</v>
      </c>
      <c r="BM27" s="142" t="str">
        <f t="shared" si="12"/>
        <v>#DIV/0!</v>
      </c>
      <c r="BN27" s="143" t="str">
        <f t="shared" si="12"/>
        <v>#DIV/0!</v>
      </c>
      <c r="BO27" s="142" t="str">
        <f t="shared" si="12"/>
        <v>#DIV/0!</v>
      </c>
      <c r="BP27" s="143" t="str">
        <f t="shared" si="12"/>
        <v>#DIV/0!</v>
      </c>
      <c r="BQ27" s="142" t="str">
        <f t="shared" si="12"/>
        <v>#DIV/0!</v>
      </c>
      <c r="BR27" s="143" t="str">
        <f t="shared" si="12"/>
        <v>#DIV/0!</v>
      </c>
      <c r="BS27" s="142" t="str">
        <f t="shared" si="12"/>
        <v>#DIV/0!</v>
      </c>
      <c r="BT27" s="143">
        <f t="shared" si="12"/>
        <v>0.2</v>
      </c>
      <c r="BU27" s="142" t="str">
        <f t="shared" si="12"/>
        <v>#DIV/0!</v>
      </c>
      <c r="BV27" s="143">
        <f t="shared" si="12"/>
        <v>0.2</v>
      </c>
      <c r="BW27" s="142" t="str">
        <f t="shared" si="12"/>
        <v>#DIV/0!</v>
      </c>
      <c r="BX27" s="143">
        <f t="shared" si="12"/>
        <v>0.2</v>
      </c>
      <c r="BY27" s="142" t="str">
        <f t="shared" si="12"/>
        <v>#DIV/0!</v>
      </c>
      <c r="BZ27" s="143" t="str">
        <f t="shared" si="12"/>
        <v>#DIV/0!</v>
      </c>
      <c r="CA27" s="142" t="str">
        <f t="shared" si="12"/>
        <v>#DIV/0!</v>
      </c>
      <c r="CB27" s="143" t="str">
        <f t="shared" si="12"/>
        <v>#DIV/0!</v>
      </c>
      <c r="CC27" s="142" t="str">
        <f t="shared" si="12"/>
        <v>#DIV/0!</v>
      </c>
      <c r="CD27" s="143">
        <f t="shared" si="12"/>
        <v>0.2</v>
      </c>
      <c r="CE27" s="142" t="str">
        <f t="shared" si="12"/>
        <v>#DIV/0!</v>
      </c>
      <c r="CF27" s="143" t="str">
        <f t="shared" si="12"/>
        <v>#DIV/0!</v>
      </c>
      <c r="CG27" s="142" t="str">
        <f t="shared" si="12"/>
        <v>#DIV/0!</v>
      </c>
      <c r="CH27" s="143" t="str">
        <f t="shared" si="12"/>
        <v>#DIV/0!</v>
      </c>
      <c r="CI27" s="142" t="str">
        <f t="shared" si="12"/>
        <v>#DIV/0!</v>
      </c>
      <c r="CJ27" s="143" t="str">
        <f t="shared" si="12"/>
        <v>#DIV/0!</v>
      </c>
      <c r="CK27" s="142" t="str">
        <f t="shared" si="12"/>
        <v>#DIV/0!</v>
      </c>
      <c r="CL27" s="143" t="str">
        <f t="shared" si="12"/>
        <v>#DIV/0!</v>
      </c>
      <c r="CM27" s="142" t="str">
        <f t="shared" si="12"/>
        <v>#DIV/0!</v>
      </c>
      <c r="CN27" s="143" t="str">
        <f t="shared" si="12"/>
        <v>#DIV/0!</v>
      </c>
      <c r="CO27" s="142" t="str">
        <f t="shared" si="12"/>
        <v>#DIV/0!</v>
      </c>
      <c r="CP27" s="143">
        <f t="shared" si="12"/>
        <v>0.2</v>
      </c>
      <c r="CQ27" s="142" t="str">
        <f t="shared" si="12"/>
        <v>#DIV/0!</v>
      </c>
      <c r="CR27" s="143" t="str">
        <f t="shared" si="12"/>
        <v>#DIV/0!</v>
      </c>
      <c r="CS27" s="142" t="str">
        <f t="shared" si="12"/>
        <v>#DIV/0!</v>
      </c>
      <c r="CT27" s="143" t="str">
        <f t="shared" si="12"/>
        <v>#DIV/0!</v>
      </c>
      <c r="CU27" s="142" t="str">
        <f t="shared" si="12"/>
        <v>#DIV/0!</v>
      </c>
      <c r="CV27" s="143" t="str">
        <f t="shared" si="12"/>
        <v>#DIV/0!</v>
      </c>
      <c r="CW27" s="142" t="str">
        <f t="shared" si="12"/>
        <v>#DIV/0!</v>
      </c>
      <c r="CX27" s="143" t="str">
        <f t="shared" si="12"/>
        <v>#DIV/0!</v>
      </c>
      <c r="CY27" s="142" t="str">
        <f t="shared" si="12"/>
        <v>#DIV/0!</v>
      </c>
      <c r="CZ27" s="143" t="str">
        <f t="shared" si="12"/>
        <v>#DIV/0!</v>
      </c>
      <c r="DA27" s="142" t="str">
        <f t="shared" si="12"/>
        <v>#DIV/0!</v>
      </c>
      <c r="DB27" s="143">
        <f t="shared" si="12"/>
        <v>0.2</v>
      </c>
      <c r="DC27" s="142" t="str">
        <f t="shared" si="12"/>
        <v>#DIV/0!</v>
      </c>
      <c r="DD27" s="143" t="str">
        <f t="shared" si="12"/>
        <v>#DIV/0!</v>
      </c>
      <c r="DE27" s="142" t="str">
        <f t="shared" si="12"/>
        <v>#DIV/0!</v>
      </c>
      <c r="DF27" s="143" t="str">
        <f t="shared" si="12"/>
        <v>#DIV/0!</v>
      </c>
      <c r="DG27" s="142" t="str">
        <f t="shared" si="12"/>
        <v>#DIV/0!</v>
      </c>
      <c r="DH27" s="143" t="str">
        <f t="shared" si="12"/>
        <v>#DIV/0!</v>
      </c>
      <c r="DI27" s="142" t="str">
        <f t="shared" si="12"/>
        <v>#DIV/0!</v>
      </c>
      <c r="DJ27" s="143" t="str">
        <f t="shared" si="12"/>
        <v>#DIV/0!</v>
      </c>
      <c r="DK27" s="176"/>
      <c r="DL27" s="187"/>
      <c r="DM27" s="142" t="str">
        <f t="shared" ref="DM27:DP27" si="13">DM28/DM26</f>
        <v>#DIV/0!</v>
      </c>
      <c r="DN27" s="143">
        <f t="shared" si="13"/>
        <v>0.2</v>
      </c>
      <c r="DO27" s="192" t="str">
        <f t="shared" si="13"/>
        <v>#DIV/0!</v>
      </c>
      <c r="DP27" s="193">
        <f t="shared" si="13"/>
        <v>0.2</v>
      </c>
      <c r="DQ27" s="237"/>
      <c r="DR27" s="237"/>
    </row>
    <row r="28" ht="22.5" customHeight="1">
      <c r="A28" s="170"/>
      <c r="B28" s="136" t="s">
        <v>120</v>
      </c>
      <c r="C28" s="175"/>
      <c r="D28" s="184"/>
      <c r="E28" s="194"/>
      <c r="F28" s="196"/>
      <c r="G28" s="194"/>
      <c r="H28" s="196"/>
      <c r="I28" s="194"/>
      <c r="J28" s="196"/>
      <c r="K28" s="194"/>
      <c r="L28" s="196"/>
      <c r="M28" s="175"/>
      <c r="N28" s="184"/>
      <c r="O28" s="194"/>
      <c r="P28" s="191"/>
      <c r="Q28" s="194"/>
      <c r="R28" s="196"/>
      <c r="S28" s="194"/>
      <c r="T28" s="196"/>
      <c r="U28" s="194"/>
      <c r="V28" s="196"/>
      <c r="W28" s="194"/>
      <c r="X28" s="196"/>
      <c r="Y28" s="194"/>
      <c r="Z28" s="196"/>
      <c r="AA28" s="194"/>
      <c r="AB28" s="196"/>
      <c r="AC28" s="194"/>
      <c r="AD28" s="191"/>
      <c r="AE28" s="195"/>
      <c r="AF28" s="196"/>
      <c r="AG28" s="194"/>
      <c r="AH28" s="196"/>
      <c r="AI28" s="194"/>
      <c r="AJ28" s="196"/>
      <c r="AK28" s="194"/>
      <c r="AL28" s="196"/>
      <c r="AM28" s="194"/>
      <c r="AN28" s="196"/>
      <c r="AO28" s="194"/>
      <c r="AP28" s="196"/>
      <c r="AQ28" s="194"/>
      <c r="AR28" s="191"/>
      <c r="AS28" s="194"/>
      <c r="AT28" s="196"/>
      <c r="AU28" s="176">
        <f>AW28+AY28+BA28+BC28++BE28</f>
        <v>0</v>
      </c>
      <c r="AV28" s="188"/>
      <c r="AW28" s="194"/>
      <c r="AX28" s="187">
        <f>$AV28/5</f>
        <v>0</v>
      </c>
      <c r="AY28" s="194"/>
      <c r="AZ28" s="187">
        <f>$AV28/5</f>
        <v>0</v>
      </c>
      <c r="BA28" s="194"/>
      <c r="BB28" s="187">
        <f>$AV28/5</f>
        <v>0</v>
      </c>
      <c r="BC28" s="194"/>
      <c r="BD28" s="187">
        <f>$AV28/5</f>
        <v>0</v>
      </c>
      <c r="BE28" s="194"/>
      <c r="BF28" s="187">
        <f>$AV28/5</f>
        <v>0</v>
      </c>
      <c r="BG28" s="194"/>
      <c r="BH28" s="188"/>
      <c r="BI28" s="194"/>
      <c r="BJ28" s="188">
        <f>$BH28/4</f>
        <v>0</v>
      </c>
      <c r="BK28" s="194"/>
      <c r="BL28" s="196"/>
      <c r="BM28" s="194"/>
      <c r="BN28" s="196"/>
      <c r="BO28" s="194"/>
      <c r="BP28" s="196"/>
      <c r="BQ28" s="185">
        <f>SUM(W28,Y28,AA28,AG28,AS28,BE28)</f>
        <v>0</v>
      </c>
      <c r="BR28" s="184">
        <f>SUM(D28,N28,Z28,AJ28,AV28,BH28)</f>
        <v>0</v>
      </c>
      <c r="BS28" s="194"/>
      <c r="BT28" s="189">
        <v>5.29100529100529</v>
      </c>
      <c r="BU28" s="194"/>
      <c r="BV28" s="189">
        <v>5.29100529100529</v>
      </c>
      <c r="BW28" s="194"/>
      <c r="BX28" s="189">
        <v>5.29100529100529</v>
      </c>
      <c r="BY28" s="194"/>
      <c r="BZ28" s="196"/>
      <c r="CA28" s="194"/>
      <c r="CB28" s="196"/>
      <c r="CC28" s="194"/>
      <c r="CD28" s="189">
        <v>5.29100529100529</v>
      </c>
      <c r="CE28" s="194"/>
      <c r="CF28" s="196"/>
      <c r="CG28" s="194"/>
      <c r="CH28" s="191"/>
      <c r="CI28" s="190"/>
      <c r="CJ28" s="196"/>
      <c r="CK28" s="194"/>
      <c r="CL28" s="196"/>
      <c r="CM28" s="194"/>
      <c r="CN28" s="196"/>
      <c r="CO28" s="194"/>
      <c r="CP28" s="189">
        <v>5.29100529100529</v>
      </c>
      <c r="CQ28" s="194"/>
      <c r="CR28" s="196"/>
      <c r="CS28" s="194"/>
      <c r="CT28" s="196"/>
      <c r="CU28" s="194"/>
      <c r="CV28" s="191"/>
      <c r="CW28" s="194"/>
      <c r="CX28" s="196"/>
      <c r="CY28" s="194"/>
      <c r="CZ28" s="196"/>
      <c r="DA28" s="194"/>
      <c r="DB28" s="189">
        <v>5.29100529100529</v>
      </c>
      <c r="DC28" s="194"/>
      <c r="DD28" s="196"/>
      <c r="DE28" s="194"/>
      <c r="DF28" s="196"/>
      <c r="DG28" s="194"/>
      <c r="DH28" s="196"/>
      <c r="DI28" s="194"/>
      <c r="DJ28" s="191"/>
      <c r="DK28" s="176"/>
      <c r="DL28" s="187"/>
      <c r="DM28" s="185">
        <f t="shared" ref="DM28:DN28" si="14">SUM(BS28,BU28,BW28,CC28,CO28,DA28)</f>
        <v>0</v>
      </c>
      <c r="DN28" s="184">
        <f t="shared" si="14"/>
        <v>31.74603175</v>
      </c>
      <c r="DO28" s="190">
        <f t="shared" ref="DO28:DP28" si="15">SUM(BQ28,DM28)</f>
        <v>0</v>
      </c>
      <c r="DP28" s="191">
        <f t="shared" si="15"/>
        <v>31.74603175</v>
      </c>
      <c r="DQ28" s="237"/>
      <c r="DR28" s="237"/>
    </row>
    <row r="29" ht="22.5" customHeight="1">
      <c r="A29" s="170"/>
      <c r="B29" s="136" t="s">
        <v>101</v>
      </c>
      <c r="C29" s="142" t="str">
        <f t="shared" ref="C29:DJ29" si="16">C30/C28</f>
        <v>#DIV/0!</v>
      </c>
      <c r="D29" s="143" t="str">
        <f t="shared" si="16"/>
        <v>#DIV/0!</v>
      </c>
      <c r="E29" s="142" t="str">
        <f t="shared" si="16"/>
        <v>#DIV/0!</v>
      </c>
      <c r="F29" s="143" t="str">
        <f t="shared" si="16"/>
        <v>#DIV/0!</v>
      </c>
      <c r="G29" s="142" t="str">
        <f t="shared" si="16"/>
        <v>#DIV/0!</v>
      </c>
      <c r="H29" s="143" t="str">
        <f t="shared" si="16"/>
        <v>#DIV/0!</v>
      </c>
      <c r="I29" s="142" t="str">
        <f t="shared" si="16"/>
        <v>#DIV/0!</v>
      </c>
      <c r="J29" s="143" t="str">
        <f t="shared" si="16"/>
        <v>#DIV/0!</v>
      </c>
      <c r="K29" s="142" t="str">
        <f t="shared" si="16"/>
        <v>#DIV/0!</v>
      </c>
      <c r="L29" s="143" t="str">
        <f t="shared" si="16"/>
        <v>#DIV/0!</v>
      </c>
      <c r="M29" s="142" t="str">
        <f t="shared" si="16"/>
        <v>#DIV/0!</v>
      </c>
      <c r="N29" s="143" t="str">
        <f t="shared" si="16"/>
        <v>#DIV/0!</v>
      </c>
      <c r="O29" s="142" t="str">
        <f t="shared" si="16"/>
        <v>#DIV/0!</v>
      </c>
      <c r="P29" s="143" t="str">
        <f t="shared" si="16"/>
        <v>#DIV/0!</v>
      </c>
      <c r="Q29" s="142" t="str">
        <f t="shared" si="16"/>
        <v>#DIV/0!</v>
      </c>
      <c r="R29" s="143" t="str">
        <f t="shared" si="16"/>
        <v>#DIV/0!</v>
      </c>
      <c r="S29" s="142" t="str">
        <f t="shared" si="16"/>
        <v>#DIV/0!</v>
      </c>
      <c r="T29" s="143" t="str">
        <f t="shared" si="16"/>
        <v>#DIV/0!</v>
      </c>
      <c r="U29" s="142" t="str">
        <f t="shared" si="16"/>
        <v>#DIV/0!</v>
      </c>
      <c r="V29" s="143" t="str">
        <f t="shared" si="16"/>
        <v>#DIV/0!</v>
      </c>
      <c r="W29" s="142" t="str">
        <f t="shared" si="16"/>
        <v>#DIV/0!</v>
      </c>
      <c r="X29" s="143" t="str">
        <f t="shared" si="16"/>
        <v>#DIV/0!</v>
      </c>
      <c r="Y29" s="142" t="str">
        <f t="shared" si="16"/>
        <v>#DIV/0!</v>
      </c>
      <c r="Z29" s="143" t="str">
        <f t="shared" si="16"/>
        <v>#DIV/0!</v>
      </c>
      <c r="AA29" s="142" t="str">
        <f t="shared" si="16"/>
        <v>#DIV/0!</v>
      </c>
      <c r="AB29" s="143" t="str">
        <f t="shared" si="16"/>
        <v>#DIV/0!</v>
      </c>
      <c r="AC29" s="142" t="str">
        <f t="shared" si="16"/>
        <v>#DIV/0!</v>
      </c>
      <c r="AD29" s="143" t="str">
        <f t="shared" si="16"/>
        <v>#DIV/0!</v>
      </c>
      <c r="AE29" s="142" t="str">
        <f t="shared" si="16"/>
        <v>#DIV/0!</v>
      </c>
      <c r="AF29" s="143" t="str">
        <f t="shared" si="16"/>
        <v>#DIV/0!</v>
      </c>
      <c r="AG29" s="142" t="str">
        <f t="shared" si="16"/>
        <v>#DIV/0!</v>
      </c>
      <c r="AH29" s="143" t="str">
        <f t="shared" si="16"/>
        <v>#DIV/0!</v>
      </c>
      <c r="AI29" s="142" t="str">
        <f t="shared" si="16"/>
        <v>#DIV/0!</v>
      </c>
      <c r="AJ29" s="143" t="str">
        <f t="shared" si="16"/>
        <v>#DIV/0!</v>
      </c>
      <c r="AK29" s="142" t="str">
        <f t="shared" si="16"/>
        <v>#DIV/0!</v>
      </c>
      <c r="AL29" s="143" t="str">
        <f t="shared" si="16"/>
        <v>#DIV/0!</v>
      </c>
      <c r="AM29" s="142" t="str">
        <f t="shared" si="16"/>
        <v>#DIV/0!</v>
      </c>
      <c r="AN29" s="143" t="str">
        <f t="shared" si="16"/>
        <v>#DIV/0!</v>
      </c>
      <c r="AO29" s="142" t="str">
        <f t="shared" si="16"/>
        <v>#DIV/0!</v>
      </c>
      <c r="AP29" s="143" t="str">
        <f t="shared" si="16"/>
        <v>#DIV/0!</v>
      </c>
      <c r="AQ29" s="142" t="str">
        <f t="shared" si="16"/>
        <v>#DIV/0!</v>
      </c>
      <c r="AR29" s="143" t="str">
        <f t="shared" si="16"/>
        <v>#DIV/0!</v>
      </c>
      <c r="AS29" s="142" t="str">
        <f t="shared" si="16"/>
        <v>#DIV/0!</v>
      </c>
      <c r="AT29" s="143" t="str">
        <f t="shared" si="16"/>
        <v>#DIV/0!</v>
      </c>
      <c r="AU29" s="142" t="str">
        <f t="shared" si="16"/>
        <v>#DIV/0!</v>
      </c>
      <c r="AV29" s="143" t="str">
        <f t="shared" si="16"/>
        <v>#DIV/0!</v>
      </c>
      <c r="AW29" s="142" t="str">
        <f t="shared" si="16"/>
        <v>#DIV/0!</v>
      </c>
      <c r="AX29" s="143" t="str">
        <f t="shared" si="16"/>
        <v>#DIV/0!</v>
      </c>
      <c r="AY29" s="142" t="str">
        <f t="shared" si="16"/>
        <v>#DIV/0!</v>
      </c>
      <c r="AZ29" s="143" t="str">
        <f t="shared" si="16"/>
        <v>#DIV/0!</v>
      </c>
      <c r="BA29" s="142" t="str">
        <f t="shared" si="16"/>
        <v>#DIV/0!</v>
      </c>
      <c r="BB29" s="143" t="str">
        <f t="shared" si="16"/>
        <v>#DIV/0!</v>
      </c>
      <c r="BC29" s="142" t="str">
        <f t="shared" si="16"/>
        <v>#DIV/0!</v>
      </c>
      <c r="BD29" s="143" t="str">
        <f t="shared" si="16"/>
        <v>#DIV/0!</v>
      </c>
      <c r="BE29" s="142" t="str">
        <f t="shared" si="16"/>
        <v>#DIV/0!</v>
      </c>
      <c r="BF29" s="143" t="str">
        <f t="shared" si="16"/>
        <v>#DIV/0!</v>
      </c>
      <c r="BG29" s="142" t="str">
        <f t="shared" si="16"/>
        <v>#DIV/0!</v>
      </c>
      <c r="BH29" s="143" t="str">
        <f t="shared" si="16"/>
        <v>#DIV/0!</v>
      </c>
      <c r="BI29" s="142" t="str">
        <f t="shared" si="16"/>
        <v>#DIV/0!</v>
      </c>
      <c r="BJ29" s="143" t="str">
        <f t="shared" si="16"/>
        <v>#DIV/0!</v>
      </c>
      <c r="BK29" s="142" t="str">
        <f t="shared" si="16"/>
        <v>#DIV/0!</v>
      </c>
      <c r="BL29" s="143" t="str">
        <f t="shared" si="16"/>
        <v>#DIV/0!</v>
      </c>
      <c r="BM29" s="142" t="str">
        <f t="shared" si="16"/>
        <v>#DIV/0!</v>
      </c>
      <c r="BN29" s="143" t="str">
        <f t="shared" si="16"/>
        <v>#DIV/0!</v>
      </c>
      <c r="BO29" s="142" t="str">
        <f t="shared" si="16"/>
        <v>#DIV/0!</v>
      </c>
      <c r="BP29" s="143" t="str">
        <f t="shared" si="16"/>
        <v>#DIV/0!</v>
      </c>
      <c r="BQ29" s="142" t="str">
        <f t="shared" si="16"/>
        <v>#DIV/0!</v>
      </c>
      <c r="BR29" s="143" t="str">
        <f t="shared" si="16"/>
        <v>#DIV/0!</v>
      </c>
      <c r="BS29" s="142" t="str">
        <f t="shared" si="16"/>
        <v>#DIV/0!</v>
      </c>
      <c r="BT29" s="143">
        <f t="shared" si="16"/>
        <v>0.9</v>
      </c>
      <c r="BU29" s="142" t="str">
        <f t="shared" si="16"/>
        <v>#DIV/0!</v>
      </c>
      <c r="BV29" s="143">
        <f t="shared" si="16"/>
        <v>0.9</v>
      </c>
      <c r="BW29" s="142" t="str">
        <f t="shared" si="16"/>
        <v>#DIV/0!</v>
      </c>
      <c r="BX29" s="143">
        <f t="shared" si="16"/>
        <v>0.9</v>
      </c>
      <c r="BY29" s="142" t="str">
        <f t="shared" si="16"/>
        <v>#DIV/0!</v>
      </c>
      <c r="BZ29" s="143" t="str">
        <f t="shared" si="16"/>
        <v>#DIV/0!</v>
      </c>
      <c r="CA29" s="142" t="str">
        <f t="shared" si="16"/>
        <v>#DIV/0!</v>
      </c>
      <c r="CB29" s="143" t="str">
        <f t="shared" si="16"/>
        <v>#DIV/0!</v>
      </c>
      <c r="CC29" s="142" t="str">
        <f t="shared" si="16"/>
        <v>#DIV/0!</v>
      </c>
      <c r="CD29" s="143">
        <f t="shared" si="16"/>
        <v>0.9</v>
      </c>
      <c r="CE29" s="142" t="str">
        <f t="shared" si="16"/>
        <v>#DIV/0!</v>
      </c>
      <c r="CF29" s="143" t="str">
        <f t="shared" si="16"/>
        <v>#DIV/0!</v>
      </c>
      <c r="CG29" s="142" t="str">
        <f t="shared" si="16"/>
        <v>#DIV/0!</v>
      </c>
      <c r="CH29" s="143" t="str">
        <f t="shared" si="16"/>
        <v>#DIV/0!</v>
      </c>
      <c r="CI29" s="142" t="str">
        <f t="shared" si="16"/>
        <v>#DIV/0!</v>
      </c>
      <c r="CJ29" s="143" t="str">
        <f t="shared" si="16"/>
        <v>#DIV/0!</v>
      </c>
      <c r="CK29" s="142" t="str">
        <f t="shared" si="16"/>
        <v>#DIV/0!</v>
      </c>
      <c r="CL29" s="143" t="str">
        <f t="shared" si="16"/>
        <v>#DIV/0!</v>
      </c>
      <c r="CM29" s="142" t="str">
        <f t="shared" si="16"/>
        <v>#DIV/0!</v>
      </c>
      <c r="CN29" s="143" t="str">
        <f t="shared" si="16"/>
        <v>#DIV/0!</v>
      </c>
      <c r="CO29" s="142" t="str">
        <f t="shared" si="16"/>
        <v>#DIV/0!</v>
      </c>
      <c r="CP29" s="143">
        <f t="shared" si="16"/>
        <v>0.9</v>
      </c>
      <c r="CQ29" s="142" t="str">
        <f t="shared" si="16"/>
        <v>#DIV/0!</v>
      </c>
      <c r="CR29" s="143" t="str">
        <f t="shared" si="16"/>
        <v>#DIV/0!</v>
      </c>
      <c r="CS29" s="142" t="str">
        <f t="shared" si="16"/>
        <v>#DIV/0!</v>
      </c>
      <c r="CT29" s="143" t="str">
        <f t="shared" si="16"/>
        <v>#DIV/0!</v>
      </c>
      <c r="CU29" s="142" t="str">
        <f t="shared" si="16"/>
        <v>#DIV/0!</v>
      </c>
      <c r="CV29" s="143" t="str">
        <f t="shared" si="16"/>
        <v>#DIV/0!</v>
      </c>
      <c r="CW29" s="142" t="str">
        <f t="shared" si="16"/>
        <v>#DIV/0!</v>
      </c>
      <c r="CX29" s="143" t="str">
        <f t="shared" si="16"/>
        <v>#DIV/0!</v>
      </c>
      <c r="CY29" s="142" t="str">
        <f t="shared" si="16"/>
        <v>#DIV/0!</v>
      </c>
      <c r="CZ29" s="143" t="str">
        <f t="shared" si="16"/>
        <v>#DIV/0!</v>
      </c>
      <c r="DA29" s="142" t="str">
        <f t="shared" si="16"/>
        <v>#DIV/0!</v>
      </c>
      <c r="DB29" s="143">
        <f t="shared" si="16"/>
        <v>0.9</v>
      </c>
      <c r="DC29" s="142" t="str">
        <f t="shared" si="16"/>
        <v>#DIV/0!</v>
      </c>
      <c r="DD29" s="143" t="str">
        <f t="shared" si="16"/>
        <v>#DIV/0!</v>
      </c>
      <c r="DE29" s="142" t="str">
        <f t="shared" si="16"/>
        <v>#DIV/0!</v>
      </c>
      <c r="DF29" s="143" t="str">
        <f t="shared" si="16"/>
        <v>#DIV/0!</v>
      </c>
      <c r="DG29" s="142" t="str">
        <f t="shared" si="16"/>
        <v>#DIV/0!</v>
      </c>
      <c r="DH29" s="143" t="str">
        <f t="shared" si="16"/>
        <v>#DIV/0!</v>
      </c>
      <c r="DI29" s="142" t="str">
        <f t="shared" si="16"/>
        <v>#DIV/0!</v>
      </c>
      <c r="DJ29" s="143" t="str">
        <f t="shared" si="16"/>
        <v>#DIV/0!</v>
      </c>
      <c r="DK29" s="176"/>
      <c r="DL29" s="187"/>
      <c r="DM29" s="142" t="str">
        <f t="shared" ref="DM29:DP29" si="17">DM30/DM28</f>
        <v>#DIV/0!</v>
      </c>
      <c r="DN29" s="143">
        <f t="shared" si="17"/>
        <v>0.9</v>
      </c>
      <c r="DO29" s="192" t="str">
        <f t="shared" si="17"/>
        <v>#DIV/0!</v>
      </c>
      <c r="DP29" s="193">
        <f t="shared" si="17"/>
        <v>0.9</v>
      </c>
      <c r="DQ29" s="237"/>
      <c r="DR29" s="237"/>
    </row>
    <row r="30" ht="22.5" customHeight="1">
      <c r="A30" s="197"/>
      <c r="B30" s="149" t="s">
        <v>121</v>
      </c>
      <c r="C30" s="175"/>
      <c r="D30" s="238"/>
      <c r="E30" s="175">
        <v>49.0</v>
      </c>
      <c r="F30" s="184">
        <v>40.0</v>
      </c>
      <c r="G30" s="194"/>
      <c r="H30" s="195"/>
      <c r="I30" s="194"/>
      <c r="J30" s="195"/>
      <c r="K30" s="194"/>
      <c r="L30" s="195"/>
      <c r="M30" s="175"/>
      <c r="N30" s="184"/>
      <c r="O30" s="194"/>
      <c r="P30" s="191"/>
      <c r="Q30" s="194"/>
      <c r="R30" s="195"/>
      <c r="S30" s="194"/>
      <c r="T30" s="195"/>
      <c r="U30" s="194"/>
      <c r="V30" s="195"/>
      <c r="W30" s="194"/>
      <c r="X30" s="195"/>
      <c r="Y30" s="194"/>
      <c r="Z30" s="195"/>
      <c r="AA30" s="194"/>
      <c r="AB30" s="195"/>
      <c r="AC30" s="194"/>
      <c r="AD30" s="191"/>
      <c r="AE30" s="195"/>
      <c r="AF30" s="195"/>
      <c r="AG30" s="194"/>
      <c r="AH30" s="195"/>
      <c r="AI30" s="194"/>
      <c r="AJ30" s="195"/>
      <c r="AK30" s="194"/>
      <c r="AL30" s="195"/>
      <c r="AM30" s="194"/>
      <c r="AN30" s="195"/>
      <c r="AO30" s="194"/>
      <c r="AP30" s="195"/>
      <c r="AQ30" s="194"/>
      <c r="AR30" s="191"/>
      <c r="AS30" s="194"/>
      <c r="AT30" s="195"/>
      <c r="AU30" s="176">
        <f>AW30+AY30+BA30+BC30++BE30</f>
        <v>0</v>
      </c>
      <c r="AV30" s="188"/>
      <c r="AW30" s="194"/>
      <c r="AX30" s="187">
        <f>$AV30/5</f>
        <v>0</v>
      </c>
      <c r="AY30" s="194"/>
      <c r="AZ30" s="187">
        <f>$AV30/5</f>
        <v>0</v>
      </c>
      <c r="BA30" s="194"/>
      <c r="BB30" s="187">
        <f>$AV30/5</f>
        <v>0</v>
      </c>
      <c r="BC30" s="194"/>
      <c r="BD30" s="187">
        <f>$AV30/5</f>
        <v>0</v>
      </c>
      <c r="BE30" s="194"/>
      <c r="BF30" s="187">
        <f>$AV30/5</f>
        <v>0</v>
      </c>
      <c r="BG30" s="194"/>
      <c r="BH30" s="188"/>
      <c r="BI30" s="194"/>
      <c r="BJ30" s="188">
        <f>$BH30/4</f>
        <v>0</v>
      </c>
      <c r="BK30" s="194"/>
      <c r="BL30" s="195"/>
      <c r="BM30" s="194"/>
      <c r="BN30" s="195"/>
      <c r="BO30" s="194"/>
      <c r="BP30" s="195"/>
      <c r="BQ30" s="185">
        <f>SUM(W30,Y30,AA30,AG30,AS30,BE30)</f>
        <v>0</v>
      </c>
      <c r="BR30" s="184">
        <f>SUM(D30,N30,Z30,AJ30,AV30,BH30)</f>
        <v>0</v>
      </c>
      <c r="BS30" s="194"/>
      <c r="BT30" s="189">
        <v>4.76190476190476</v>
      </c>
      <c r="BU30" s="194"/>
      <c r="BV30" s="189">
        <v>4.76190476190476</v>
      </c>
      <c r="BW30" s="194"/>
      <c r="BX30" s="189">
        <v>4.76190476190476</v>
      </c>
      <c r="BY30" s="194"/>
      <c r="BZ30" s="195"/>
      <c r="CA30" s="194"/>
      <c r="CB30" s="195"/>
      <c r="CC30" s="194"/>
      <c r="CD30" s="189">
        <v>4.76190476190476</v>
      </c>
      <c r="CE30" s="194"/>
      <c r="CF30" s="195"/>
      <c r="CG30" s="194"/>
      <c r="CH30" s="191"/>
      <c r="CI30" s="195"/>
      <c r="CJ30" s="195"/>
      <c r="CK30" s="194"/>
      <c r="CL30" s="195"/>
      <c r="CM30" s="194"/>
      <c r="CN30" s="195"/>
      <c r="CO30" s="194"/>
      <c r="CP30" s="189">
        <v>4.76190476190476</v>
      </c>
      <c r="CQ30" s="194"/>
      <c r="CR30" s="195"/>
      <c r="CS30" s="194"/>
      <c r="CT30" s="195"/>
      <c r="CU30" s="194"/>
      <c r="CV30" s="191"/>
      <c r="CW30" s="194"/>
      <c r="CX30" s="195"/>
      <c r="CY30" s="194"/>
      <c r="CZ30" s="195"/>
      <c r="DA30" s="194"/>
      <c r="DB30" s="189">
        <v>4.76190476190476</v>
      </c>
      <c r="DC30" s="194"/>
      <c r="DD30" s="195"/>
      <c r="DE30" s="194"/>
      <c r="DF30" s="195"/>
      <c r="DG30" s="194"/>
      <c r="DH30" s="195"/>
      <c r="DI30" s="194"/>
      <c r="DJ30" s="191"/>
      <c r="DK30" s="176"/>
      <c r="DL30" s="187"/>
      <c r="DM30" s="185">
        <f t="shared" ref="DM30:DN30" si="18">SUM(BS30,BU30,BW30,CC30,CO30,DA30)</f>
        <v>0</v>
      </c>
      <c r="DN30" s="184">
        <f t="shared" si="18"/>
        <v>28.57142857</v>
      </c>
      <c r="DO30" s="190">
        <f t="shared" ref="DO30:DP30" si="19">SUM(BQ30,DM30)</f>
        <v>0</v>
      </c>
      <c r="DP30" s="191">
        <f t="shared" si="19"/>
        <v>28.57142857</v>
      </c>
      <c r="DQ30" s="237"/>
      <c r="DR30" s="237"/>
    </row>
    <row r="31" ht="22.5" customHeight="1">
      <c r="A31" s="170"/>
      <c r="B31" s="136" t="s">
        <v>122</v>
      </c>
      <c r="C31" s="142" t="str">
        <f t="shared" ref="C31:DJ31" si="20">C32/C30</f>
        <v>#DIV/0!</v>
      </c>
      <c r="D31" s="143" t="str">
        <f t="shared" si="20"/>
        <v>#DIV/0!</v>
      </c>
      <c r="E31" s="142">
        <f t="shared" si="20"/>
        <v>1</v>
      </c>
      <c r="F31" s="143">
        <f t="shared" si="20"/>
        <v>1</v>
      </c>
      <c r="G31" s="142" t="str">
        <f t="shared" si="20"/>
        <v>#DIV/0!</v>
      </c>
      <c r="H31" s="143" t="str">
        <f t="shared" si="20"/>
        <v>#DIV/0!</v>
      </c>
      <c r="I31" s="142" t="str">
        <f t="shared" si="20"/>
        <v>#DIV/0!</v>
      </c>
      <c r="J31" s="143" t="str">
        <f t="shared" si="20"/>
        <v>#DIV/0!</v>
      </c>
      <c r="K31" s="142" t="str">
        <f t="shared" si="20"/>
        <v>#DIV/0!</v>
      </c>
      <c r="L31" s="143" t="str">
        <f t="shared" si="20"/>
        <v>#DIV/0!</v>
      </c>
      <c r="M31" s="142" t="str">
        <f t="shared" si="20"/>
        <v>#DIV/0!</v>
      </c>
      <c r="N31" s="143" t="str">
        <f t="shared" si="20"/>
        <v>#DIV/0!</v>
      </c>
      <c r="O31" s="142" t="str">
        <f t="shared" si="20"/>
        <v>#DIV/0!</v>
      </c>
      <c r="P31" s="143" t="str">
        <f t="shared" si="20"/>
        <v>#DIV/0!</v>
      </c>
      <c r="Q31" s="142" t="str">
        <f t="shared" si="20"/>
        <v>#DIV/0!</v>
      </c>
      <c r="R31" s="143" t="str">
        <f t="shared" si="20"/>
        <v>#DIV/0!</v>
      </c>
      <c r="S31" s="142" t="str">
        <f t="shared" si="20"/>
        <v>#DIV/0!</v>
      </c>
      <c r="T31" s="143" t="str">
        <f t="shared" si="20"/>
        <v>#DIV/0!</v>
      </c>
      <c r="U31" s="142" t="str">
        <f t="shared" si="20"/>
        <v>#DIV/0!</v>
      </c>
      <c r="V31" s="143" t="str">
        <f t="shared" si="20"/>
        <v>#DIV/0!</v>
      </c>
      <c r="W31" s="142" t="str">
        <f t="shared" si="20"/>
        <v>#DIV/0!</v>
      </c>
      <c r="X31" s="143" t="str">
        <f t="shared" si="20"/>
        <v>#DIV/0!</v>
      </c>
      <c r="Y31" s="142" t="str">
        <f t="shared" si="20"/>
        <v>#DIV/0!</v>
      </c>
      <c r="Z31" s="143" t="str">
        <f t="shared" si="20"/>
        <v>#DIV/0!</v>
      </c>
      <c r="AA31" s="142" t="str">
        <f t="shared" si="20"/>
        <v>#DIV/0!</v>
      </c>
      <c r="AB31" s="143" t="str">
        <f t="shared" si="20"/>
        <v>#DIV/0!</v>
      </c>
      <c r="AC31" s="142" t="str">
        <f t="shared" si="20"/>
        <v>#DIV/0!</v>
      </c>
      <c r="AD31" s="143" t="str">
        <f t="shared" si="20"/>
        <v>#DIV/0!</v>
      </c>
      <c r="AE31" s="142" t="str">
        <f t="shared" si="20"/>
        <v>#DIV/0!</v>
      </c>
      <c r="AF31" s="143" t="str">
        <f t="shared" si="20"/>
        <v>#DIV/0!</v>
      </c>
      <c r="AG31" s="142" t="str">
        <f t="shared" si="20"/>
        <v>#DIV/0!</v>
      </c>
      <c r="AH31" s="143" t="str">
        <f t="shared" si="20"/>
        <v>#DIV/0!</v>
      </c>
      <c r="AI31" s="142" t="str">
        <f t="shared" si="20"/>
        <v>#DIV/0!</v>
      </c>
      <c r="AJ31" s="143" t="str">
        <f t="shared" si="20"/>
        <v>#DIV/0!</v>
      </c>
      <c r="AK31" s="142" t="str">
        <f t="shared" si="20"/>
        <v>#DIV/0!</v>
      </c>
      <c r="AL31" s="143" t="str">
        <f t="shared" si="20"/>
        <v>#DIV/0!</v>
      </c>
      <c r="AM31" s="142" t="str">
        <f t="shared" si="20"/>
        <v>#DIV/0!</v>
      </c>
      <c r="AN31" s="143" t="str">
        <f t="shared" si="20"/>
        <v>#DIV/0!</v>
      </c>
      <c r="AO31" s="142" t="str">
        <f t="shared" si="20"/>
        <v>#DIV/0!</v>
      </c>
      <c r="AP31" s="143" t="str">
        <f t="shared" si="20"/>
        <v>#DIV/0!</v>
      </c>
      <c r="AQ31" s="142" t="str">
        <f t="shared" si="20"/>
        <v>#DIV/0!</v>
      </c>
      <c r="AR31" s="143" t="str">
        <f t="shared" si="20"/>
        <v>#DIV/0!</v>
      </c>
      <c r="AS31" s="142" t="str">
        <f t="shared" si="20"/>
        <v>#DIV/0!</v>
      </c>
      <c r="AT31" s="143" t="str">
        <f t="shared" si="20"/>
        <v>#DIV/0!</v>
      </c>
      <c r="AU31" s="142" t="str">
        <f t="shared" si="20"/>
        <v>#DIV/0!</v>
      </c>
      <c r="AV31" s="143" t="str">
        <f t="shared" si="20"/>
        <v>#DIV/0!</v>
      </c>
      <c r="AW31" s="142" t="str">
        <f t="shared" si="20"/>
        <v>#DIV/0!</v>
      </c>
      <c r="AX31" s="143" t="str">
        <f t="shared" si="20"/>
        <v>#DIV/0!</v>
      </c>
      <c r="AY31" s="142" t="str">
        <f t="shared" si="20"/>
        <v>#DIV/0!</v>
      </c>
      <c r="AZ31" s="143" t="str">
        <f t="shared" si="20"/>
        <v>#DIV/0!</v>
      </c>
      <c r="BA31" s="142" t="str">
        <f t="shared" si="20"/>
        <v>#DIV/0!</v>
      </c>
      <c r="BB31" s="143" t="str">
        <f t="shared" si="20"/>
        <v>#DIV/0!</v>
      </c>
      <c r="BC31" s="142" t="str">
        <f t="shared" si="20"/>
        <v>#DIV/0!</v>
      </c>
      <c r="BD31" s="143" t="str">
        <f t="shared" si="20"/>
        <v>#DIV/0!</v>
      </c>
      <c r="BE31" s="142" t="str">
        <f t="shared" si="20"/>
        <v>#DIV/0!</v>
      </c>
      <c r="BF31" s="143" t="str">
        <f t="shared" si="20"/>
        <v>#DIV/0!</v>
      </c>
      <c r="BG31" s="142" t="str">
        <f t="shared" si="20"/>
        <v>#DIV/0!</v>
      </c>
      <c r="BH31" s="143" t="str">
        <f t="shared" si="20"/>
        <v>#DIV/0!</v>
      </c>
      <c r="BI31" s="142" t="str">
        <f t="shared" si="20"/>
        <v>#DIV/0!</v>
      </c>
      <c r="BJ31" s="143" t="str">
        <f t="shared" si="20"/>
        <v>#DIV/0!</v>
      </c>
      <c r="BK31" s="142" t="str">
        <f t="shared" si="20"/>
        <v>#DIV/0!</v>
      </c>
      <c r="BL31" s="143" t="str">
        <f t="shared" si="20"/>
        <v>#DIV/0!</v>
      </c>
      <c r="BM31" s="142" t="str">
        <f t="shared" si="20"/>
        <v>#DIV/0!</v>
      </c>
      <c r="BN31" s="143" t="str">
        <f t="shared" si="20"/>
        <v>#DIV/0!</v>
      </c>
      <c r="BO31" s="142" t="str">
        <f t="shared" si="20"/>
        <v>#DIV/0!</v>
      </c>
      <c r="BP31" s="143" t="str">
        <f t="shared" si="20"/>
        <v>#DIV/0!</v>
      </c>
      <c r="BQ31" s="142" t="str">
        <f t="shared" si="20"/>
        <v>#DIV/0!</v>
      </c>
      <c r="BR31" s="143" t="str">
        <f t="shared" si="20"/>
        <v>#DIV/0!</v>
      </c>
      <c r="BS31" s="142" t="str">
        <f t="shared" si="20"/>
        <v>#DIV/0!</v>
      </c>
      <c r="BT31" s="143">
        <f t="shared" si="20"/>
        <v>0.6</v>
      </c>
      <c r="BU31" s="142" t="str">
        <f t="shared" si="20"/>
        <v>#DIV/0!</v>
      </c>
      <c r="BV31" s="143">
        <f t="shared" si="20"/>
        <v>0.6</v>
      </c>
      <c r="BW31" s="142" t="str">
        <f t="shared" si="20"/>
        <v>#DIV/0!</v>
      </c>
      <c r="BX31" s="143">
        <f t="shared" si="20"/>
        <v>0.6</v>
      </c>
      <c r="BY31" s="142" t="str">
        <f t="shared" si="20"/>
        <v>#DIV/0!</v>
      </c>
      <c r="BZ31" s="143" t="str">
        <f t="shared" si="20"/>
        <v>#DIV/0!</v>
      </c>
      <c r="CA31" s="142" t="str">
        <f t="shared" si="20"/>
        <v>#DIV/0!</v>
      </c>
      <c r="CB31" s="143" t="str">
        <f t="shared" si="20"/>
        <v>#DIV/0!</v>
      </c>
      <c r="CC31" s="142" t="str">
        <f t="shared" si="20"/>
        <v>#DIV/0!</v>
      </c>
      <c r="CD31" s="143">
        <f t="shared" si="20"/>
        <v>0.6</v>
      </c>
      <c r="CE31" s="142" t="str">
        <f t="shared" si="20"/>
        <v>#DIV/0!</v>
      </c>
      <c r="CF31" s="143" t="str">
        <f t="shared" si="20"/>
        <v>#DIV/0!</v>
      </c>
      <c r="CG31" s="142" t="str">
        <f t="shared" si="20"/>
        <v>#DIV/0!</v>
      </c>
      <c r="CH31" s="143" t="str">
        <f t="shared" si="20"/>
        <v>#DIV/0!</v>
      </c>
      <c r="CI31" s="142" t="str">
        <f t="shared" si="20"/>
        <v>#DIV/0!</v>
      </c>
      <c r="CJ31" s="143" t="str">
        <f t="shared" si="20"/>
        <v>#DIV/0!</v>
      </c>
      <c r="CK31" s="142" t="str">
        <f t="shared" si="20"/>
        <v>#DIV/0!</v>
      </c>
      <c r="CL31" s="143" t="str">
        <f t="shared" si="20"/>
        <v>#DIV/0!</v>
      </c>
      <c r="CM31" s="142" t="str">
        <f t="shared" si="20"/>
        <v>#DIV/0!</v>
      </c>
      <c r="CN31" s="143" t="str">
        <f t="shared" si="20"/>
        <v>#DIV/0!</v>
      </c>
      <c r="CO31" s="142" t="str">
        <f t="shared" si="20"/>
        <v>#DIV/0!</v>
      </c>
      <c r="CP31" s="143">
        <f t="shared" si="20"/>
        <v>0.6</v>
      </c>
      <c r="CQ31" s="142" t="str">
        <f t="shared" si="20"/>
        <v>#DIV/0!</v>
      </c>
      <c r="CR31" s="143" t="str">
        <f t="shared" si="20"/>
        <v>#DIV/0!</v>
      </c>
      <c r="CS31" s="142" t="str">
        <f t="shared" si="20"/>
        <v>#DIV/0!</v>
      </c>
      <c r="CT31" s="143" t="str">
        <f t="shared" si="20"/>
        <v>#DIV/0!</v>
      </c>
      <c r="CU31" s="142" t="str">
        <f t="shared" si="20"/>
        <v>#DIV/0!</v>
      </c>
      <c r="CV31" s="143" t="str">
        <f t="shared" si="20"/>
        <v>#DIV/0!</v>
      </c>
      <c r="CW31" s="142" t="str">
        <f t="shared" si="20"/>
        <v>#DIV/0!</v>
      </c>
      <c r="CX31" s="143" t="str">
        <f t="shared" si="20"/>
        <v>#DIV/0!</v>
      </c>
      <c r="CY31" s="142" t="str">
        <f t="shared" si="20"/>
        <v>#DIV/0!</v>
      </c>
      <c r="CZ31" s="143" t="str">
        <f t="shared" si="20"/>
        <v>#DIV/0!</v>
      </c>
      <c r="DA31" s="142" t="str">
        <f t="shared" si="20"/>
        <v>#DIV/0!</v>
      </c>
      <c r="DB31" s="143">
        <f t="shared" si="20"/>
        <v>0.6</v>
      </c>
      <c r="DC31" s="142" t="str">
        <f t="shared" si="20"/>
        <v>#DIV/0!</v>
      </c>
      <c r="DD31" s="143" t="str">
        <f t="shared" si="20"/>
        <v>#DIV/0!</v>
      </c>
      <c r="DE31" s="142" t="str">
        <f t="shared" si="20"/>
        <v>#DIV/0!</v>
      </c>
      <c r="DF31" s="143" t="str">
        <f t="shared" si="20"/>
        <v>#DIV/0!</v>
      </c>
      <c r="DG31" s="142" t="str">
        <f t="shared" si="20"/>
        <v>#DIV/0!</v>
      </c>
      <c r="DH31" s="143" t="str">
        <f t="shared" si="20"/>
        <v>#DIV/0!</v>
      </c>
      <c r="DI31" s="142" t="str">
        <f t="shared" si="20"/>
        <v>#DIV/0!</v>
      </c>
      <c r="DJ31" s="143" t="str">
        <f t="shared" si="20"/>
        <v>#DIV/0!</v>
      </c>
      <c r="DK31" s="176"/>
      <c r="DL31" s="187"/>
      <c r="DM31" s="142" t="str">
        <f t="shared" ref="DM31:DP31" si="21">DM32/DM30</f>
        <v>#DIV/0!</v>
      </c>
      <c r="DN31" s="143">
        <f t="shared" si="21"/>
        <v>0.6</v>
      </c>
      <c r="DO31" s="192" t="str">
        <f t="shared" si="21"/>
        <v>#DIV/0!</v>
      </c>
      <c r="DP31" s="193">
        <f t="shared" si="21"/>
        <v>0.6</v>
      </c>
      <c r="DQ31" s="237"/>
      <c r="DR31" s="237"/>
    </row>
    <row r="32" ht="22.5" customHeight="1">
      <c r="A32" s="198"/>
      <c r="B32" s="155" t="s">
        <v>123</v>
      </c>
      <c r="C32" s="175"/>
      <c r="D32" s="238"/>
      <c r="E32" s="239">
        <v>49.0</v>
      </c>
      <c r="F32" s="240">
        <v>40.0</v>
      </c>
      <c r="G32" s="200"/>
      <c r="H32" s="201"/>
      <c r="I32" s="200"/>
      <c r="J32" s="201"/>
      <c r="K32" s="200"/>
      <c r="L32" s="201"/>
      <c r="M32" s="239"/>
      <c r="N32" s="240"/>
      <c r="O32" s="200"/>
      <c r="P32" s="201"/>
      <c r="Q32" s="200"/>
      <c r="R32" s="201"/>
      <c r="S32" s="200"/>
      <c r="T32" s="201"/>
      <c r="U32" s="200"/>
      <c r="V32" s="201"/>
      <c r="W32" s="200"/>
      <c r="X32" s="201"/>
      <c r="Y32" s="200"/>
      <c r="Z32" s="201"/>
      <c r="AA32" s="200"/>
      <c r="AB32" s="201"/>
      <c r="AC32" s="200"/>
      <c r="AD32" s="201"/>
      <c r="AE32" s="201"/>
      <c r="AF32" s="201"/>
      <c r="AG32" s="200"/>
      <c r="AH32" s="201"/>
      <c r="AI32" s="200"/>
      <c r="AJ32" s="201"/>
      <c r="AK32" s="200"/>
      <c r="AL32" s="201"/>
      <c r="AM32" s="200"/>
      <c r="AN32" s="201"/>
      <c r="AO32" s="200"/>
      <c r="AP32" s="201"/>
      <c r="AQ32" s="200"/>
      <c r="AR32" s="201"/>
      <c r="AS32" s="200"/>
      <c r="AT32" s="201"/>
      <c r="AU32" s="200"/>
      <c r="AV32" s="188"/>
      <c r="AW32" s="200"/>
      <c r="AX32" s="187">
        <f>$AV32/5</f>
        <v>0</v>
      </c>
      <c r="AY32" s="200"/>
      <c r="AZ32" s="187">
        <f>$AV32/5</f>
        <v>0</v>
      </c>
      <c r="BA32" s="200"/>
      <c r="BB32" s="187">
        <f>$AV32/5</f>
        <v>0</v>
      </c>
      <c r="BC32" s="200"/>
      <c r="BD32" s="187">
        <f>$AV32/5</f>
        <v>0</v>
      </c>
      <c r="BE32" s="200"/>
      <c r="BF32" s="187">
        <f>$AV32/5</f>
        <v>0</v>
      </c>
      <c r="BG32" s="200"/>
      <c r="BH32" s="188"/>
      <c r="BI32" s="200"/>
      <c r="BJ32" s="188">
        <f>$BH32/4</f>
        <v>0</v>
      </c>
      <c r="BK32" s="200"/>
      <c r="BL32" s="201"/>
      <c r="BM32" s="200"/>
      <c r="BN32" s="201"/>
      <c r="BO32" s="200"/>
      <c r="BP32" s="201"/>
      <c r="BQ32" s="202">
        <f>SUM(W32,Y32,AA32,AG32,AS32,BE32)</f>
        <v>0</v>
      </c>
      <c r="BR32" s="184">
        <f>SUM(D32,N32,Z32,AJ32,AV32,BH32)</f>
        <v>0</v>
      </c>
      <c r="BS32" s="200"/>
      <c r="BT32" s="189">
        <v>2.85714285714286</v>
      </c>
      <c r="BU32" s="200"/>
      <c r="BV32" s="189">
        <v>2.85714285714286</v>
      </c>
      <c r="BW32" s="200"/>
      <c r="BX32" s="189">
        <v>2.85714285714286</v>
      </c>
      <c r="BY32" s="200"/>
      <c r="BZ32" s="201"/>
      <c r="CA32" s="200"/>
      <c r="CB32" s="201"/>
      <c r="CC32" s="200"/>
      <c r="CD32" s="189">
        <v>2.85714285714286</v>
      </c>
      <c r="CE32" s="200"/>
      <c r="CF32" s="201"/>
      <c r="CG32" s="200"/>
      <c r="CH32" s="201"/>
      <c r="CI32" s="201"/>
      <c r="CJ32" s="201"/>
      <c r="CK32" s="200"/>
      <c r="CL32" s="201"/>
      <c r="CM32" s="200"/>
      <c r="CN32" s="201"/>
      <c r="CO32" s="200"/>
      <c r="CP32" s="189">
        <v>2.85714285714286</v>
      </c>
      <c r="CQ32" s="200"/>
      <c r="CR32" s="201"/>
      <c r="CS32" s="200"/>
      <c r="CT32" s="201"/>
      <c r="CU32" s="200"/>
      <c r="CV32" s="201"/>
      <c r="CW32" s="200"/>
      <c r="CX32" s="201"/>
      <c r="CY32" s="200"/>
      <c r="CZ32" s="201"/>
      <c r="DA32" s="200"/>
      <c r="DB32" s="189">
        <v>2.85714285714286</v>
      </c>
      <c r="DC32" s="200"/>
      <c r="DD32" s="201"/>
      <c r="DE32" s="200"/>
      <c r="DF32" s="201"/>
      <c r="DG32" s="200"/>
      <c r="DH32" s="201"/>
      <c r="DI32" s="200"/>
      <c r="DJ32" s="201"/>
      <c r="DK32" s="203"/>
      <c r="DL32" s="204"/>
      <c r="DM32" s="202">
        <f t="shared" ref="DM32:DN32" si="22">SUM(BS32,BU32,BW32,CC32,CO32,DA32)</f>
        <v>0</v>
      </c>
      <c r="DN32" s="184">
        <f t="shared" si="22"/>
        <v>17.14285714</v>
      </c>
      <c r="DO32" s="205">
        <f t="shared" ref="DO32:DP32" si="23">SUM(BQ32,DM32)</f>
        <v>0</v>
      </c>
      <c r="DP32" s="191">
        <f t="shared" si="23"/>
        <v>17.14285714</v>
      </c>
      <c r="DQ32" s="237"/>
      <c r="DR32" s="237"/>
    </row>
    <row r="33" ht="22.5" customHeight="1">
      <c r="A33" s="198"/>
      <c r="B33" s="155" t="s">
        <v>124</v>
      </c>
      <c r="C33" s="142" t="str">
        <f t="shared" ref="C33:DJ33" si="24">C34/C32</f>
        <v>#DIV/0!</v>
      </c>
      <c r="D33" s="143" t="str">
        <f t="shared" si="24"/>
        <v>#DIV/0!</v>
      </c>
      <c r="E33" s="142">
        <f t="shared" si="24"/>
        <v>0.1020408163</v>
      </c>
      <c r="F33" s="143">
        <f t="shared" si="24"/>
        <v>0</v>
      </c>
      <c r="G33" s="142" t="str">
        <f t="shared" si="24"/>
        <v>#DIV/0!</v>
      </c>
      <c r="H33" s="143" t="str">
        <f t="shared" si="24"/>
        <v>#DIV/0!</v>
      </c>
      <c r="I33" s="142" t="str">
        <f t="shared" si="24"/>
        <v>#DIV/0!</v>
      </c>
      <c r="J33" s="143" t="str">
        <f t="shared" si="24"/>
        <v>#DIV/0!</v>
      </c>
      <c r="K33" s="142" t="str">
        <f t="shared" si="24"/>
        <v>#DIV/0!</v>
      </c>
      <c r="L33" s="143" t="str">
        <f t="shared" si="24"/>
        <v>#DIV/0!</v>
      </c>
      <c r="M33" s="142" t="str">
        <f t="shared" si="24"/>
        <v>#DIV/0!</v>
      </c>
      <c r="N33" s="143" t="str">
        <f t="shared" si="24"/>
        <v>#DIV/0!</v>
      </c>
      <c r="O33" s="142" t="str">
        <f t="shared" si="24"/>
        <v>#DIV/0!</v>
      </c>
      <c r="P33" s="143" t="str">
        <f t="shared" si="24"/>
        <v>#DIV/0!</v>
      </c>
      <c r="Q33" s="142" t="str">
        <f t="shared" si="24"/>
        <v>#DIV/0!</v>
      </c>
      <c r="R33" s="143" t="str">
        <f t="shared" si="24"/>
        <v>#DIV/0!</v>
      </c>
      <c r="S33" s="142" t="str">
        <f t="shared" si="24"/>
        <v>#DIV/0!</v>
      </c>
      <c r="T33" s="143" t="str">
        <f t="shared" si="24"/>
        <v>#DIV/0!</v>
      </c>
      <c r="U33" s="142" t="str">
        <f t="shared" si="24"/>
        <v>#DIV/0!</v>
      </c>
      <c r="V33" s="143" t="str">
        <f t="shared" si="24"/>
        <v>#DIV/0!</v>
      </c>
      <c r="W33" s="142" t="str">
        <f t="shared" si="24"/>
        <v>#DIV/0!</v>
      </c>
      <c r="X33" s="143" t="str">
        <f t="shared" si="24"/>
        <v>#DIV/0!</v>
      </c>
      <c r="Y33" s="142" t="str">
        <f t="shared" si="24"/>
        <v>#DIV/0!</v>
      </c>
      <c r="Z33" s="143" t="str">
        <f t="shared" si="24"/>
        <v>#DIV/0!</v>
      </c>
      <c r="AA33" s="142" t="str">
        <f t="shared" si="24"/>
        <v>#DIV/0!</v>
      </c>
      <c r="AB33" s="143" t="str">
        <f t="shared" si="24"/>
        <v>#DIV/0!</v>
      </c>
      <c r="AC33" s="142" t="str">
        <f t="shared" si="24"/>
        <v>#DIV/0!</v>
      </c>
      <c r="AD33" s="143" t="str">
        <f t="shared" si="24"/>
        <v>#DIV/0!</v>
      </c>
      <c r="AE33" s="142" t="str">
        <f t="shared" si="24"/>
        <v>#DIV/0!</v>
      </c>
      <c r="AF33" s="143" t="str">
        <f t="shared" si="24"/>
        <v>#DIV/0!</v>
      </c>
      <c r="AG33" s="142" t="str">
        <f t="shared" si="24"/>
        <v>#DIV/0!</v>
      </c>
      <c r="AH33" s="143" t="str">
        <f t="shared" si="24"/>
        <v>#DIV/0!</v>
      </c>
      <c r="AI33" s="142" t="str">
        <f t="shared" si="24"/>
        <v>#DIV/0!</v>
      </c>
      <c r="AJ33" s="143" t="str">
        <f t="shared" si="24"/>
        <v>#DIV/0!</v>
      </c>
      <c r="AK33" s="142" t="str">
        <f t="shared" si="24"/>
        <v>#DIV/0!</v>
      </c>
      <c r="AL33" s="143" t="str">
        <f t="shared" si="24"/>
        <v>#DIV/0!</v>
      </c>
      <c r="AM33" s="142" t="str">
        <f t="shared" si="24"/>
        <v>#DIV/0!</v>
      </c>
      <c r="AN33" s="143" t="str">
        <f t="shared" si="24"/>
        <v>#DIV/0!</v>
      </c>
      <c r="AO33" s="142" t="str">
        <f t="shared" si="24"/>
        <v>#DIV/0!</v>
      </c>
      <c r="AP33" s="143" t="str">
        <f t="shared" si="24"/>
        <v>#DIV/0!</v>
      </c>
      <c r="AQ33" s="142" t="str">
        <f t="shared" si="24"/>
        <v>#DIV/0!</v>
      </c>
      <c r="AR33" s="143" t="str">
        <f t="shared" si="24"/>
        <v>#DIV/0!</v>
      </c>
      <c r="AS33" s="142" t="str">
        <f t="shared" si="24"/>
        <v>#DIV/0!</v>
      </c>
      <c r="AT33" s="143" t="str">
        <f t="shared" si="24"/>
        <v>#DIV/0!</v>
      </c>
      <c r="AU33" s="142" t="str">
        <f t="shared" si="24"/>
        <v>#DIV/0!</v>
      </c>
      <c r="AV33" s="143" t="str">
        <f t="shared" si="24"/>
        <v>#DIV/0!</v>
      </c>
      <c r="AW33" s="142" t="str">
        <f t="shared" si="24"/>
        <v>#DIV/0!</v>
      </c>
      <c r="AX33" s="143" t="str">
        <f t="shared" si="24"/>
        <v>#DIV/0!</v>
      </c>
      <c r="AY33" s="142" t="str">
        <f t="shared" si="24"/>
        <v>#DIV/0!</v>
      </c>
      <c r="AZ33" s="143" t="str">
        <f t="shared" si="24"/>
        <v>#DIV/0!</v>
      </c>
      <c r="BA33" s="142" t="str">
        <f t="shared" si="24"/>
        <v>#DIV/0!</v>
      </c>
      <c r="BB33" s="143" t="str">
        <f t="shared" si="24"/>
        <v>#DIV/0!</v>
      </c>
      <c r="BC33" s="142" t="str">
        <f t="shared" si="24"/>
        <v>#DIV/0!</v>
      </c>
      <c r="BD33" s="143" t="str">
        <f t="shared" si="24"/>
        <v>#DIV/0!</v>
      </c>
      <c r="BE33" s="142" t="str">
        <f t="shared" si="24"/>
        <v>#DIV/0!</v>
      </c>
      <c r="BF33" s="143" t="str">
        <f t="shared" si="24"/>
        <v>#DIV/0!</v>
      </c>
      <c r="BG33" s="142" t="str">
        <f t="shared" si="24"/>
        <v>#DIV/0!</v>
      </c>
      <c r="BH33" s="143" t="str">
        <f t="shared" si="24"/>
        <v>#DIV/0!</v>
      </c>
      <c r="BI33" s="142" t="str">
        <f t="shared" si="24"/>
        <v>#DIV/0!</v>
      </c>
      <c r="BJ33" s="143" t="str">
        <f t="shared" si="24"/>
        <v>#DIV/0!</v>
      </c>
      <c r="BK33" s="142" t="str">
        <f t="shared" si="24"/>
        <v>#DIV/0!</v>
      </c>
      <c r="BL33" s="143" t="str">
        <f t="shared" si="24"/>
        <v>#DIV/0!</v>
      </c>
      <c r="BM33" s="142" t="str">
        <f t="shared" si="24"/>
        <v>#DIV/0!</v>
      </c>
      <c r="BN33" s="143" t="str">
        <f t="shared" si="24"/>
        <v>#DIV/0!</v>
      </c>
      <c r="BO33" s="142" t="str">
        <f t="shared" si="24"/>
        <v>#DIV/0!</v>
      </c>
      <c r="BP33" s="143" t="str">
        <f t="shared" si="24"/>
        <v>#DIV/0!</v>
      </c>
      <c r="BQ33" s="142" t="str">
        <f t="shared" si="24"/>
        <v>#DIV/0!</v>
      </c>
      <c r="BR33" s="143" t="str">
        <f t="shared" si="24"/>
        <v>#DIV/0!</v>
      </c>
      <c r="BS33" s="142" t="str">
        <f t="shared" si="24"/>
        <v>#DIV/0!</v>
      </c>
      <c r="BT33" s="143">
        <f t="shared" si="24"/>
        <v>0.35</v>
      </c>
      <c r="BU33" s="142" t="str">
        <f t="shared" si="24"/>
        <v>#DIV/0!</v>
      </c>
      <c r="BV33" s="143">
        <f t="shared" si="24"/>
        <v>0.35</v>
      </c>
      <c r="BW33" s="142" t="str">
        <f t="shared" si="24"/>
        <v>#DIV/0!</v>
      </c>
      <c r="BX33" s="143">
        <f t="shared" si="24"/>
        <v>0.35</v>
      </c>
      <c r="BY33" s="142" t="str">
        <f t="shared" si="24"/>
        <v>#DIV/0!</v>
      </c>
      <c r="BZ33" s="143" t="str">
        <f t="shared" si="24"/>
        <v>#DIV/0!</v>
      </c>
      <c r="CA33" s="142" t="str">
        <f t="shared" si="24"/>
        <v>#DIV/0!</v>
      </c>
      <c r="CB33" s="143" t="str">
        <f t="shared" si="24"/>
        <v>#DIV/0!</v>
      </c>
      <c r="CC33" s="142" t="str">
        <f t="shared" si="24"/>
        <v>#DIV/0!</v>
      </c>
      <c r="CD33" s="143">
        <f t="shared" si="24"/>
        <v>0.35</v>
      </c>
      <c r="CE33" s="142" t="str">
        <f t="shared" si="24"/>
        <v>#DIV/0!</v>
      </c>
      <c r="CF33" s="143" t="str">
        <f t="shared" si="24"/>
        <v>#DIV/0!</v>
      </c>
      <c r="CG33" s="142" t="str">
        <f t="shared" si="24"/>
        <v>#DIV/0!</v>
      </c>
      <c r="CH33" s="143" t="str">
        <f t="shared" si="24"/>
        <v>#DIV/0!</v>
      </c>
      <c r="CI33" s="142" t="str">
        <f t="shared" si="24"/>
        <v>#DIV/0!</v>
      </c>
      <c r="CJ33" s="143" t="str">
        <f t="shared" si="24"/>
        <v>#DIV/0!</v>
      </c>
      <c r="CK33" s="142" t="str">
        <f t="shared" si="24"/>
        <v>#DIV/0!</v>
      </c>
      <c r="CL33" s="143" t="str">
        <f t="shared" si="24"/>
        <v>#DIV/0!</v>
      </c>
      <c r="CM33" s="142" t="str">
        <f t="shared" si="24"/>
        <v>#DIV/0!</v>
      </c>
      <c r="CN33" s="143" t="str">
        <f t="shared" si="24"/>
        <v>#DIV/0!</v>
      </c>
      <c r="CO33" s="142" t="str">
        <f t="shared" si="24"/>
        <v>#DIV/0!</v>
      </c>
      <c r="CP33" s="143">
        <f t="shared" si="24"/>
        <v>0.35</v>
      </c>
      <c r="CQ33" s="142" t="str">
        <f t="shared" si="24"/>
        <v>#DIV/0!</v>
      </c>
      <c r="CR33" s="143" t="str">
        <f t="shared" si="24"/>
        <v>#DIV/0!</v>
      </c>
      <c r="CS33" s="142" t="str">
        <f t="shared" si="24"/>
        <v>#DIV/0!</v>
      </c>
      <c r="CT33" s="143" t="str">
        <f t="shared" si="24"/>
        <v>#DIV/0!</v>
      </c>
      <c r="CU33" s="142" t="str">
        <f t="shared" si="24"/>
        <v>#DIV/0!</v>
      </c>
      <c r="CV33" s="143" t="str">
        <f t="shared" si="24"/>
        <v>#DIV/0!</v>
      </c>
      <c r="CW33" s="142" t="str">
        <f t="shared" si="24"/>
        <v>#DIV/0!</v>
      </c>
      <c r="CX33" s="143" t="str">
        <f t="shared" si="24"/>
        <v>#DIV/0!</v>
      </c>
      <c r="CY33" s="142" t="str">
        <f t="shared" si="24"/>
        <v>#DIV/0!</v>
      </c>
      <c r="CZ33" s="143" t="str">
        <f t="shared" si="24"/>
        <v>#DIV/0!</v>
      </c>
      <c r="DA33" s="142" t="str">
        <f t="shared" si="24"/>
        <v>#DIV/0!</v>
      </c>
      <c r="DB33" s="143">
        <f t="shared" si="24"/>
        <v>0.35</v>
      </c>
      <c r="DC33" s="142" t="str">
        <f t="shared" si="24"/>
        <v>#DIV/0!</v>
      </c>
      <c r="DD33" s="143" t="str">
        <f t="shared" si="24"/>
        <v>#DIV/0!</v>
      </c>
      <c r="DE33" s="142" t="str">
        <f t="shared" si="24"/>
        <v>#DIV/0!</v>
      </c>
      <c r="DF33" s="143" t="str">
        <f t="shared" si="24"/>
        <v>#DIV/0!</v>
      </c>
      <c r="DG33" s="142" t="str">
        <f t="shared" si="24"/>
        <v>#DIV/0!</v>
      </c>
      <c r="DH33" s="143" t="str">
        <f t="shared" si="24"/>
        <v>#DIV/0!</v>
      </c>
      <c r="DI33" s="142" t="str">
        <f t="shared" si="24"/>
        <v>#DIV/0!</v>
      </c>
      <c r="DJ33" s="143" t="str">
        <f t="shared" si="24"/>
        <v>#DIV/0!</v>
      </c>
      <c r="DK33" s="203"/>
      <c r="DL33" s="204"/>
      <c r="DM33" s="142" t="str">
        <f t="shared" ref="DM33:DP33" si="25">DM34/DM32</f>
        <v>#DIV/0!</v>
      </c>
      <c r="DN33" s="143">
        <f t="shared" si="25"/>
        <v>0.35</v>
      </c>
      <c r="DO33" s="192" t="str">
        <f t="shared" si="25"/>
        <v>#DIV/0!</v>
      </c>
      <c r="DP33" s="193">
        <f t="shared" si="25"/>
        <v>0.35</v>
      </c>
      <c r="DQ33" s="237"/>
      <c r="DR33" s="237"/>
    </row>
    <row r="34" ht="22.5" customHeight="1">
      <c r="A34" s="198"/>
      <c r="B34" s="159" t="s">
        <v>144</v>
      </c>
      <c r="C34" s="175"/>
      <c r="D34" s="240"/>
      <c r="E34" s="239">
        <v>5.0</v>
      </c>
      <c r="F34" s="240"/>
      <c r="G34" s="185"/>
      <c r="H34" s="185"/>
      <c r="I34" s="185"/>
      <c r="J34" s="185"/>
      <c r="K34" s="185"/>
      <c r="L34" s="185"/>
      <c r="M34" s="239"/>
      <c r="N34" s="240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6"/>
      <c r="AA34" s="185"/>
      <c r="AB34" s="177"/>
      <c r="AC34" s="185"/>
      <c r="AD34" s="177"/>
      <c r="AE34" s="185"/>
      <c r="AF34" s="177"/>
      <c r="AG34" s="185"/>
      <c r="AH34" s="177"/>
      <c r="AI34" s="185"/>
      <c r="AJ34" s="186"/>
      <c r="AK34" s="185"/>
      <c r="AL34" s="206"/>
      <c r="AM34" s="185"/>
      <c r="AN34" s="206"/>
      <c r="AO34" s="185"/>
      <c r="AP34" s="206"/>
      <c r="AQ34" s="185"/>
      <c r="AR34" s="206"/>
      <c r="AS34" s="185"/>
      <c r="AT34" s="187"/>
      <c r="AU34" s="185"/>
      <c r="AV34" s="186"/>
      <c r="AW34" s="185"/>
      <c r="AX34" s="187">
        <f t="shared" ref="AX34:AX35" si="28">$AV34/5</f>
        <v>0</v>
      </c>
      <c r="AY34" s="185"/>
      <c r="AZ34" s="187">
        <f t="shared" ref="AZ34:AZ35" si="29">$AV34/5</f>
        <v>0</v>
      </c>
      <c r="BA34" s="185"/>
      <c r="BB34" s="187">
        <f t="shared" ref="BB34:BB35" si="30">$AV34/5</f>
        <v>0</v>
      </c>
      <c r="BC34" s="185"/>
      <c r="BD34" s="187">
        <f t="shared" ref="BD34:BD35" si="31">$AV34/5</f>
        <v>0</v>
      </c>
      <c r="BE34" s="185"/>
      <c r="BF34" s="187">
        <f t="shared" ref="BF34:BF35" si="32">$AV34/5</f>
        <v>0</v>
      </c>
      <c r="BG34" s="185"/>
      <c r="BH34" s="186"/>
      <c r="BI34" s="185"/>
      <c r="BJ34" s="188">
        <f>$BH34/4</f>
        <v>0</v>
      </c>
      <c r="BK34" s="185"/>
      <c r="BL34" s="187"/>
      <c r="BM34" s="185"/>
      <c r="BN34" s="187"/>
      <c r="BO34" s="185"/>
      <c r="BP34" s="187"/>
      <c r="BQ34" s="202">
        <f t="shared" ref="BQ34:BQ35" si="33">SUM(W34,Y34,AA34,AG34,AS34,BE34)</f>
        <v>0</v>
      </c>
      <c r="BR34" s="184">
        <f>SUM(D34,N34,Z34,AJ34,AV34,BH34)</f>
        <v>0</v>
      </c>
      <c r="BS34" s="185"/>
      <c r="BT34" s="189">
        <v>1.0</v>
      </c>
      <c r="BU34" s="185"/>
      <c r="BV34" s="189">
        <v>1.0</v>
      </c>
      <c r="BW34" s="185"/>
      <c r="BX34" s="189">
        <v>1.0</v>
      </c>
      <c r="BY34" s="176"/>
      <c r="BZ34" s="177"/>
      <c r="CA34" s="176"/>
      <c r="CB34" s="177"/>
      <c r="CC34" s="185"/>
      <c r="CD34" s="189">
        <v>1.0</v>
      </c>
      <c r="CE34" s="176"/>
      <c r="CF34" s="187"/>
      <c r="CG34" s="176"/>
      <c r="CH34" s="187"/>
      <c r="CI34" s="176"/>
      <c r="CJ34" s="187"/>
      <c r="CK34" s="176"/>
      <c r="CL34" s="187"/>
      <c r="CM34" s="176"/>
      <c r="CN34" s="187"/>
      <c r="CO34" s="185"/>
      <c r="CP34" s="189">
        <v>1.0</v>
      </c>
      <c r="CQ34" s="176"/>
      <c r="CR34" s="187"/>
      <c r="CS34" s="176"/>
      <c r="CT34" s="187"/>
      <c r="CU34" s="176"/>
      <c r="CV34" s="187"/>
      <c r="CW34" s="176"/>
      <c r="CX34" s="187"/>
      <c r="CY34" s="176"/>
      <c r="CZ34" s="187"/>
      <c r="DA34" s="185"/>
      <c r="DB34" s="189">
        <v>1.0</v>
      </c>
      <c r="DC34" s="176"/>
      <c r="DD34" s="187"/>
      <c r="DE34" s="176"/>
      <c r="DF34" s="187"/>
      <c r="DG34" s="176"/>
      <c r="DH34" s="187"/>
      <c r="DI34" s="176"/>
      <c r="DJ34" s="187"/>
      <c r="DK34" s="176"/>
      <c r="DL34" s="187"/>
      <c r="DM34" s="202">
        <f t="shared" ref="DM34:DN34" si="26">SUM(BS34,BU34,BW34,CC34,CO34,DA34)</f>
        <v>0</v>
      </c>
      <c r="DN34" s="184">
        <f t="shared" si="26"/>
        <v>6</v>
      </c>
      <c r="DO34" s="205">
        <f t="shared" ref="DO34:DP34" si="27">SUM(BQ34,DM34)</f>
        <v>0</v>
      </c>
      <c r="DP34" s="191">
        <f t="shared" si="27"/>
        <v>6</v>
      </c>
      <c r="DQ34" s="237"/>
      <c r="DR34" s="237"/>
    </row>
    <row r="35" ht="22.5" customHeight="1">
      <c r="A35" s="198"/>
      <c r="B35" s="159" t="s">
        <v>126</v>
      </c>
      <c r="C35" s="207"/>
      <c r="D35" s="240"/>
      <c r="E35" s="207">
        <v>6831.0</v>
      </c>
      <c r="F35" s="240">
        <v>9000.0</v>
      </c>
      <c r="G35" s="185"/>
      <c r="H35" s="185"/>
      <c r="I35" s="185"/>
      <c r="J35" s="185"/>
      <c r="K35" s="185"/>
      <c r="L35" s="185"/>
      <c r="M35" s="207"/>
      <c r="N35" s="240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6"/>
      <c r="AA35" s="185"/>
      <c r="AB35" s="177"/>
      <c r="AC35" s="185"/>
      <c r="AD35" s="177"/>
      <c r="AE35" s="185"/>
      <c r="AF35" s="177"/>
      <c r="AG35" s="185"/>
      <c r="AH35" s="177"/>
      <c r="AI35" s="185"/>
      <c r="AJ35" s="186"/>
      <c r="AK35" s="185"/>
      <c r="AL35" s="206"/>
      <c r="AM35" s="185"/>
      <c r="AN35" s="206"/>
      <c r="AO35" s="185"/>
      <c r="AP35" s="206"/>
      <c r="AQ35" s="185"/>
      <c r="AR35" s="206"/>
      <c r="AS35" s="185"/>
      <c r="AT35" s="187"/>
      <c r="AU35" s="185"/>
      <c r="AV35" s="199">
        <f>AV34*$B$17</f>
        <v>0</v>
      </c>
      <c r="AW35" s="185"/>
      <c r="AX35" s="204">
        <f t="shared" si="28"/>
        <v>0</v>
      </c>
      <c r="AY35" s="185"/>
      <c r="AZ35" s="204">
        <f t="shared" si="29"/>
        <v>0</v>
      </c>
      <c r="BA35" s="185"/>
      <c r="BB35" s="204">
        <f t="shared" si="30"/>
        <v>0</v>
      </c>
      <c r="BC35" s="185"/>
      <c r="BD35" s="204">
        <f t="shared" si="31"/>
        <v>0</v>
      </c>
      <c r="BE35" s="185"/>
      <c r="BF35" s="204">
        <f t="shared" si="32"/>
        <v>0</v>
      </c>
      <c r="BG35" s="185"/>
      <c r="BH35" s="199">
        <f>BH34*$B$17</f>
        <v>0</v>
      </c>
      <c r="BI35" s="185"/>
      <c r="BJ35" s="187"/>
      <c r="BK35" s="185"/>
      <c r="BL35" s="187"/>
      <c r="BM35" s="185"/>
      <c r="BN35" s="187"/>
      <c r="BO35" s="185"/>
      <c r="BP35" s="187"/>
      <c r="BQ35" s="208">
        <f t="shared" si="33"/>
        <v>0</v>
      </c>
      <c r="BR35" s="199">
        <f>BR34*$B$17</f>
        <v>0</v>
      </c>
      <c r="BS35" s="185"/>
      <c r="BT35" s="199">
        <v>20000.0</v>
      </c>
      <c r="BU35" s="185"/>
      <c r="BV35" s="199">
        <v>20000.0</v>
      </c>
      <c r="BW35" s="185"/>
      <c r="BX35" s="199">
        <v>20000.0</v>
      </c>
      <c r="BY35" s="176"/>
      <c r="BZ35" s="177"/>
      <c r="CA35" s="176"/>
      <c r="CB35" s="177"/>
      <c r="CC35" s="185"/>
      <c r="CD35" s="199">
        <v>20000.0</v>
      </c>
      <c r="CE35" s="176"/>
      <c r="CF35" s="187"/>
      <c r="CG35" s="176"/>
      <c r="CH35" s="187"/>
      <c r="CI35" s="176"/>
      <c r="CJ35" s="187"/>
      <c r="CK35" s="176"/>
      <c r="CL35" s="187"/>
      <c r="CM35" s="176"/>
      <c r="CN35" s="187"/>
      <c r="CO35" s="185"/>
      <c r="CP35" s="199">
        <v>20000.0</v>
      </c>
      <c r="CQ35" s="176"/>
      <c r="CR35" s="187"/>
      <c r="CS35" s="176"/>
      <c r="CT35" s="187"/>
      <c r="CU35" s="176"/>
      <c r="CV35" s="187"/>
      <c r="CW35" s="176"/>
      <c r="CX35" s="187"/>
      <c r="CY35" s="176"/>
      <c r="CZ35" s="187"/>
      <c r="DA35" s="185"/>
      <c r="DB35" s="199">
        <v>20000.0</v>
      </c>
      <c r="DC35" s="176"/>
      <c r="DD35" s="187"/>
      <c r="DE35" s="176"/>
      <c r="DF35" s="187"/>
      <c r="DG35" s="176"/>
      <c r="DH35" s="187"/>
      <c r="DI35" s="176"/>
      <c r="DJ35" s="187"/>
      <c r="DK35" s="176"/>
      <c r="DL35" s="187"/>
      <c r="DM35" s="208">
        <f t="shared" ref="DM35:DN35" si="34">SUM(BS35,BU35,BW35,CC35,CO35,DA35)</f>
        <v>0</v>
      </c>
      <c r="DN35" s="199">
        <f t="shared" si="34"/>
        <v>120000</v>
      </c>
      <c r="DO35" s="209">
        <f t="shared" ref="DO35:DP35" si="35">SUM(BQ35,DM35)</f>
        <v>0</v>
      </c>
      <c r="DP35" s="201">
        <f t="shared" si="35"/>
        <v>120000</v>
      </c>
      <c r="DQ35" s="237"/>
      <c r="DR35" s="237"/>
    </row>
    <row r="36" ht="22.5" customHeight="1">
      <c r="A36" s="198"/>
      <c r="B36" s="210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6"/>
      <c r="DQ36" s="237"/>
      <c r="DR36" s="237"/>
    </row>
    <row r="37" ht="22.5" customHeight="1">
      <c r="A37" s="237"/>
      <c r="B37" s="237"/>
      <c r="C37" s="170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  <c r="CA37" s="237"/>
      <c r="CB37" s="237"/>
      <c r="CC37" s="237"/>
      <c r="CD37" s="237"/>
      <c r="CE37" s="237"/>
      <c r="CF37" s="237"/>
      <c r="CG37" s="237"/>
      <c r="CH37" s="237"/>
      <c r="CI37" s="237"/>
      <c r="CJ37" s="237"/>
      <c r="CK37" s="237"/>
      <c r="CL37" s="237"/>
      <c r="CM37" s="237"/>
      <c r="CN37" s="237"/>
      <c r="CO37" s="237"/>
      <c r="CP37" s="237"/>
      <c r="CQ37" s="237"/>
      <c r="CR37" s="237"/>
      <c r="CS37" s="237"/>
      <c r="CT37" s="237"/>
      <c r="CU37" s="237"/>
      <c r="CV37" s="237"/>
      <c r="CW37" s="237"/>
      <c r="CX37" s="237"/>
      <c r="CY37" s="237"/>
      <c r="CZ37" s="237"/>
      <c r="DA37" s="237"/>
      <c r="DB37" s="237"/>
      <c r="DC37" s="237"/>
      <c r="DD37" s="237"/>
      <c r="DE37" s="237"/>
      <c r="DF37" s="237"/>
      <c r="DG37" s="237"/>
      <c r="DH37" s="237"/>
      <c r="DI37" s="237"/>
      <c r="DJ37" s="237"/>
      <c r="DK37" s="237"/>
      <c r="DL37" s="237"/>
      <c r="DM37" s="237"/>
      <c r="DN37" s="237"/>
      <c r="DO37" s="237"/>
      <c r="DP37" s="237"/>
      <c r="DQ37" s="237"/>
      <c r="DR37" s="237"/>
    </row>
    <row r="38" ht="15.75" customHeight="1">
      <c r="B38" s="34"/>
      <c r="E38" s="34"/>
      <c r="F38" s="34"/>
      <c r="G38" s="34"/>
      <c r="H38" s="34"/>
      <c r="I38" s="34"/>
      <c r="J38" s="34"/>
      <c r="K38" s="34"/>
      <c r="L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AA38" s="34"/>
      <c r="AB38" s="34"/>
      <c r="AC38" s="34"/>
      <c r="AD38" s="34"/>
      <c r="AE38" s="34"/>
      <c r="AF38" s="34"/>
      <c r="AG38" s="34"/>
      <c r="AH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I38" s="34"/>
      <c r="BJ38" s="34"/>
      <c r="BK38" s="34"/>
      <c r="BL38" s="34"/>
      <c r="BM38" s="34"/>
      <c r="BN38" s="34"/>
      <c r="BO38" s="34"/>
      <c r="BP38" s="34"/>
      <c r="BY38" s="34"/>
      <c r="BZ38" s="34"/>
      <c r="CA38" s="34"/>
      <c r="CB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</row>
    <row r="39" ht="15.75" customHeight="1">
      <c r="B39" s="34"/>
      <c r="E39" s="34"/>
      <c r="F39" s="34"/>
      <c r="G39" s="34"/>
      <c r="H39" s="34"/>
      <c r="I39" s="34"/>
      <c r="J39" s="34"/>
      <c r="K39" s="34"/>
      <c r="L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AA39" s="34"/>
      <c r="AB39" s="34"/>
      <c r="AC39" s="34"/>
      <c r="AD39" s="34"/>
      <c r="AE39" s="34"/>
      <c r="AF39" s="34"/>
      <c r="AG39" s="34"/>
      <c r="AH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I39" s="34"/>
      <c r="BJ39" s="34"/>
      <c r="BK39" s="34"/>
      <c r="BL39" s="34"/>
      <c r="BM39" s="34"/>
      <c r="BN39" s="34"/>
      <c r="BO39" s="34"/>
      <c r="BP39" s="34"/>
      <c r="BY39" s="34"/>
      <c r="BZ39" s="34"/>
      <c r="CA39" s="34"/>
      <c r="CB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</row>
    <row r="40" ht="15.75" customHeight="1">
      <c r="B40" s="34"/>
      <c r="E40" s="34"/>
      <c r="F40" s="34"/>
      <c r="G40" s="34"/>
      <c r="H40" s="34"/>
      <c r="I40" s="34"/>
      <c r="J40" s="34"/>
      <c r="K40" s="34"/>
      <c r="L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AA40" s="34"/>
      <c r="AB40" s="34"/>
      <c r="AC40" s="34"/>
      <c r="AD40" s="34"/>
      <c r="AE40" s="34"/>
      <c r="AF40" s="34"/>
      <c r="AG40" s="34"/>
      <c r="AH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I40" s="34"/>
      <c r="BJ40" s="34"/>
      <c r="BK40" s="34"/>
      <c r="BL40" s="34"/>
      <c r="BM40" s="34"/>
      <c r="BN40" s="34"/>
      <c r="BO40" s="34"/>
      <c r="BP40" s="34"/>
      <c r="BY40" s="34"/>
      <c r="BZ40" s="34"/>
      <c r="CA40" s="34"/>
      <c r="CB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</row>
    <row r="41" ht="15.75" customHeight="1">
      <c r="B41" s="34"/>
      <c r="E41" s="34"/>
      <c r="F41" s="34"/>
      <c r="G41" s="34"/>
      <c r="H41" s="34"/>
      <c r="I41" s="34"/>
      <c r="J41" s="34"/>
      <c r="K41" s="34"/>
      <c r="L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AA41" s="34"/>
      <c r="AB41" s="34"/>
      <c r="AC41" s="34"/>
      <c r="AD41" s="34"/>
      <c r="AE41" s="34"/>
      <c r="AF41" s="34"/>
      <c r="AG41" s="34"/>
      <c r="AH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I41" s="34"/>
      <c r="BJ41" s="34"/>
      <c r="BK41" s="34"/>
      <c r="BL41" s="34"/>
      <c r="BM41" s="34"/>
      <c r="BN41" s="34"/>
      <c r="BO41" s="34"/>
      <c r="BP41" s="34"/>
      <c r="BY41" s="34"/>
      <c r="BZ41" s="34"/>
      <c r="CA41" s="34"/>
      <c r="CB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</row>
    <row r="42" ht="15.75" customHeight="1">
      <c r="B42" s="34"/>
      <c r="E42" s="34"/>
      <c r="F42" s="34"/>
      <c r="G42" s="34"/>
      <c r="H42" s="34"/>
      <c r="I42" s="34"/>
      <c r="J42" s="34"/>
      <c r="K42" s="34"/>
      <c r="L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AA42" s="34"/>
      <c r="AB42" s="34"/>
      <c r="AC42" s="34"/>
      <c r="AD42" s="34"/>
      <c r="AE42" s="34"/>
      <c r="AF42" s="34"/>
      <c r="AG42" s="34"/>
      <c r="AH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I42" s="34"/>
      <c r="BJ42" s="34"/>
      <c r="BK42" s="34"/>
      <c r="BL42" s="34"/>
      <c r="BM42" s="34"/>
      <c r="BN42" s="34"/>
      <c r="BO42" s="34"/>
      <c r="BP42" s="34"/>
      <c r="BY42" s="34"/>
      <c r="BZ42" s="34"/>
      <c r="CA42" s="34"/>
      <c r="CB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</row>
    <row r="43" ht="15.75" customHeight="1">
      <c r="B43" s="34"/>
      <c r="E43" s="34"/>
      <c r="F43" s="34"/>
      <c r="G43" s="34"/>
      <c r="H43" s="34"/>
      <c r="I43" s="34"/>
      <c r="J43" s="34"/>
      <c r="K43" s="34"/>
      <c r="L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AA43" s="34"/>
      <c r="AB43" s="34"/>
      <c r="AC43" s="34"/>
      <c r="AD43" s="34"/>
      <c r="AE43" s="34"/>
      <c r="AF43" s="34"/>
      <c r="AG43" s="34"/>
      <c r="AH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I43" s="34"/>
      <c r="BJ43" s="34"/>
      <c r="BK43" s="34"/>
      <c r="BL43" s="34"/>
      <c r="BM43" s="34"/>
      <c r="BN43" s="34"/>
      <c r="BO43" s="34"/>
      <c r="BP43" s="34"/>
      <c r="BY43" s="34"/>
      <c r="BZ43" s="34"/>
      <c r="CA43" s="34"/>
      <c r="CB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</row>
    <row r="44" ht="15.75" customHeight="1">
      <c r="B44" s="34"/>
      <c r="E44" s="34"/>
      <c r="F44" s="34"/>
      <c r="G44" s="34"/>
      <c r="H44" s="34"/>
      <c r="I44" s="34"/>
      <c r="J44" s="34"/>
      <c r="K44" s="34"/>
      <c r="L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AA44" s="34"/>
      <c r="AB44" s="34"/>
      <c r="AC44" s="34"/>
      <c r="AD44" s="34"/>
      <c r="AE44" s="34"/>
      <c r="AF44" s="34"/>
      <c r="AG44" s="34"/>
      <c r="AH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I44" s="34"/>
      <c r="BJ44" s="34"/>
      <c r="BK44" s="34"/>
      <c r="BL44" s="34"/>
      <c r="BM44" s="34"/>
      <c r="BN44" s="34"/>
      <c r="BO44" s="34"/>
      <c r="BP44" s="34"/>
      <c r="BY44" s="34"/>
      <c r="BZ44" s="34"/>
      <c r="CA44" s="34"/>
      <c r="CB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</row>
    <row r="45" ht="15.75" customHeight="1">
      <c r="B45" s="34"/>
      <c r="E45" s="34"/>
      <c r="F45" s="34"/>
      <c r="G45" s="34"/>
      <c r="H45" s="34"/>
      <c r="I45" s="34"/>
      <c r="J45" s="34"/>
      <c r="K45" s="34"/>
      <c r="L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AA45" s="34"/>
      <c r="AB45" s="34"/>
      <c r="AC45" s="34"/>
      <c r="AD45" s="34"/>
      <c r="AE45" s="34"/>
      <c r="AF45" s="34"/>
      <c r="AG45" s="34"/>
      <c r="AH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I45" s="34"/>
      <c r="BJ45" s="34"/>
      <c r="BK45" s="34"/>
      <c r="BL45" s="34"/>
      <c r="BM45" s="34"/>
      <c r="BN45" s="34"/>
      <c r="BO45" s="34"/>
      <c r="BP45" s="34"/>
      <c r="BY45" s="34"/>
      <c r="BZ45" s="34"/>
      <c r="CA45" s="34"/>
      <c r="CB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</row>
    <row r="46" ht="15.75" customHeight="1">
      <c r="B46" s="34"/>
      <c r="E46" s="34"/>
      <c r="F46" s="34"/>
      <c r="G46" s="34"/>
      <c r="H46" s="34"/>
      <c r="I46" s="34"/>
      <c r="J46" s="34"/>
      <c r="K46" s="34"/>
      <c r="L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AA46" s="34"/>
      <c r="AB46" s="34"/>
      <c r="AC46" s="34"/>
      <c r="AD46" s="34"/>
      <c r="AE46" s="34"/>
      <c r="AF46" s="34"/>
      <c r="AG46" s="34"/>
      <c r="AH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I46" s="34"/>
      <c r="BJ46" s="34"/>
      <c r="BK46" s="34"/>
      <c r="BL46" s="34"/>
      <c r="BM46" s="34"/>
      <c r="BN46" s="34"/>
      <c r="BO46" s="34"/>
      <c r="BP46" s="34"/>
      <c r="BY46" s="34"/>
      <c r="BZ46" s="34"/>
      <c r="CA46" s="34"/>
      <c r="CB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</row>
    <row r="47" ht="15.75" customHeight="1">
      <c r="B47" s="34"/>
      <c r="E47" s="34"/>
      <c r="F47" s="34"/>
      <c r="G47" s="34"/>
      <c r="H47" s="34"/>
      <c r="I47" s="34"/>
      <c r="J47" s="34"/>
      <c r="K47" s="34"/>
      <c r="L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AA47" s="34"/>
      <c r="AB47" s="34"/>
      <c r="AC47" s="34"/>
      <c r="AD47" s="34"/>
      <c r="AE47" s="34"/>
      <c r="AF47" s="34"/>
      <c r="AG47" s="34"/>
      <c r="AH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I47" s="34"/>
      <c r="BJ47" s="34"/>
      <c r="BK47" s="34"/>
      <c r="BL47" s="34"/>
      <c r="BM47" s="34"/>
      <c r="BN47" s="34"/>
      <c r="BO47" s="34"/>
      <c r="BP47" s="34"/>
      <c r="BY47" s="34"/>
      <c r="BZ47" s="34"/>
      <c r="CA47" s="34"/>
      <c r="CB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</row>
    <row r="48" ht="15.75" customHeight="1">
      <c r="B48" s="34"/>
      <c r="E48" s="34"/>
      <c r="F48" s="34"/>
      <c r="G48" s="34"/>
      <c r="H48" s="34"/>
      <c r="I48" s="34"/>
      <c r="J48" s="34"/>
      <c r="K48" s="34"/>
      <c r="L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AA48" s="34"/>
      <c r="AB48" s="34"/>
      <c r="AC48" s="34"/>
      <c r="AD48" s="34"/>
      <c r="AE48" s="34"/>
      <c r="AF48" s="34"/>
      <c r="AG48" s="34"/>
      <c r="AH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I48" s="34"/>
      <c r="BJ48" s="34"/>
      <c r="BK48" s="34"/>
      <c r="BL48" s="34"/>
      <c r="BM48" s="34"/>
      <c r="BN48" s="34"/>
      <c r="BO48" s="34"/>
      <c r="BP48" s="34"/>
      <c r="BY48" s="34"/>
      <c r="BZ48" s="34"/>
      <c r="CA48" s="34"/>
      <c r="CB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</row>
    <row r="49" ht="15.75" customHeight="1">
      <c r="B49" s="34"/>
      <c r="E49" s="34"/>
      <c r="F49" s="34"/>
      <c r="G49" s="34"/>
      <c r="H49" s="34"/>
      <c r="I49" s="34"/>
      <c r="J49" s="34"/>
      <c r="K49" s="34"/>
      <c r="L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AA49" s="34"/>
      <c r="AB49" s="34"/>
      <c r="AC49" s="34"/>
      <c r="AD49" s="34"/>
      <c r="AE49" s="34"/>
      <c r="AF49" s="34"/>
      <c r="AG49" s="34"/>
      <c r="AH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I49" s="34"/>
      <c r="BJ49" s="34"/>
      <c r="BK49" s="34"/>
      <c r="BL49" s="34"/>
      <c r="BM49" s="34"/>
      <c r="BN49" s="34"/>
      <c r="BO49" s="34"/>
      <c r="BP49" s="34"/>
      <c r="BY49" s="34"/>
      <c r="BZ49" s="34"/>
      <c r="CA49" s="34"/>
      <c r="CB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</row>
    <row r="50" ht="15.75" customHeight="1">
      <c r="B50" s="34"/>
      <c r="E50" s="34"/>
      <c r="F50" s="34"/>
      <c r="G50" s="34"/>
      <c r="H50" s="34"/>
      <c r="I50" s="34"/>
      <c r="J50" s="34"/>
      <c r="K50" s="34"/>
      <c r="L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AA50" s="34"/>
      <c r="AB50" s="34"/>
      <c r="AC50" s="34"/>
      <c r="AD50" s="34"/>
      <c r="AE50" s="34"/>
      <c r="AF50" s="34"/>
      <c r="AG50" s="34"/>
      <c r="AH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I50" s="34"/>
      <c r="BJ50" s="34"/>
      <c r="BK50" s="34"/>
      <c r="BL50" s="34"/>
      <c r="BM50" s="34"/>
      <c r="BN50" s="34"/>
      <c r="BO50" s="34"/>
      <c r="BP50" s="34"/>
      <c r="BY50" s="34"/>
      <c r="BZ50" s="34"/>
      <c r="CA50" s="34"/>
      <c r="CB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</row>
    <row r="51" ht="15.75" customHeight="1">
      <c r="B51" s="34"/>
      <c r="E51" s="34"/>
      <c r="F51" s="34"/>
      <c r="G51" s="34"/>
      <c r="H51" s="34"/>
      <c r="I51" s="34"/>
      <c r="J51" s="34"/>
      <c r="K51" s="34"/>
      <c r="L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AA51" s="34"/>
      <c r="AB51" s="34"/>
      <c r="AC51" s="34"/>
      <c r="AD51" s="34"/>
      <c r="AE51" s="34"/>
      <c r="AF51" s="34"/>
      <c r="AG51" s="34"/>
      <c r="AH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I51" s="34"/>
      <c r="BJ51" s="34"/>
      <c r="BK51" s="34"/>
      <c r="BL51" s="34"/>
      <c r="BM51" s="34"/>
      <c r="BN51" s="34"/>
      <c r="BO51" s="34"/>
      <c r="BP51" s="34"/>
      <c r="BY51" s="34"/>
      <c r="BZ51" s="34"/>
      <c r="CA51" s="34"/>
      <c r="CB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</row>
    <row r="52" ht="15.75" customHeight="1">
      <c r="B52" s="34"/>
      <c r="E52" s="34"/>
      <c r="F52" s="34"/>
      <c r="G52" s="34"/>
      <c r="H52" s="34"/>
      <c r="I52" s="34"/>
      <c r="J52" s="34"/>
      <c r="K52" s="34"/>
      <c r="L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AA52" s="34"/>
      <c r="AB52" s="34"/>
      <c r="AC52" s="34"/>
      <c r="AD52" s="34"/>
      <c r="AE52" s="34"/>
      <c r="AF52" s="34"/>
      <c r="AG52" s="34"/>
      <c r="AH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I52" s="34"/>
      <c r="BJ52" s="34"/>
      <c r="BK52" s="34"/>
      <c r="BL52" s="34"/>
      <c r="BM52" s="34"/>
      <c r="BN52" s="34"/>
      <c r="BO52" s="34"/>
      <c r="BP52" s="34"/>
      <c r="BY52" s="34"/>
      <c r="BZ52" s="34"/>
      <c r="CA52" s="34"/>
      <c r="CB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</row>
    <row r="53" ht="15.75" customHeight="1">
      <c r="B53" s="34"/>
      <c r="E53" s="34"/>
      <c r="F53" s="34"/>
      <c r="G53" s="34"/>
      <c r="H53" s="34"/>
      <c r="I53" s="34"/>
      <c r="J53" s="34"/>
      <c r="K53" s="34"/>
      <c r="L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AA53" s="34"/>
      <c r="AB53" s="34"/>
      <c r="AC53" s="34"/>
      <c r="AD53" s="34"/>
      <c r="AE53" s="34"/>
      <c r="AF53" s="34"/>
      <c r="AG53" s="34"/>
      <c r="AH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I53" s="34"/>
      <c r="BJ53" s="34"/>
      <c r="BK53" s="34"/>
      <c r="BL53" s="34"/>
      <c r="BM53" s="34"/>
      <c r="BN53" s="34"/>
      <c r="BO53" s="34"/>
      <c r="BP53" s="34"/>
      <c r="BY53" s="34"/>
      <c r="BZ53" s="34"/>
      <c r="CA53" s="34"/>
      <c r="CB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</row>
    <row r="54" ht="15.75" customHeight="1">
      <c r="B54" s="34"/>
      <c r="E54" s="34"/>
      <c r="F54" s="34"/>
      <c r="G54" s="34"/>
      <c r="H54" s="34"/>
      <c r="I54" s="34"/>
      <c r="J54" s="34"/>
      <c r="K54" s="34"/>
      <c r="L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AA54" s="34"/>
      <c r="AB54" s="34"/>
      <c r="AC54" s="34"/>
      <c r="AD54" s="34"/>
      <c r="AE54" s="34"/>
      <c r="AF54" s="34"/>
      <c r="AG54" s="34"/>
      <c r="AH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I54" s="34"/>
      <c r="BJ54" s="34"/>
      <c r="BK54" s="34"/>
      <c r="BL54" s="34"/>
      <c r="BM54" s="34"/>
      <c r="BN54" s="34"/>
      <c r="BO54" s="34"/>
      <c r="BP54" s="34"/>
      <c r="BY54" s="34"/>
      <c r="BZ54" s="34"/>
      <c r="CA54" s="34"/>
      <c r="CB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</row>
    <row r="55" ht="15.75" customHeight="1">
      <c r="B55" s="34"/>
      <c r="E55" s="34"/>
      <c r="F55" s="34"/>
      <c r="G55" s="34"/>
      <c r="H55" s="34"/>
      <c r="I55" s="34"/>
      <c r="J55" s="34"/>
      <c r="K55" s="34"/>
      <c r="L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AA55" s="34"/>
      <c r="AB55" s="34"/>
      <c r="AC55" s="34"/>
      <c r="AD55" s="34"/>
      <c r="AE55" s="34"/>
      <c r="AF55" s="34"/>
      <c r="AG55" s="34"/>
      <c r="AH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I55" s="34"/>
      <c r="BJ55" s="34"/>
      <c r="BK55" s="34"/>
      <c r="BL55" s="34"/>
      <c r="BM55" s="34"/>
      <c r="BN55" s="34"/>
      <c r="BO55" s="34"/>
      <c r="BP55" s="34"/>
      <c r="BY55" s="34"/>
      <c r="BZ55" s="34"/>
      <c r="CA55" s="34"/>
      <c r="CB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</row>
    <row r="56" ht="15.75" customHeight="1">
      <c r="B56" s="34"/>
      <c r="E56" s="34"/>
      <c r="F56" s="34"/>
      <c r="G56" s="34"/>
      <c r="H56" s="34"/>
      <c r="I56" s="34"/>
      <c r="J56" s="34"/>
      <c r="K56" s="34"/>
      <c r="L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AA56" s="34"/>
      <c r="AB56" s="34"/>
      <c r="AC56" s="34"/>
      <c r="AD56" s="34"/>
      <c r="AE56" s="34"/>
      <c r="AF56" s="34"/>
      <c r="AG56" s="34"/>
      <c r="AH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I56" s="34"/>
      <c r="BJ56" s="34"/>
      <c r="BK56" s="34"/>
      <c r="BL56" s="34"/>
      <c r="BM56" s="34"/>
      <c r="BN56" s="34"/>
      <c r="BO56" s="34"/>
      <c r="BP56" s="34"/>
      <c r="BY56" s="34"/>
      <c r="BZ56" s="34"/>
      <c r="CA56" s="34"/>
      <c r="CB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</row>
    <row r="57" ht="15.75" customHeight="1">
      <c r="B57" s="34"/>
      <c r="E57" s="34"/>
      <c r="F57" s="34"/>
      <c r="G57" s="34"/>
      <c r="H57" s="34"/>
      <c r="I57" s="34"/>
      <c r="J57" s="34"/>
      <c r="K57" s="34"/>
      <c r="L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AA57" s="34"/>
      <c r="AB57" s="34"/>
      <c r="AC57" s="34"/>
      <c r="AD57" s="34"/>
      <c r="AE57" s="34"/>
      <c r="AF57" s="34"/>
      <c r="AG57" s="34"/>
      <c r="AH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I57" s="34"/>
      <c r="BJ57" s="34"/>
      <c r="BK57" s="34"/>
      <c r="BL57" s="34"/>
      <c r="BM57" s="34"/>
      <c r="BN57" s="34"/>
      <c r="BO57" s="34"/>
      <c r="BP57" s="34"/>
      <c r="BY57" s="34"/>
      <c r="BZ57" s="34"/>
      <c r="CA57" s="34"/>
      <c r="CB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</row>
    <row r="58" ht="15.75" customHeight="1">
      <c r="B58" s="34"/>
      <c r="E58" s="34"/>
      <c r="F58" s="34"/>
      <c r="G58" s="34"/>
      <c r="H58" s="34"/>
      <c r="I58" s="34"/>
      <c r="J58" s="34"/>
      <c r="K58" s="34"/>
      <c r="L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AA58" s="34"/>
      <c r="AB58" s="34"/>
      <c r="AC58" s="34"/>
      <c r="AD58" s="34"/>
      <c r="AE58" s="34"/>
      <c r="AF58" s="34"/>
      <c r="AG58" s="34"/>
      <c r="AH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I58" s="34"/>
      <c r="BJ58" s="34"/>
      <c r="BK58" s="34"/>
      <c r="BL58" s="34"/>
      <c r="BM58" s="34"/>
      <c r="BN58" s="34"/>
      <c r="BO58" s="34"/>
      <c r="BP58" s="34"/>
      <c r="BY58" s="34"/>
      <c r="BZ58" s="34"/>
      <c r="CA58" s="34"/>
      <c r="CB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</row>
    <row r="59" ht="15.75" customHeight="1">
      <c r="B59" s="34"/>
      <c r="E59" s="34"/>
      <c r="F59" s="34"/>
      <c r="G59" s="34"/>
      <c r="H59" s="34"/>
      <c r="I59" s="34"/>
      <c r="J59" s="34"/>
      <c r="K59" s="34"/>
      <c r="L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AA59" s="34"/>
      <c r="AB59" s="34"/>
      <c r="AC59" s="34"/>
      <c r="AD59" s="34"/>
      <c r="AE59" s="34"/>
      <c r="AF59" s="34"/>
      <c r="AG59" s="34"/>
      <c r="AH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I59" s="34"/>
      <c r="BJ59" s="34"/>
      <c r="BK59" s="34"/>
      <c r="BL59" s="34"/>
      <c r="BM59" s="34"/>
      <c r="BN59" s="34"/>
      <c r="BO59" s="34"/>
      <c r="BP59" s="34"/>
      <c r="BY59" s="34"/>
      <c r="BZ59" s="34"/>
      <c r="CA59" s="34"/>
      <c r="CB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</row>
    <row r="60" ht="15.75" customHeight="1">
      <c r="B60" s="34"/>
      <c r="E60" s="34"/>
      <c r="F60" s="34"/>
      <c r="G60" s="34"/>
      <c r="H60" s="34"/>
      <c r="I60" s="34"/>
      <c r="J60" s="34"/>
      <c r="K60" s="34"/>
      <c r="L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AA60" s="34"/>
      <c r="AB60" s="34"/>
      <c r="AC60" s="34"/>
      <c r="AD60" s="34"/>
      <c r="AE60" s="34"/>
      <c r="AF60" s="34"/>
      <c r="AG60" s="34"/>
      <c r="AH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I60" s="34"/>
      <c r="BJ60" s="34"/>
      <c r="BK60" s="34"/>
      <c r="BL60" s="34"/>
      <c r="BM60" s="34"/>
      <c r="BN60" s="34"/>
      <c r="BO60" s="34"/>
      <c r="BP60" s="34"/>
      <c r="BY60" s="34"/>
      <c r="BZ60" s="34"/>
      <c r="CA60" s="34"/>
      <c r="CB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</row>
    <row r="61" ht="15.75" customHeight="1">
      <c r="B61" s="34"/>
      <c r="E61" s="34"/>
      <c r="F61" s="34"/>
      <c r="G61" s="34"/>
      <c r="H61" s="34"/>
      <c r="I61" s="34"/>
      <c r="J61" s="34"/>
      <c r="K61" s="34"/>
      <c r="L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AA61" s="34"/>
      <c r="AB61" s="34"/>
      <c r="AC61" s="34"/>
      <c r="AD61" s="34"/>
      <c r="AE61" s="34"/>
      <c r="AF61" s="34"/>
      <c r="AG61" s="34"/>
      <c r="AH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I61" s="34"/>
      <c r="BJ61" s="34"/>
      <c r="BK61" s="34"/>
      <c r="BL61" s="34"/>
      <c r="BM61" s="34"/>
      <c r="BN61" s="34"/>
      <c r="BO61" s="34"/>
      <c r="BP61" s="34"/>
      <c r="BY61" s="34"/>
      <c r="BZ61" s="34"/>
      <c r="CA61" s="34"/>
      <c r="CB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</row>
    <row r="62" ht="15.75" customHeight="1">
      <c r="B62" s="34"/>
      <c r="E62" s="34"/>
      <c r="F62" s="34"/>
      <c r="G62" s="34"/>
      <c r="H62" s="34"/>
      <c r="I62" s="34"/>
      <c r="J62" s="34"/>
      <c r="K62" s="34"/>
      <c r="L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AA62" s="34"/>
      <c r="AB62" s="34"/>
      <c r="AC62" s="34"/>
      <c r="AD62" s="34"/>
      <c r="AE62" s="34"/>
      <c r="AF62" s="34"/>
      <c r="AG62" s="34"/>
      <c r="AH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I62" s="34"/>
      <c r="BJ62" s="34"/>
      <c r="BK62" s="34"/>
      <c r="BL62" s="34"/>
      <c r="BM62" s="34"/>
      <c r="BN62" s="34"/>
      <c r="BO62" s="34"/>
      <c r="BP62" s="34"/>
      <c r="BY62" s="34"/>
      <c r="BZ62" s="34"/>
      <c r="CA62" s="34"/>
      <c r="CB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</row>
    <row r="63" ht="15.75" customHeight="1">
      <c r="B63" s="34"/>
      <c r="E63" s="34"/>
      <c r="F63" s="34"/>
      <c r="G63" s="34"/>
      <c r="H63" s="34"/>
      <c r="I63" s="34"/>
      <c r="J63" s="34"/>
      <c r="K63" s="34"/>
      <c r="L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AA63" s="34"/>
      <c r="AB63" s="34"/>
      <c r="AC63" s="34"/>
      <c r="AD63" s="34"/>
      <c r="AE63" s="34"/>
      <c r="AF63" s="34"/>
      <c r="AG63" s="34"/>
      <c r="AH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I63" s="34"/>
      <c r="BJ63" s="34"/>
      <c r="BK63" s="34"/>
      <c r="BL63" s="34"/>
      <c r="BM63" s="34"/>
      <c r="BN63" s="34"/>
      <c r="BO63" s="34"/>
      <c r="BP63" s="34"/>
      <c r="BY63" s="34"/>
      <c r="BZ63" s="34"/>
      <c r="CA63" s="34"/>
      <c r="CB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</row>
    <row r="64" ht="15.75" customHeight="1">
      <c r="B64" s="34"/>
      <c r="E64" s="34"/>
      <c r="F64" s="34"/>
      <c r="G64" s="34"/>
      <c r="H64" s="34"/>
      <c r="I64" s="34"/>
      <c r="J64" s="34"/>
      <c r="K64" s="34"/>
      <c r="L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AA64" s="34"/>
      <c r="AB64" s="34"/>
      <c r="AC64" s="34"/>
      <c r="AD64" s="34"/>
      <c r="AE64" s="34"/>
      <c r="AF64" s="34"/>
      <c r="AG64" s="34"/>
      <c r="AH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I64" s="34"/>
      <c r="BJ64" s="34"/>
      <c r="BK64" s="34"/>
      <c r="BL64" s="34"/>
      <c r="BM64" s="34"/>
      <c r="BN64" s="34"/>
      <c r="BO64" s="34"/>
      <c r="BP64" s="34"/>
      <c r="BY64" s="34"/>
      <c r="BZ64" s="34"/>
      <c r="CA64" s="34"/>
      <c r="CB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</row>
    <row r="65" ht="15.75" customHeight="1">
      <c r="B65" s="34"/>
      <c r="E65" s="34"/>
      <c r="F65" s="34"/>
      <c r="G65" s="34"/>
      <c r="H65" s="34"/>
      <c r="I65" s="34"/>
      <c r="J65" s="34"/>
      <c r="K65" s="34"/>
      <c r="L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AA65" s="34"/>
      <c r="AB65" s="34"/>
      <c r="AC65" s="34"/>
      <c r="AD65" s="34"/>
      <c r="AE65" s="34"/>
      <c r="AF65" s="34"/>
      <c r="AG65" s="34"/>
      <c r="AH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I65" s="34"/>
      <c r="BJ65" s="34"/>
      <c r="BK65" s="34"/>
      <c r="BL65" s="34"/>
      <c r="BM65" s="34"/>
      <c r="BN65" s="34"/>
      <c r="BO65" s="34"/>
      <c r="BP65" s="34"/>
      <c r="BY65" s="34"/>
      <c r="BZ65" s="34"/>
      <c r="CA65" s="34"/>
      <c r="CB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</row>
    <row r="66" ht="15.75" customHeight="1">
      <c r="B66" s="34"/>
      <c r="E66" s="34"/>
      <c r="F66" s="34"/>
      <c r="G66" s="34"/>
      <c r="H66" s="34"/>
      <c r="I66" s="34"/>
      <c r="J66" s="34"/>
      <c r="K66" s="34"/>
      <c r="L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AA66" s="34"/>
      <c r="AB66" s="34"/>
      <c r="AC66" s="34"/>
      <c r="AD66" s="34"/>
      <c r="AE66" s="34"/>
      <c r="AF66" s="34"/>
      <c r="AG66" s="34"/>
      <c r="AH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I66" s="34"/>
      <c r="BJ66" s="34"/>
      <c r="BK66" s="34"/>
      <c r="BL66" s="34"/>
      <c r="BM66" s="34"/>
      <c r="BN66" s="34"/>
      <c r="BO66" s="34"/>
      <c r="BP66" s="34"/>
      <c r="BY66" s="34"/>
      <c r="BZ66" s="34"/>
      <c r="CA66" s="34"/>
      <c r="CB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</row>
    <row r="67" ht="15.75" customHeight="1">
      <c r="B67" s="34"/>
      <c r="E67" s="34"/>
      <c r="F67" s="34"/>
      <c r="G67" s="34"/>
      <c r="H67" s="34"/>
      <c r="I67" s="34"/>
      <c r="J67" s="34"/>
      <c r="K67" s="34"/>
      <c r="L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AA67" s="34"/>
      <c r="AB67" s="34"/>
      <c r="AC67" s="34"/>
      <c r="AD67" s="34"/>
      <c r="AE67" s="34"/>
      <c r="AF67" s="34"/>
      <c r="AG67" s="34"/>
      <c r="AH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I67" s="34"/>
      <c r="BJ67" s="34"/>
      <c r="BK67" s="34"/>
      <c r="BL67" s="34"/>
      <c r="BM67" s="34"/>
      <c r="BN67" s="34"/>
      <c r="BO67" s="34"/>
      <c r="BP67" s="34"/>
      <c r="BY67" s="34"/>
      <c r="BZ67" s="34"/>
      <c r="CA67" s="34"/>
      <c r="CB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</row>
    <row r="68" ht="15.75" customHeight="1">
      <c r="B68" s="34"/>
      <c r="E68" s="34"/>
      <c r="F68" s="34"/>
      <c r="G68" s="34"/>
      <c r="H68" s="34"/>
      <c r="I68" s="34"/>
      <c r="J68" s="34"/>
      <c r="K68" s="34"/>
      <c r="L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AA68" s="34"/>
      <c r="AB68" s="34"/>
      <c r="AC68" s="34"/>
      <c r="AD68" s="34"/>
      <c r="AE68" s="34"/>
      <c r="AF68" s="34"/>
      <c r="AG68" s="34"/>
      <c r="AH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I68" s="34"/>
      <c r="BJ68" s="34"/>
      <c r="BK68" s="34"/>
      <c r="BL68" s="34"/>
      <c r="BM68" s="34"/>
      <c r="BN68" s="34"/>
      <c r="BO68" s="34"/>
      <c r="BP68" s="34"/>
      <c r="BY68" s="34"/>
      <c r="BZ68" s="34"/>
      <c r="CA68" s="34"/>
      <c r="CB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</row>
    <row r="69" ht="15.75" customHeight="1">
      <c r="B69" s="34"/>
      <c r="E69" s="34"/>
      <c r="F69" s="34"/>
      <c r="G69" s="34"/>
      <c r="H69" s="34"/>
      <c r="I69" s="34"/>
      <c r="J69" s="34"/>
      <c r="K69" s="34"/>
      <c r="L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AA69" s="34"/>
      <c r="AB69" s="34"/>
      <c r="AC69" s="34"/>
      <c r="AD69" s="34"/>
      <c r="AE69" s="34"/>
      <c r="AF69" s="34"/>
      <c r="AG69" s="34"/>
      <c r="AH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I69" s="34"/>
      <c r="BJ69" s="34"/>
      <c r="BK69" s="34"/>
      <c r="BL69" s="34"/>
      <c r="BM69" s="34"/>
      <c r="BN69" s="34"/>
      <c r="BO69" s="34"/>
      <c r="BP69" s="34"/>
      <c r="BY69" s="34"/>
      <c r="BZ69" s="34"/>
      <c r="CA69" s="34"/>
      <c r="CB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</row>
    <row r="70" ht="15.75" customHeight="1">
      <c r="B70" s="34"/>
      <c r="E70" s="34"/>
      <c r="F70" s="34"/>
      <c r="G70" s="34"/>
      <c r="H70" s="34"/>
      <c r="I70" s="34"/>
      <c r="J70" s="34"/>
      <c r="K70" s="34"/>
      <c r="L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AA70" s="34"/>
      <c r="AB70" s="34"/>
      <c r="AC70" s="34"/>
      <c r="AD70" s="34"/>
      <c r="AE70" s="34"/>
      <c r="AF70" s="34"/>
      <c r="AG70" s="34"/>
      <c r="AH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I70" s="34"/>
      <c r="BJ70" s="34"/>
      <c r="BK70" s="34"/>
      <c r="BL70" s="34"/>
      <c r="BM70" s="34"/>
      <c r="BN70" s="34"/>
      <c r="BO70" s="34"/>
      <c r="BP70" s="34"/>
      <c r="BY70" s="34"/>
      <c r="BZ70" s="34"/>
      <c r="CA70" s="34"/>
      <c r="CB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</row>
    <row r="71" ht="15.75" customHeight="1">
      <c r="B71" s="34"/>
      <c r="E71" s="34"/>
      <c r="F71" s="34"/>
      <c r="G71" s="34"/>
      <c r="H71" s="34"/>
      <c r="I71" s="34"/>
      <c r="J71" s="34"/>
      <c r="K71" s="34"/>
      <c r="L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AA71" s="34"/>
      <c r="AB71" s="34"/>
      <c r="AC71" s="34"/>
      <c r="AD71" s="34"/>
      <c r="AE71" s="34"/>
      <c r="AF71" s="34"/>
      <c r="AG71" s="34"/>
      <c r="AH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I71" s="34"/>
      <c r="BJ71" s="34"/>
      <c r="BK71" s="34"/>
      <c r="BL71" s="34"/>
      <c r="BM71" s="34"/>
      <c r="BN71" s="34"/>
      <c r="BO71" s="34"/>
      <c r="BP71" s="34"/>
      <c r="BY71" s="34"/>
      <c r="BZ71" s="34"/>
      <c r="CA71" s="34"/>
      <c r="CB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</row>
    <row r="72" ht="15.75" customHeight="1">
      <c r="B72" s="34"/>
      <c r="E72" s="34"/>
      <c r="F72" s="34"/>
      <c r="G72" s="34"/>
      <c r="H72" s="34"/>
      <c r="I72" s="34"/>
      <c r="J72" s="34"/>
      <c r="K72" s="34"/>
      <c r="L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AA72" s="34"/>
      <c r="AB72" s="34"/>
      <c r="AC72" s="34"/>
      <c r="AD72" s="34"/>
      <c r="AE72" s="34"/>
      <c r="AF72" s="34"/>
      <c r="AG72" s="34"/>
      <c r="AH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I72" s="34"/>
      <c r="BJ72" s="34"/>
      <c r="BK72" s="34"/>
      <c r="BL72" s="34"/>
      <c r="BM72" s="34"/>
      <c r="BN72" s="34"/>
      <c r="BO72" s="34"/>
      <c r="BP72" s="34"/>
      <c r="BY72" s="34"/>
      <c r="BZ72" s="34"/>
      <c r="CA72" s="34"/>
      <c r="CB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</row>
    <row r="73" ht="15.75" customHeight="1">
      <c r="B73" s="34"/>
      <c r="E73" s="34"/>
      <c r="F73" s="34"/>
      <c r="G73" s="34"/>
      <c r="H73" s="34"/>
      <c r="I73" s="34"/>
      <c r="J73" s="34"/>
      <c r="K73" s="34"/>
      <c r="L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AA73" s="34"/>
      <c r="AB73" s="34"/>
      <c r="AC73" s="34"/>
      <c r="AD73" s="34"/>
      <c r="AE73" s="34"/>
      <c r="AF73" s="34"/>
      <c r="AG73" s="34"/>
      <c r="AH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I73" s="34"/>
      <c r="BJ73" s="34"/>
      <c r="BK73" s="34"/>
      <c r="BL73" s="34"/>
      <c r="BM73" s="34"/>
      <c r="BN73" s="34"/>
      <c r="BO73" s="34"/>
      <c r="BP73" s="34"/>
      <c r="BY73" s="34"/>
      <c r="BZ73" s="34"/>
      <c r="CA73" s="34"/>
      <c r="CB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</row>
    <row r="74" ht="15.75" customHeight="1">
      <c r="B74" s="34"/>
      <c r="E74" s="34"/>
      <c r="F74" s="34"/>
      <c r="G74" s="34"/>
      <c r="H74" s="34"/>
      <c r="I74" s="34"/>
      <c r="J74" s="34"/>
      <c r="K74" s="34"/>
      <c r="L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AA74" s="34"/>
      <c r="AB74" s="34"/>
      <c r="AC74" s="34"/>
      <c r="AD74" s="34"/>
      <c r="AE74" s="34"/>
      <c r="AF74" s="34"/>
      <c r="AG74" s="34"/>
      <c r="AH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I74" s="34"/>
      <c r="BJ74" s="34"/>
      <c r="BK74" s="34"/>
      <c r="BL74" s="34"/>
      <c r="BM74" s="34"/>
      <c r="BN74" s="34"/>
      <c r="BO74" s="34"/>
      <c r="BP74" s="34"/>
      <c r="BY74" s="34"/>
      <c r="BZ74" s="34"/>
      <c r="CA74" s="34"/>
      <c r="CB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</row>
    <row r="75" ht="15.75" customHeight="1">
      <c r="B75" s="34"/>
      <c r="E75" s="34"/>
      <c r="F75" s="34"/>
      <c r="G75" s="34"/>
      <c r="H75" s="34"/>
      <c r="I75" s="34"/>
      <c r="J75" s="34"/>
      <c r="K75" s="34"/>
      <c r="L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AA75" s="34"/>
      <c r="AB75" s="34"/>
      <c r="AC75" s="34"/>
      <c r="AD75" s="34"/>
      <c r="AE75" s="34"/>
      <c r="AF75" s="34"/>
      <c r="AG75" s="34"/>
      <c r="AH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I75" s="34"/>
      <c r="BJ75" s="34"/>
      <c r="BK75" s="34"/>
      <c r="BL75" s="34"/>
      <c r="BM75" s="34"/>
      <c r="BN75" s="34"/>
      <c r="BO75" s="34"/>
      <c r="BP75" s="34"/>
      <c r="BY75" s="34"/>
      <c r="BZ75" s="34"/>
      <c r="CA75" s="34"/>
      <c r="CB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</row>
    <row r="76" ht="15.75" customHeight="1">
      <c r="B76" s="34"/>
      <c r="E76" s="34"/>
      <c r="F76" s="34"/>
      <c r="G76" s="34"/>
      <c r="H76" s="34"/>
      <c r="I76" s="34"/>
      <c r="J76" s="34"/>
      <c r="K76" s="34"/>
      <c r="L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AA76" s="34"/>
      <c r="AB76" s="34"/>
      <c r="AC76" s="34"/>
      <c r="AD76" s="34"/>
      <c r="AE76" s="34"/>
      <c r="AF76" s="34"/>
      <c r="AG76" s="34"/>
      <c r="AH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I76" s="34"/>
      <c r="BJ76" s="34"/>
      <c r="BK76" s="34"/>
      <c r="BL76" s="34"/>
      <c r="BM76" s="34"/>
      <c r="BN76" s="34"/>
      <c r="BO76" s="34"/>
      <c r="BP76" s="34"/>
      <c r="BY76" s="34"/>
      <c r="BZ76" s="34"/>
      <c r="CA76" s="34"/>
      <c r="CB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</row>
    <row r="77" ht="15.75" customHeight="1">
      <c r="B77" s="34"/>
      <c r="E77" s="34"/>
      <c r="F77" s="34"/>
      <c r="G77" s="34"/>
      <c r="H77" s="34"/>
      <c r="I77" s="34"/>
      <c r="J77" s="34"/>
      <c r="K77" s="34"/>
      <c r="L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AA77" s="34"/>
      <c r="AB77" s="34"/>
      <c r="AC77" s="34"/>
      <c r="AD77" s="34"/>
      <c r="AE77" s="34"/>
      <c r="AF77" s="34"/>
      <c r="AG77" s="34"/>
      <c r="AH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I77" s="34"/>
      <c r="BJ77" s="34"/>
      <c r="BK77" s="34"/>
      <c r="BL77" s="34"/>
      <c r="BM77" s="34"/>
      <c r="BN77" s="34"/>
      <c r="BO77" s="34"/>
      <c r="BP77" s="34"/>
      <c r="BY77" s="34"/>
      <c r="BZ77" s="34"/>
      <c r="CA77" s="34"/>
      <c r="CB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</row>
    <row r="78" ht="15.75" customHeight="1">
      <c r="B78" s="34"/>
      <c r="E78" s="34"/>
      <c r="F78" s="34"/>
      <c r="G78" s="34"/>
      <c r="H78" s="34"/>
      <c r="I78" s="34"/>
      <c r="J78" s="34"/>
      <c r="K78" s="34"/>
      <c r="L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AA78" s="34"/>
      <c r="AB78" s="34"/>
      <c r="AC78" s="34"/>
      <c r="AD78" s="34"/>
      <c r="AE78" s="34"/>
      <c r="AF78" s="34"/>
      <c r="AG78" s="34"/>
      <c r="AH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I78" s="34"/>
      <c r="BJ78" s="34"/>
      <c r="BK78" s="34"/>
      <c r="BL78" s="34"/>
      <c r="BM78" s="34"/>
      <c r="BN78" s="34"/>
      <c r="BO78" s="34"/>
      <c r="BP78" s="34"/>
      <c r="BY78" s="34"/>
      <c r="BZ78" s="34"/>
      <c r="CA78" s="34"/>
      <c r="CB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</row>
    <row r="79" ht="15.75" customHeight="1">
      <c r="B79" s="34"/>
      <c r="E79" s="34"/>
      <c r="F79" s="34"/>
      <c r="G79" s="34"/>
      <c r="H79" s="34"/>
      <c r="I79" s="34"/>
      <c r="J79" s="34"/>
      <c r="K79" s="34"/>
      <c r="L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AA79" s="34"/>
      <c r="AB79" s="34"/>
      <c r="AC79" s="34"/>
      <c r="AD79" s="34"/>
      <c r="AE79" s="34"/>
      <c r="AF79" s="34"/>
      <c r="AG79" s="34"/>
      <c r="AH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I79" s="34"/>
      <c r="BJ79" s="34"/>
      <c r="BK79" s="34"/>
      <c r="BL79" s="34"/>
      <c r="BM79" s="34"/>
      <c r="BN79" s="34"/>
      <c r="BO79" s="34"/>
      <c r="BP79" s="34"/>
      <c r="BY79" s="34"/>
      <c r="BZ79" s="34"/>
      <c r="CA79" s="34"/>
      <c r="CB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</row>
    <row r="80" ht="15.75" customHeight="1">
      <c r="B80" s="34"/>
      <c r="E80" s="34"/>
      <c r="F80" s="34"/>
      <c r="G80" s="34"/>
      <c r="H80" s="34"/>
      <c r="I80" s="34"/>
      <c r="J80" s="34"/>
      <c r="K80" s="34"/>
      <c r="L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AA80" s="34"/>
      <c r="AB80" s="34"/>
      <c r="AC80" s="34"/>
      <c r="AD80" s="34"/>
      <c r="AE80" s="34"/>
      <c r="AF80" s="34"/>
      <c r="AG80" s="34"/>
      <c r="AH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I80" s="34"/>
      <c r="BJ80" s="34"/>
      <c r="BK80" s="34"/>
      <c r="BL80" s="34"/>
      <c r="BM80" s="34"/>
      <c r="BN80" s="34"/>
      <c r="BO80" s="34"/>
      <c r="BP80" s="34"/>
      <c r="BY80" s="34"/>
      <c r="BZ80" s="34"/>
      <c r="CA80" s="34"/>
      <c r="CB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</row>
    <row r="81" ht="15.75" customHeight="1">
      <c r="B81" s="34"/>
      <c r="E81" s="34"/>
      <c r="F81" s="34"/>
      <c r="G81" s="34"/>
      <c r="H81" s="34"/>
      <c r="I81" s="34"/>
      <c r="J81" s="34"/>
      <c r="K81" s="34"/>
      <c r="L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AA81" s="34"/>
      <c r="AB81" s="34"/>
      <c r="AC81" s="34"/>
      <c r="AD81" s="34"/>
      <c r="AE81" s="34"/>
      <c r="AF81" s="34"/>
      <c r="AG81" s="34"/>
      <c r="AH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I81" s="34"/>
      <c r="BJ81" s="34"/>
      <c r="BK81" s="34"/>
      <c r="BL81" s="34"/>
      <c r="BM81" s="34"/>
      <c r="BN81" s="34"/>
      <c r="BO81" s="34"/>
      <c r="BP81" s="34"/>
      <c r="BY81" s="34"/>
      <c r="BZ81" s="34"/>
      <c r="CA81" s="34"/>
      <c r="CB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</row>
    <row r="82" ht="15.75" customHeight="1">
      <c r="B82" s="34"/>
      <c r="E82" s="34"/>
      <c r="F82" s="34"/>
      <c r="G82" s="34"/>
      <c r="H82" s="34"/>
      <c r="I82" s="34"/>
      <c r="J82" s="34"/>
      <c r="K82" s="34"/>
      <c r="L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AA82" s="34"/>
      <c r="AB82" s="34"/>
      <c r="AC82" s="34"/>
      <c r="AD82" s="34"/>
      <c r="AE82" s="34"/>
      <c r="AF82" s="34"/>
      <c r="AG82" s="34"/>
      <c r="AH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I82" s="34"/>
      <c r="BJ82" s="34"/>
      <c r="BK82" s="34"/>
      <c r="BL82" s="34"/>
      <c r="BM82" s="34"/>
      <c r="BN82" s="34"/>
      <c r="BO82" s="34"/>
      <c r="BP82" s="34"/>
      <c r="BY82" s="34"/>
      <c r="BZ82" s="34"/>
      <c r="CA82" s="34"/>
      <c r="CB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</row>
    <row r="83" ht="15.75" customHeight="1">
      <c r="B83" s="34"/>
      <c r="E83" s="34"/>
      <c r="F83" s="34"/>
      <c r="G83" s="34"/>
      <c r="H83" s="34"/>
      <c r="I83" s="34"/>
      <c r="J83" s="34"/>
      <c r="K83" s="34"/>
      <c r="L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AA83" s="34"/>
      <c r="AB83" s="34"/>
      <c r="AC83" s="34"/>
      <c r="AD83" s="34"/>
      <c r="AE83" s="34"/>
      <c r="AF83" s="34"/>
      <c r="AG83" s="34"/>
      <c r="AH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I83" s="34"/>
      <c r="BJ83" s="34"/>
      <c r="BK83" s="34"/>
      <c r="BL83" s="34"/>
      <c r="BM83" s="34"/>
      <c r="BN83" s="34"/>
      <c r="BO83" s="34"/>
      <c r="BP83" s="34"/>
      <c r="BY83" s="34"/>
      <c r="BZ83" s="34"/>
      <c r="CA83" s="34"/>
      <c r="CB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</row>
    <row r="84" ht="15.75" customHeight="1">
      <c r="B84" s="34"/>
      <c r="E84" s="34"/>
      <c r="F84" s="34"/>
      <c r="G84" s="34"/>
      <c r="H84" s="34"/>
      <c r="I84" s="34"/>
      <c r="J84" s="34"/>
      <c r="K84" s="34"/>
      <c r="L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AA84" s="34"/>
      <c r="AB84" s="34"/>
      <c r="AC84" s="34"/>
      <c r="AD84" s="34"/>
      <c r="AE84" s="34"/>
      <c r="AF84" s="34"/>
      <c r="AG84" s="34"/>
      <c r="AH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I84" s="34"/>
      <c r="BJ84" s="34"/>
      <c r="BK84" s="34"/>
      <c r="BL84" s="34"/>
      <c r="BM84" s="34"/>
      <c r="BN84" s="34"/>
      <c r="BO84" s="34"/>
      <c r="BP84" s="34"/>
      <c r="BY84" s="34"/>
      <c r="BZ84" s="34"/>
      <c r="CA84" s="34"/>
      <c r="CB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</row>
    <row r="85" ht="15.75" customHeight="1">
      <c r="B85" s="34"/>
      <c r="E85" s="34"/>
      <c r="F85" s="34"/>
      <c r="G85" s="34"/>
      <c r="H85" s="34"/>
      <c r="I85" s="34"/>
      <c r="J85" s="34"/>
      <c r="K85" s="34"/>
      <c r="L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AA85" s="34"/>
      <c r="AB85" s="34"/>
      <c r="AC85" s="34"/>
      <c r="AD85" s="34"/>
      <c r="AE85" s="34"/>
      <c r="AF85" s="34"/>
      <c r="AG85" s="34"/>
      <c r="AH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I85" s="34"/>
      <c r="BJ85" s="34"/>
      <c r="BK85" s="34"/>
      <c r="BL85" s="34"/>
      <c r="BM85" s="34"/>
      <c r="BN85" s="34"/>
      <c r="BO85" s="34"/>
      <c r="BP85" s="34"/>
      <c r="BY85" s="34"/>
      <c r="BZ85" s="34"/>
      <c r="CA85" s="34"/>
      <c r="CB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</row>
    <row r="86" ht="15.75" customHeight="1">
      <c r="B86" s="34"/>
      <c r="E86" s="34"/>
      <c r="F86" s="34"/>
      <c r="G86" s="34"/>
      <c r="H86" s="34"/>
      <c r="I86" s="34"/>
      <c r="J86" s="34"/>
      <c r="K86" s="34"/>
      <c r="L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AA86" s="34"/>
      <c r="AB86" s="34"/>
      <c r="AC86" s="34"/>
      <c r="AD86" s="34"/>
      <c r="AE86" s="34"/>
      <c r="AF86" s="34"/>
      <c r="AG86" s="34"/>
      <c r="AH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I86" s="34"/>
      <c r="BJ86" s="34"/>
      <c r="BK86" s="34"/>
      <c r="BL86" s="34"/>
      <c r="BM86" s="34"/>
      <c r="BN86" s="34"/>
      <c r="BO86" s="34"/>
      <c r="BP86" s="34"/>
      <c r="BY86" s="34"/>
      <c r="BZ86" s="34"/>
      <c r="CA86" s="34"/>
      <c r="CB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</row>
    <row r="87" ht="15.75" customHeight="1">
      <c r="B87" s="34"/>
      <c r="E87" s="34"/>
      <c r="F87" s="34"/>
      <c r="G87" s="34"/>
      <c r="H87" s="34"/>
      <c r="I87" s="34"/>
      <c r="J87" s="34"/>
      <c r="K87" s="34"/>
      <c r="L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AA87" s="34"/>
      <c r="AB87" s="34"/>
      <c r="AC87" s="34"/>
      <c r="AD87" s="34"/>
      <c r="AE87" s="34"/>
      <c r="AF87" s="34"/>
      <c r="AG87" s="34"/>
      <c r="AH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I87" s="34"/>
      <c r="BJ87" s="34"/>
      <c r="BK87" s="34"/>
      <c r="BL87" s="34"/>
      <c r="BM87" s="34"/>
      <c r="BN87" s="34"/>
      <c r="BO87" s="34"/>
      <c r="BP87" s="34"/>
      <c r="BY87" s="34"/>
      <c r="BZ87" s="34"/>
      <c r="CA87" s="34"/>
      <c r="CB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</row>
    <row r="88" ht="15.75" customHeight="1">
      <c r="B88" s="34"/>
      <c r="E88" s="34"/>
      <c r="F88" s="34"/>
      <c r="G88" s="34"/>
      <c r="H88" s="34"/>
      <c r="I88" s="34"/>
      <c r="J88" s="34"/>
      <c r="K88" s="34"/>
      <c r="L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AA88" s="34"/>
      <c r="AB88" s="34"/>
      <c r="AC88" s="34"/>
      <c r="AD88" s="34"/>
      <c r="AE88" s="34"/>
      <c r="AF88" s="34"/>
      <c r="AG88" s="34"/>
      <c r="AH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I88" s="34"/>
      <c r="BJ88" s="34"/>
      <c r="BK88" s="34"/>
      <c r="BL88" s="34"/>
      <c r="BM88" s="34"/>
      <c r="BN88" s="34"/>
      <c r="BO88" s="34"/>
      <c r="BP88" s="34"/>
      <c r="BY88" s="34"/>
      <c r="BZ88" s="34"/>
      <c r="CA88" s="34"/>
      <c r="CB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</row>
    <row r="89" ht="15.75" customHeight="1">
      <c r="B89" s="34"/>
      <c r="E89" s="34"/>
      <c r="F89" s="34"/>
      <c r="G89" s="34"/>
      <c r="H89" s="34"/>
      <c r="I89" s="34"/>
      <c r="J89" s="34"/>
      <c r="K89" s="34"/>
      <c r="L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AA89" s="34"/>
      <c r="AB89" s="34"/>
      <c r="AC89" s="34"/>
      <c r="AD89" s="34"/>
      <c r="AE89" s="34"/>
      <c r="AF89" s="34"/>
      <c r="AG89" s="34"/>
      <c r="AH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I89" s="34"/>
      <c r="BJ89" s="34"/>
      <c r="BK89" s="34"/>
      <c r="BL89" s="34"/>
      <c r="BM89" s="34"/>
      <c r="BN89" s="34"/>
      <c r="BO89" s="34"/>
      <c r="BP89" s="34"/>
      <c r="BY89" s="34"/>
      <c r="BZ89" s="34"/>
      <c r="CA89" s="34"/>
      <c r="CB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</row>
    <row r="90" ht="15.75" customHeight="1">
      <c r="B90" s="34"/>
      <c r="E90" s="34"/>
      <c r="F90" s="34"/>
      <c r="G90" s="34"/>
      <c r="H90" s="34"/>
      <c r="I90" s="34"/>
      <c r="J90" s="34"/>
      <c r="K90" s="34"/>
      <c r="L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AA90" s="34"/>
      <c r="AB90" s="34"/>
      <c r="AC90" s="34"/>
      <c r="AD90" s="34"/>
      <c r="AE90" s="34"/>
      <c r="AF90" s="34"/>
      <c r="AG90" s="34"/>
      <c r="AH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I90" s="34"/>
      <c r="BJ90" s="34"/>
      <c r="BK90" s="34"/>
      <c r="BL90" s="34"/>
      <c r="BM90" s="34"/>
      <c r="BN90" s="34"/>
      <c r="BO90" s="34"/>
      <c r="BP90" s="34"/>
      <c r="BY90" s="34"/>
      <c r="BZ90" s="34"/>
      <c r="CA90" s="34"/>
      <c r="CB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</row>
    <row r="91" ht="15.75" customHeight="1">
      <c r="B91" s="34"/>
      <c r="E91" s="34"/>
      <c r="F91" s="34"/>
      <c r="G91" s="34"/>
      <c r="H91" s="34"/>
      <c r="I91" s="34"/>
      <c r="J91" s="34"/>
      <c r="K91" s="34"/>
      <c r="L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AA91" s="34"/>
      <c r="AB91" s="34"/>
      <c r="AC91" s="34"/>
      <c r="AD91" s="34"/>
      <c r="AE91" s="34"/>
      <c r="AF91" s="34"/>
      <c r="AG91" s="34"/>
      <c r="AH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I91" s="34"/>
      <c r="BJ91" s="34"/>
      <c r="BK91" s="34"/>
      <c r="BL91" s="34"/>
      <c r="BM91" s="34"/>
      <c r="BN91" s="34"/>
      <c r="BO91" s="34"/>
      <c r="BP91" s="34"/>
      <c r="BY91" s="34"/>
      <c r="BZ91" s="34"/>
      <c r="CA91" s="34"/>
      <c r="CB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</row>
    <row r="92" ht="15.75" customHeight="1">
      <c r="B92" s="34"/>
      <c r="E92" s="34"/>
      <c r="F92" s="34"/>
      <c r="G92" s="34"/>
      <c r="H92" s="34"/>
      <c r="I92" s="34"/>
      <c r="J92" s="34"/>
      <c r="K92" s="34"/>
      <c r="L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AA92" s="34"/>
      <c r="AB92" s="34"/>
      <c r="AC92" s="34"/>
      <c r="AD92" s="34"/>
      <c r="AE92" s="34"/>
      <c r="AF92" s="34"/>
      <c r="AG92" s="34"/>
      <c r="AH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I92" s="34"/>
      <c r="BJ92" s="34"/>
      <c r="BK92" s="34"/>
      <c r="BL92" s="34"/>
      <c r="BM92" s="34"/>
      <c r="BN92" s="34"/>
      <c r="BO92" s="34"/>
      <c r="BP92" s="34"/>
      <c r="BY92" s="34"/>
      <c r="BZ92" s="34"/>
      <c r="CA92" s="34"/>
      <c r="CB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</row>
    <row r="93" ht="15.75" customHeight="1">
      <c r="B93" s="34"/>
      <c r="E93" s="34"/>
      <c r="F93" s="34"/>
      <c r="G93" s="34"/>
      <c r="H93" s="34"/>
      <c r="I93" s="34"/>
      <c r="J93" s="34"/>
      <c r="K93" s="34"/>
      <c r="L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AA93" s="34"/>
      <c r="AB93" s="34"/>
      <c r="AC93" s="34"/>
      <c r="AD93" s="34"/>
      <c r="AE93" s="34"/>
      <c r="AF93" s="34"/>
      <c r="AG93" s="34"/>
      <c r="AH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I93" s="34"/>
      <c r="BJ93" s="34"/>
      <c r="BK93" s="34"/>
      <c r="BL93" s="34"/>
      <c r="BM93" s="34"/>
      <c r="BN93" s="34"/>
      <c r="BO93" s="34"/>
      <c r="BP93" s="34"/>
      <c r="BY93" s="34"/>
      <c r="BZ93" s="34"/>
      <c r="CA93" s="34"/>
      <c r="CB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</row>
    <row r="94" ht="15.75" customHeight="1">
      <c r="B94" s="34"/>
      <c r="E94" s="34"/>
      <c r="F94" s="34"/>
      <c r="G94" s="34"/>
      <c r="H94" s="34"/>
      <c r="I94" s="34"/>
      <c r="J94" s="34"/>
      <c r="K94" s="34"/>
      <c r="L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AA94" s="34"/>
      <c r="AB94" s="34"/>
      <c r="AC94" s="34"/>
      <c r="AD94" s="34"/>
      <c r="AE94" s="34"/>
      <c r="AF94" s="34"/>
      <c r="AG94" s="34"/>
      <c r="AH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I94" s="34"/>
      <c r="BJ94" s="34"/>
      <c r="BK94" s="34"/>
      <c r="BL94" s="34"/>
      <c r="BM94" s="34"/>
      <c r="BN94" s="34"/>
      <c r="BO94" s="34"/>
      <c r="BP94" s="34"/>
      <c r="BY94" s="34"/>
      <c r="BZ94" s="34"/>
      <c r="CA94" s="34"/>
      <c r="CB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</row>
    <row r="95" ht="15.75" customHeight="1">
      <c r="B95" s="34"/>
      <c r="E95" s="34"/>
      <c r="F95" s="34"/>
      <c r="G95" s="34"/>
      <c r="H95" s="34"/>
      <c r="I95" s="34"/>
      <c r="J95" s="34"/>
      <c r="K95" s="34"/>
      <c r="L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AA95" s="34"/>
      <c r="AB95" s="34"/>
      <c r="AC95" s="34"/>
      <c r="AD95" s="34"/>
      <c r="AE95" s="34"/>
      <c r="AF95" s="34"/>
      <c r="AG95" s="34"/>
      <c r="AH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I95" s="34"/>
      <c r="BJ95" s="34"/>
      <c r="BK95" s="34"/>
      <c r="BL95" s="34"/>
      <c r="BM95" s="34"/>
      <c r="BN95" s="34"/>
      <c r="BO95" s="34"/>
      <c r="BP95" s="34"/>
      <c r="BY95" s="34"/>
      <c r="BZ95" s="34"/>
      <c r="CA95" s="34"/>
      <c r="CB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</row>
    <row r="96" ht="15.75" customHeight="1">
      <c r="B96" s="34"/>
      <c r="E96" s="34"/>
      <c r="F96" s="34"/>
      <c r="G96" s="34"/>
      <c r="H96" s="34"/>
      <c r="I96" s="34"/>
      <c r="J96" s="34"/>
      <c r="K96" s="34"/>
      <c r="L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AA96" s="34"/>
      <c r="AB96" s="34"/>
      <c r="AC96" s="34"/>
      <c r="AD96" s="34"/>
      <c r="AE96" s="34"/>
      <c r="AF96" s="34"/>
      <c r="AG96" s="34"/>
      <c r="AH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I96" s="34"/>
      <c r="BJ96" s="34"/>
      <c r="BK96" s="34"/>
      <c r="BL96" s="34"/>
      <c r="BM96" s="34"/>
      <c r="BN96" s="34"/>
      <c r="BO96" s="34"/>
      <c r="BP96" s="34"/>
      <c r="BY96" s="34"/>
      <c r="BZ96" s="34"/>
      <c r="CA96" s="34"/>
      <c r="CB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</row>
    <row r="97" ht="15.75" customHeight="1">
      <c r="B97" s="34"/>
      <c r="E97" s="34"/>
      <c r="F97" s="34"/>
      <c r="G97" s="34"/>
      <c r="H97" s="34"/>
      <c r="I97" s="34"/>
      <c r="J97" s="34"/>
      <c r="K97" s="34"/>
      <c r="L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AA97" s="34"/>
      <c r="AB97" s="34"/>
      <c r="AC97" s="34"/>
      <c r="AD97" s="34"/>
      <c r="AE97" s="34"/>
      <c r="AF97" s="34"/>
      <c r="AG97" s="34"/>
      <c r="AH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I97" s="34"/>
      <c r="BJ97" s="34"/>
      <c r="BK97" s="34"/>
      <c r="BL97" s="34"/>
      <c r="BM97" s="34"/>
      <c r="BN97" s="34"/>
      <c r="BO97" s="34"/>
      <c r="BP97" s="34"/>
      <c r="BY97" s="34"/>
      <c r="BZ97" s="34"/>
      <c r="CA97" s="34"/>
      <c r="CB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</row>
    <row r="98" ht="15.75" customHeight="1">
      <c r="B98" s="34"/>
      <c r="E98" s="34"/>
      <c r="F98" s="34"/>
      <c r="G98" s="34"/>
      <c r="H98" s="34"/>
      <c r="I98" s="34"/>
      <c r="J98" s="34"/>
      <c r="K98" s="34"/>
      <c r="L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AA98" s="34"/>
      <c r="AB98" s="34"/>
      <c r="AC98" s="34"/>
      <c r="AD98" s="34"/>
      <c r="AE98" s="34"/>
      <c r="AF98" s="34"/>
      <c r="AG98" s="34"/>
      <c r="AH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I98" s="34"/>
      <c r="BJ98" s="34"/>
      <c r="BK98" s="34"/>
      <c r="BL98" s="34"/>
      <c r="BM98" s="34"/>
      <c r="BN98" s="34"/>
      <c r="BO98" s="34"/>
      <c r="BP98" s="34"/>
      <c r="BY98" s="34"/>
      <c r="BZ98" s="34"/>
      <c r="CA98" s="34"/>
      <c r="CB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</row>
    <row r="99" ht="15.75" customHeight="1">
      <c r="B99" s="34"/>
      <c r="E99" s="34"/>
      <c r="F99" s="34"/>
      <c r="G99" s="34"/>
      <c r="H99" s="34"/>
      <c r="I99" s="34"/>
      <c r="J99" s="34"/>
      <c r="K99" s="34"/>
      <c r="L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AA99" s="34"/>
      <c r="AB99" s="34"/>
      <c r="AC99" s="34"/>
      <c r="AD99" s="34"/>
      <c r="AE99" s="34"/>
      <c r="AF99" s="34"/>
      <c r="AG99" s="34"/>
      <c r="AH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I99" s="34"/>
      <c r="BJ99" s="34"/>
      <c r="BK99" s="34"/>
      <c r="BL99" s="34"/>
      <c r="BM99" s="34"/>
      <c r="BN99" s="34"/>
      <c r="BO99" s="34"/>
      <c r="BP99" s="34"/>
      <c r="BY99" s="34"/>
      <c r="BZ99" s="34"/>
      <c r="CA99" s="34"/>
      <c r="CB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</row>
    <row r="100" ht="15.75" customHeight="1">
      <c r="B100" s="34"/>
      <c r="E100" s="34"/>
      <c r="F100" s="34"/>
      <c r="G100" s="34"/>
      <c r="H100" s="34"/>
      <c r="I100" s="34"/>
      <c r="J100" s="34"/>
      <c r="K100" s="34"/>
      <c r="L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AA100" s="34"/>
      <c r="AB100" s="34"/>
      <c r="AC100" s="34"/>
      <c r="AD100" s="34"/>
      <c r="AE100" s="34"/>
      <c r="AF100" s="34"/>
      <c r="AG100" s="34"/>
      <c r="AH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I100" s="34"/>
      <c r="BJ100" s="34"/>
      <c r="BK100" s="34"/>
      <c r="BL100" s="34"/>
      <c r="BM100" s="34"/>
      <c r="BN100" s="34"/>
      <c r="BO100" s="34"/>
      <c r="BP100" s="34"/>
      <c r="BY100" s="34"/>
      <c r="BZ100" s="34"/>
      <c r="CA100" s="34"/>
      <c r="CB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</row>
    <row r="101" ht="15.75" customHeight="1">
      <c r="B101" s="34"/>
      <c r="E101" s="34"/>
      <c r="F101" s="34"/>
      <c r="G101" s="34"/>
      <c r="H101" s="34"/>
      <c r="I101" s="34"/>
      <c r="J101" s="34"/>
      <c r="K101" s="34"/>
      <c r="L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AA101" s="34"/>
      <c r="AB101" s="34"/>
      <c r="AC101" s="34"/>
      <c r="AD101" s="34"/>
      <c r="AE101" s="34"/>
      <c r="AF101" s="34"/>
      <c r="AG101" s="34"/>
      <c r="AH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I101" s="34"/>
      <c r="BJ101" s="34"/>
      <c r="BK101" s="34"/>
      <c r="BL101" s="34"/>
      <c r="BM101" s="34"/>
      <c r="BN101" s="34"/>
      <c r="BO101" s="34"/>
      <c r="BP101" s="34"/>
      <c r="BY101" s="34"/>
      <c r="BZ101" s="34"/>
      <c r="CA101" s="34"/>
      <c r="CB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</row>
    <row r="102" ht="15.75" customHeight="1">
      <c r="B102" s="34"/>
      <c r="E102" s="34"/>
      <c r="F102" s="34"/>
      <c r="G102" s="34"/>
      <c r="H102" s="34"/>
      <c r="I102" s="34"/>
      <c r="J102" s="34"/>
      <c r="K102" s="34"/>
      <c r="L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AA102" s="34"/>
      <c r="AB102" s="34"/>
      <c r="AC102" s="34"/>
      <c r="AD102" s="34"/>
      <c r="AE102" s="34"/>
      <c r="AF102" s="34"/>
      <c r="AG102" s="34"/>
      <c r="AH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I102" s="34"/>
      <c r="BJ102" s="34"/>
      <c r="BK102" s="34"/>
      <c r="BL102" s="34"/>
      <c r="BM102" s="34"/>
      <c r="BN102" s="34"/>
      <c r="BO102" s="34"/>
      <c r="BP102" s="34"/>
      <c r="BY102" s="34"/>
      <c r="BZ102" s="34"/>
      <c r="CA102" s="34"/>
      <c r="CB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</row>
    <row r="103" ht="15.75" customHeight="1">
      <c r="B103" s="34"/>
      <c r="E103" s="34"/>
      <c r="F103" s="34"/>
      <c r="G103" s="34"/>
      <c r="H103" s="34"/>
      <c r="I103" s="34"/>
      <c r="J103" s="34"/>
      <c r="K103" s="34"/>
      <c r="L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AA103" s="34"/>
      <c r="AB103" s="34"/>
      <c r="AC103" s="34"/>
      <c r="AD103" s="34"/>
      <c r="AE103" s="34"/>
      <c r="AF103" s="34"/>
      <c r="AG103" s="34"/>
      <c r="AH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I103" s="34"/>
      <c r="BJ103" s="34"/>
      <c r="BK103" s="34"/>
      <c r="BL103" s="34"/>
      <c r="BM103" s="34"/>
      <c r="BN103" s="34"/>
      <c r="BO103" s="34"/>
      <c r="BP103" s="34"/>
      <c r="BY103" s="34"/>
      <c r="BZ103" s="34"/>
      <c r="CA103" s="34"/>
      <c r="CB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</row>
    <row r="104" ht="15.75" customHeight="1">
      <c r="B104" s="34"/>
      <c r="E104" s="34"/>
      <c r="F104" s="34"/>
      <c r="G104" s="34"/>
      <c r="H104" s="34"/>
      <c r="I104" s="34"/>
      <c r="J104" s="34"/>
      <c r="K104" s="34"/>
      <c r="L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AA104" s="34"/>
      <c r="AB104" s="34"/>
      <c r="AC104" s="34"/>
      <c r="AD104" s="34"/>
      <c r="AE104" s="34"/>
      <c r="AF104" s="34"/>
      <c r="AG104" s="34"/>
      <c r="AH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I104" s="34"/>
      <c r="BJ104" s="34"/>
      <c r="BK104" s="34"/>
      <c r="BL104" s="34"/>
      <c r="BM104" s="34"/>
      <c r="BN104" s="34"/>
      <c r="BO104" s="34"/>
      <c r="BP104" s="34"/>
      <c r="BY104" s="34"/>
      <c r="BZ104" s="34"/>
      <c r="CA104" s="34"/>
      <c r="CB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</row>
    <row r="105" ht="15.75" customHeight="1">
      <c r="B105" s="34"/>
      <c r="E105" s="34"/>
      <c r="F105" s="34"/>
      <c r="G105" s="34"/>
      <c r="H105" s="34"/>
      <c r="I105" s="34"/>
      <c r="J105" s="34"/>
      <c r="K105" s="34"/>
      <c r="L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AA105" s="34"/>
      <c r="AB105" s="34"/>
      <c r="AC105" s="34"/>
      <c r="AD105" s="34"/>
      <c r="AE105" s="34"/>
      <c r="AF105" s="34"/>
      <c r="AG105" s="34"/>
      <c r="AH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I105" s="34"/>
      <c r="BJ105" s="34"/>
      <c r="BK105" s="34"/>
      <c r="BL105" s="34"/>
      <c r="BM105" s="34"/>
      <c r="BN105" s="34"/>
      <c r="BO105" s="34"/>
      <c r="BP105" s="34"/>
      <c r="BY105" s="34"/>
      <c r="BZ105" s="34"/>
      <c r="CA105" s="34"/>
      <c r="CB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</row>
    <row r="106" ht="15.75" customHeight="1">
      <c r="B106" s="34"/>
      <c r="E106" s="34"/>
      <c r="F106" s="34"/>
      <c r="G106" s="34"/>
      <c r="H106" s="34"/>
      <c r="I106" s="34"/>
      <c r="J106" s="34"/>
      <c r="K106" s="34"/>
      <c r="L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AA106" s="34"/>
      <c r="AB106" s="34"/>
      <c r="AC106" s="34"/>
      <c r="AD106" s="34"/>
      <c r="AE106" s="34"/>
      <c r="AF106" s="34"/>
      <c r="AG106" s="34"/>
      <c r="AH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I106" s="34"/>
      <c r="BJ106" s="34"/>
      <c r="BK106" s="34"/>
      <c r="BL106" s="34"/>
      <c r="BM106" s="34"/>
      <c r="BN106" s="34"/>
      <c r="BO106" s="34"/>
      <c r="BP106" s="34"/>
      <c r="BY106" s="34"/>
      <c r="BZ106" s="34"/>
      <c r="CA106" s="34"/>
      <c r="CB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</row>
    <row r="107" ht="15.75" customHeight="1">
      <c r="B107" s="34"/>
      <c r="E107" s="34"/>
      <c r="F107" s="34"/>
      <c r="G107" s="34"/>
      <c r="H107" s="34"/>
      <c r="I107" s="34"/>
      <c r="J107" s="34"/>
      <c r="K107" s="34"/>
      <c r="L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AA107" s="34"/>
      <c r="AB107" s="34"/>
      <c r="AC107" s="34"/>
      <c r="AD107" s="34"/>
      <c r="AE107" s="34"/>
      <c r="AF107" s="34"/>
      <c r="AG107" s="34"/>
      <c r="AH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I107" s="34"/>
      <c r="BJ107" s="34"/>
      <c r="BK107" s="34"/>
      <c r="BL107" s="34"/>
      <c r="BM107" s="34"/>
      <c r="BN107" s="34"/>
      <c r="BO107" s="34"/>
      <c r="BP107" s="34"/>
      <c r="BY107" s="34"/>
      <c r="BZ107" s="34"/>
      <c r="CA107" s="34"/>
      <c r="CB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</row>
    <row r="108" ht="15.75" customHeight="1">
      <c r="B108" s="34"/>
      <c r="E108" s="34"/>
      <c r="F108" s="34"/>
      <c r="G108" s="34"/>
      <c r="H108" s="34"/>
      <c r="I108" s="34"/>
      <c r="J108" s="34"/>
      <c r="K108" s="34"/>
      <c r="L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AA108" s="34"/>
      <c r="AB108" s="34"/>
      <c r="AC108" s="34"/>
      <c r="AD108" s="34"/>
      <c r="AE108" s="34"/>
      <c r="AF108" s="34"/>
      <c r="AG108" s="34"/>
      <c r="AH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I108" s="34"/>
      <c r="BJ108" s="34"/>
      <c r="BK108" s="34"/>
      <c r="BL108" s="34"/>
      <c r="BM108" s="34"/>
      <c r="BN108" s="34"/>
      <c r="BO108" s="34"/>
      <c r="BP108" s="34"/>
      <c r="BY108" s="34"/>
      <c r="BZ108" s="34"/>
      <c r="CA108" s="34"/>
      <c r="CB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</row>
    <row r="109" ht="15.75" customHeight="1">
      <c r="B109" s="34"/>
      <c r="E109" s="34"/>
      <c r="F109" s="34"/>
      <c r="G109" s="34"/>
      <c r="H109" s="34"/>
      <c r="I109" s="34"/>
      <c r="J109" s="34"/>
      <c r="K109" s="34"/>
      <c r="L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AA109" s="34"/>
      <c r="AB109" s="34"/>
      <c r="AC109" s="34"/>
      <c r="AD109" s="34"/>
      <c r="AE109" s="34"/>
      <c r="AF109" s="34"/>
      <c r="AG109" s="34"/>
      <c r="AH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I109" s="34"/>
      <c r="BJ109" s="34"/>
      <c r="BK109" s="34"/>
      <c r="BL109" s="34"/>
      <c r="BM109" s="34"/>
      <c r="BN109" s="34"/>
      <c r="BO109" s="34"/>
      <c r="BP109" s="34"/>
      <c r="BY109" s="34"/>
      <c r="BZ109" s="34"/>
      <c r="CA109" s="34"/>
      <c r="CB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</row>
    <row r="110" ht="15.75" customHeight="1">
      <c r="B110" s="34"/>
      <c r="E110" s="34"/>
      <c r="F110" s="34"/>
      <c r="G110" s="34"/>
      <c r="H110" s="34"/>
      <c r="I110" s="34"/>
      <c r="J110" s="34"/>
      <c r="K110" s="34"/>
      <c r="L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AA110" s="34"/>
      <c r="AB110" s="34"/>
      <c r="AC110" s="34"/>
      <c r="AD110" s="34"/>
      <c r="AE110" s="34"/>
      <c r="AF110" s="34"/>
      <c r="AG110" s="34"/>
      <c r="AH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I110" s="34"/>
      <c r="BJ110" s="34"/>
      <c r="BK110" s="34"/>
      <c r="BL110" s="34"/>
      <c r="BM110" s="34"/>
      <c r="BN110" s="34"/>
      <c r="BO110" s="34"/>
      <c r="BP110" s="34"/>
      <c r="BY110" s="34"/>
      <c r="BZ110" s="34"/>
      <c r="CA110" s="34"/>
      <c r="CB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</row>
    <row r="111" ht="15.75" customHeight="1">
      <c r="B111" s="34"/>
      <c r="E111" s="34"/>
      <c r="F111" s="34"/>
      <c r="G111" s="34"/>
      <c r="H111" s="34"/>
      <c r="I111" s="34"/>
      <c r="J111" s="34"/>
      <c r="K111" s="34"/>
      <c r="L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AA111" s="34"/>
      <c r="AB111" s="34"/>
      <c r="AC111" s="34"/>
      <c r="AD111" s="34"/>
      <c r="AE111" s="34"/>
      <c r="AF111" s="34"/>
      <c r="AG111" s="34"/>
      <c r="AH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I111" s="34"/>
      <c r="BJ111" s="34"/>
      <c r="BK111" s="34"/>
      <c r="BL111" s="34"/>
      <c r="BM111" s="34"/>
      <c r="BN111" s="34"/>
      <c r="BO111" s="34"/>
      <c r="BP111" s="34"/>
      <c r="BY111" s="34"/>
      <c r="BZ111" s="34"/>
      <c r="CA111" s="34"/>
      <c r="CB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</row>
    <row r="112" ht="15.75" customHeight="1">
      <c r="B112" s="34"/>
      <c r="E112" s="34"/>
      <c r="F112" s="34"/>
      <c r="G112" s="34"/>
      <c r="H112" s="34"/>
      <c r="I112" s="34"/>
      <c r="J112" s="34"/>
      <c r="K112" s="34"/>
      <c r="L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AA112" s="34"/>
      <c r="AB112" s="34"/>
      <c r="AC112" s="34"/>
      <c r="AD112" s="34"/>
      <c r="AE112" s="34"/>
      <c r="AF112" s="34"/>
      <c r="AG112" s="34"/>
      <c r="AH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I112" s="34"/>
      <c r="BJ112" s="34"/>
      <c r="BK112" s="34"/>
      <c r="BL112" s="34"/>
      <c r="BM112" s="34"/>
      <c r="BN112" s="34"/>
      <c r="BO112" s="34"/>
      <c r="BP112" s="34"/>
      <c r="BY112" s="34"/>
      <c r="BZ112" s="34"/>
      <c r="CA112" s="34"/>
      <c r="CB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</row>
    <row r="113" ht="15.75" customHeight="1">
      <c r="B113" s="34"/>
      <c r="E113" s="34"/>
      <c r="F113" s="34"/>
      <c r="G113" s="34"/>
      <c r="H113" s="34"/>
      <c r="I113" s="34"/>
      <c r="J113" s="34"/>
      <c r="K113" s="34"/>
      <c r="L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AA113" s="34"/>
      <c r="AB113" s="34"/>
      <c r="AC113" s="34"/>
      <c r="AD113" s="34"/>
      <c r="AE113" s="34"/>
      <c r="AF113" s="34"/>
      <c r="AG113" s="34"/>
      <c r="AH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I113" s="34"/>
      <c r="BJ113" s="34"/>
      <c r="BK113" s="34"/>
      <c r="BL113" s="34"/>
      <c r="BM113" s="34"/>
      <c r="BN113" s="34"/>
      <c r="BO113" s="34"/>
      <c r="BP113" s="34"/>
      <c r="BY113" s="34"/>
      <c r="BZ113" s="34"/>
      <c r="CA113" s="34"/>
      <c r="CB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</row>
    <row r="114" ht="15.75" customHeight="1">
      <c r="B114" s="34"/>
      <c r="E114" s="34"/>
      <c r="F114" s="34"/>
      <c r="G114" s="34"/>
      <c r="H114" s="34"/>
      <c r="I114" s="34"/>
      <c r="J114" s="34"/>
      <c r="K114" s="34"/>
      <c r="L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AA114" s="34"/>
      <c r="AB114" s="34"/>
      <c r="AC114" s="34"/>
      <c r="AD114" s="34"/>
      <c r="AE114" s="34"/>
      <c r="AF114" s="34"/>
      <c r="AG114" s="34"/>
      <c r="AH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I114" s="34"/>
      <c r="BJ114" s="34"/>
      <c r="BK114" s="34"/>
      <c r="BL114" s="34"/>
      <c r="BM114" s="34"/>
      <c r="BN114" s="34"/>
      <c r="BO114" s="34"/>
      <c r="BP114" s="34"/>
      <c r="BY114" s="34"/>
      <c r="BZ114" s="34"/>
      <c r="CA114" s="34"/>
      <c r="CB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</row>
    <row r="115" ht="15.75" customHeight="1">
      <c r="B115" s="34"/>
      <c r="E115" s="34"/>
      <c r="F115" s="34"/>
      <c r="G115" s="34"/>
      <c r="H115" s="34"/>
      <c r="I115" s="34"/>
      <c r="J115" s="34"/>
      <c r="K115" s="34"/>
      <c r="L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AA115" s="34"/>
      <c r="AB115" s="34"/>
      <c r="AC115" s="34"/>
      <c r="AD115" s="34"/>
      <c r="AE115" s="34"/>
      <c r="AF115" s="34"/>
      <c r="AG115" s="34"/>
      <c r="AH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I115" s="34"/>
      <c r="BJ115" s="34"/>
      <c r="BK115" s="34"/>
      <c r="BL115" s="34"/>
      <c r="BM115" s="34"/>
      <c r="BN115" s="34"/>
      <c r="BO115" s="34"/>
      <c r="BP115" s="34"/>
      <c r="BY115" s="34"/>
      <c r="BZ115" s="34"/>
      <c r="CA115" s="34"/>
      <c r="CB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</row>
    <row r="116" ht="15.75" customHeight="1">
      <c r="B116" s="34"/>
      <c r="E116" s="34"/>
      <c r="F116" s="34"/>
      <c r="G116" s="34"/>
      <c r="H116" s="34"/>
      <c r="I116" s="34"/>
      <c r="J116" s="34"/>
      <c r="K116" s="34"/>
      <c r="L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AA116" s="34"/>
      <c r="AB116" s="34"/>
      <c r="AC116" s="34"/>
      <c r="AD116" s="34"/>
      <c r="AE116" s="34"/>
      <c r="AF116" s="34"/>
      <c r="AG116" s="34"/>
      <c r="AH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I116" s="34"/>
      <c r="BJ116" s="34"/>
      <c r="BK116" s="34"/>
      <c r="BL116" s="34"/>
      <c r="BM116" s="34"/>
      <c r="BN116" s="34"/>
      <c r="BO116" s="34"/>
      <c r="BP116" s="34"/>
      <c r="BY116" s="34"/>
      <c r="BZ116" s="34"/>
      <c r="CA116" s="34"/>
      <c r="CB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</row>
    <row r="117" ht="15.75" customHeight="1">
      <c r="B117" s="34"/>
      <c r="E117" s="34"/>
      <c r="F117" s="34"/>
      <c r="G117" s="34"/>
      <c r="H117" s="34"/>
      <c r="I117" s="34"/>
      <c r="J117" s="34"/>
      <c r="K117" s="34"/>
      <c r="L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AA117" s="34"/>
      <c r="AB117" s="34"/>
      <c r="AC117" s="34"/>
      <c r="AD117" s="34"/>
      <c r="AE117" s="34"/>
      <c r="AF117" s="34"/>
      <c r="AG117" s="34"/>
      <c r="AH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I117" s="34"/>
      <c r="BJ117" s="34"/>
      <c r="BK117" s="34"/>
      <c r="BL117" s="34"/>
      <c r="BM117" s="34"/>
      <c r="BN117" s="34"/>
      <c r="BO117" s="34"/>
      <c r="BP117" s="34"/>
      <c r="BY117" s="34"/>
      <c r="BZ117" s="34"/>
      <c r="CA117" s="34"/>
      <c r="CB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</row>
    <row r="118" ht="15.75" customHeight="1">
      <c r="B118" s="34"/>
      <c r="E118" s="34"/>
      <c r="F118" s="34"/>
      <c r="G118" s="34"/>
      <c r="H118" s="34"/>
      <c r="I118" s="34"/>
      <c r="J118" s="34"/>
      <c r="K118" s="34"/>
      <c r="L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AA118" s="34"/>
      <c r="AB118" s="34"/>
      <c r="AC118" s="34"/>
      <c r="AD118" s="34"/>
      <c r="AE118" s="34"/>
      <c r="AF118" s="34"/>
      <c r="AG118" s="34"/>
      <c r="AH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I118" s="34"/>
      <c r="BJ118" s="34"/>
      <c r="BK118" s="34"/>
      <c r="BL118" s="34"/>
      <c r="BM118" s="34"/>
      <c r="BN118" s="34"/>
      <c r="BO118" s="34"/>
      <c r="BP118" s="34"/>
      <c r="BY118" s="34"/>
      <c r="BZ118" s="34"/>
      <c r="CA118" s="34"/>
      <c r="CB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</row>
    <row r="119" ht="15.75" customHeight="1">
      <c r="B119" s="34"/>
      <c r="E119" s="34"/>
      <c r="F119" s="34"/>
      <c r="G119" s="34"/>
      <c r="H119" s="34"/>
      <c r="I119" s="34"/>
      <c r="J119" s="34"/>
      <c r="K119" s="34"/>
      <c r="L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AA119" s="34"/>
      <c r="AB119" s="34"/>
      <c r="AC119" s="34"/>
      <c r="AD119" s="34"/>
      <c r="AE119" s="34"/>
      <c r="AF119" s="34"/>
      <c r="AG119" s="34"/>
      <c r="AH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I119" s="34"/>
      <c r="BJ119" s="34"/>
      <c r="BK119" s="34"/>
      <c r="BL119" s="34"/>
      <c r="BM119" s="34"/>
      <c r="BN119" s="34"/>
      <c r="BO119" s="34"/>
      <c r="BP119" s="34"/>
      <c r="BY119" s="34"/>
      <c r="BZ119" s="34"/>
      <c r="CA119" s="34"/>
      <c r="CB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</row>
    <row r="120" ht="15.75" customHeight="1">
      <c r="B120" s="34"/>
      <c r="E120" s="34"/>
      <c r="F120" s="34"/>
      <c r="G120" s="34"/>
      <c r="H120" s="34"/>
      <c r="I120" s="34"/>
      <c r="J120" s="34"/>
      <c r="K120" s="34"/>
      <c r="L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AA120" s="34"/>
      <c r="AB120" s="34"/>
      <c r="AC120" s="34"/>
      <c r="AD120" s="34"/>
      <c r="AE120" s="34"/>
      <c r="AF120" s="34"/>
      <c r="AG120" s="34"/>
      <c r="AH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I120" s="34"/>
      <c r="BJ120" s="34"/>
      <c r="BK120" s="34"/>
      <c r="BL120" s="34"/>
      <c r="BM120" s="34"/>
      <c r="BN120" s="34"/>
      <c r="BO120" s="34"/>
      <c r="BP120" s="34"/>
      <c r="BY120" s="34"/>
      <c r="BZ120" s="34"/>
      <c r="CA120" s="34"/>
      <c r="CB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</row>
    <row r="121" ht="15.75" customHeight="1">
      <c r="B121" s="34"/>
      <c r="E121" s="34"/>
      <c r="F121" s="34"/>
      <c r="G121" s="34"/>
      <c r="H121" s="34"/>
      <c r="I121" s="34"/>
      <c r="J121" s="34"/>
      <c r="K121" s="34"/>
      <c r="L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AA121" s="34"/>
      <c r="AB121" s="34"/>
      <c r="AC121" s="34"/>
      <c r="AD121" s="34"/>
      <c r="AE121" s="34"/>
      <c r="AF121" s="34"/>
      <c r="AG121" s="34"/>
      <c r="AH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I121" s="34"/>
      <c r="BJ121" s="34"/>
      <c r="BK121" s="34"/>
      <c r="BL121" s="34"/>
      <c r="BM121" s="34"/>
      <c r="BN121" s="34"/>
      <c r="BO121" s="34"/>
      <c r="BP121" s="34"/>
      <c r="BY121" s="34"/>
      <c r="BZ121" s="34"/>
      <c r="CA121" s="34"/>
      <c r="CB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</row>
    <row r="122" ht="15.75" customHeight="1">
      <c r="B122" s="34"/>
      <c r="E122" s="34"/>
      <c r="F122" s="34"/>
      <c r="G122" s="34"/>
      <c r="H122" s="34"/>
      <c r="I122" s="34"/>
      <c r="J122" s="34"/>
      <c r="K122" s="34"/>
      <c r="L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AA122" s="34"/>
      <c r="AB122" s="34"/>
      <c r="AC122" s="34"/>
      <c r="AD122" s="34"/>
      <c r="AE122" s="34"/>
      <c r="AF122" s="34"/>
      <c r="AG122" s="34"/>
      <c r="AH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I122" s="34"/>
      <c r="BJ122" s="34"/>
      <c r="BK122" s="34"/>
      <c r="BL122" s="34"/>
      <c r="BM122" s="34"/>
      <c r="BN122" s="34"/>
      <c r="BO122" s="34"/>
      <c r="BP122" s="34"/>
      <c r="BY122" s="34"/>
      <c r="BZ122" s="34"/>
      <c r="CA122" s="34"/>
      <c r="CB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</row>
    <row r="123" ht="15.75" customHeight="1">
      <c r="B123" s="34"/>
      <c r="E123" s="34"/>
      <c r="F123" s="34"/>
      <c r="G123" s="34"/>
      <c r="H123" s="34"/>
      <c r="I123" s="34"/>
      <c r="J123" s="34"/>
      <c r="K123" s="34"/>
      <c r="L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AA123" s="34"/>
      <c r="AB123" s="34"/>
      <c r="AC123" s="34"/>
      <c r="AD123" s="34"/>
      <c r="AE123" s="34"/>
      <c r="AF123" s="34"/>
      <c r="AG123" s="34"/>
      <c r="AH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I123" s="34"/>
      <c r="BJ123" s="34"/>
      <c r="BK123" s="34"/>
      <c r="BL123" s="34"/>
      <c r="BM123" s="34"/>
      <c r="BN123" s="34"/>
      <c r="BO123" s="34"/>
      <c r="BP123" s="34"/>
      <c r="BY123" s="34"/>
      <c r="BZ123" s="34"/>
      <c r="CA123" s="34"/>
      <c r="CB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</row>
    <row r="124" ht="15.75" customHeight="1">
      <c r="B124" s="34"/>
      <c r="E124" s="34"/>
      <c r="F124" s="34"/>
      <c r="G124" s="34"/>
      <c r="H124" s="34"/>
      <c r="I124" s="34"/>
      <c r="J124" s="34"/>
      <c r="K124" s="34"/>
      <c r="L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AA124" s="34"/>
      <c r="AB124" s="34"/>
      <c r="AC124" s="34"/>
      <c r="AD124" s="34"/>
      <c r="AE124" s="34"/>
      <c r="AF124" s="34"/>
      <c r="AG124" s="34"/>
      <c r="AH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I124" s="34"/>
      <c r="BJ124" s="34"/>
      <c r="BK124" s="34"/>
      <c r="BL124" s="34"/>
      <c r="BM124" s="34"/>
      <c r="BN124" s="34"/>
      <c r="BO124" s="34"/>
      <c r="BP124" s="34"/>
      <c r="BY124" s="34"/>
      <c r="BZ124" s="34"/>
      <c r="CA124" s="34"/>
      <c r="CB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</row>
    <row r="125" ht="15.75" customHeight="1">
      <c r="B125" s="34"/>
      <c r="E125" s="34"/>
      <c r="F125" s="34"/>
      <c r="G125" s="34"/>
      <c r="H125" s="34"/>
      <c r="I125" s="34"/>
      <c r="J125" s="34"/>
      <c r="K125" s="34"/>
      <c r="L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AA125" s="34"/>
      <c r="AB125" s="34"/>
      <c r="AC125" s="34"/>
      <c r="AD125" s="34"/>
      <c r="AE125" s="34"/>
      <c r="AF125" s="34"/>
      <c r="AG125" s="34"/>
      <c r="AH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I125" s="34"/>
      <c r="BJ125" s="34"/>
      <c r="BK125" s="34"/>
      <c r="BL125" s="34"/>
      <c r="BM125" s="34"/>
      <c r="BN125" s="34"/>
      <c r="BO125" s="34"/>
      <c r="BP125" s="34"/>
      <c r="BY125" s="34"/>
      <c r="BZ125" s="34"/>
      <c r="CA125" s="34"/>
      <c r="CB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</row>
    <row r="126" ht="15.75" customHeight="1">
      <c r="B126" s="34"/>
      <c r="E126" s="34"/>
      <c r="F126" s="34"/>
      <c r="G126" s="34"/>
      <c r="H126" s="34"/>
      <c r="I126" s="34"/>
      <c r="J126" s="34"/>
      <c r="K126" s="34"/>
      <c r="L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AA126" s="34"/>
      <c r="AB126" s="34"/>
      <c r="AC126" s="34"/>
      <c r="AD126" s="34"/>
      <c r="AE126" s="34"/>
      <c r="AF126" s="34"/>
      <c r="AG126" s="34"/>
      <c r="AH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I126" s="34"/>
      <c r="BJ126" s="34"/>
      <c r="BK126" s="34"/>
      <c r="BL126" s="34"/>
      <c r="BM126" s="34"/>
      <c r="BN126" s="34"/>
      <c r="BO126" s="34"/>
      <c r="BP126" s="34"/>
      <c r="BY126" s="34"/>
      <c r="BZ126" s="34"/>
      <c r="CA126" s="34"/>
      <c r="CB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</row>
    <row r="127" ht="15.75" customHeight="1">
      <c r="B127" s="34"/>
      <c r="E127" s="34"/>
      <c r="F127" s="34"/>
      <c r="G127" s="34"/>
      <c r="H127" s="34"/>
      <c r="I127" s="34"/>
      <c r="J127" s="34"/>
      <c r="K127" s="34"/>
      <c r="L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AA127" s="34"/>
      <c r="AB127" s="34"/>
      <c r="AC127" s="34"/>
      <c r="AD127" s="34"/>
      <c r="AE127" s="34"/>
      <c r="AF127" s="34"/>
      <c r="AG127" s="34"/>
      <c r="AH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I127" s="34"/>
      <c r="BJ127" s="34"/>
      <c r="BK127" s="34"/>
      <c r="BL127" s="34"/>
      <c r="BM127" s="34"/>
      <c r="BN127" s="34"/>
      <c r="BO127" s="34"/>
      <c r="BP127" s="34"/>
      <c r="BY127" s="34"/>
      <c r="BZ127" s="34"/>
      <c r="CA127" s="34"/>
      <c r="CB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</row>
    <row r="128" ht="15.75" customHeight="1">
      <c r="B128" s="34"/>
      <c r="E128" s="34"/>
      <c r="F128" s="34"/>
      <c r="G128" s="34"/>
      <c r="H128" s="34"/>
      <c r="I128" s="34"/>
      <c r="J128" s="34"/>
      <c r="K128" s="34"/>
      <c r="L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AA128" s="34"/>
      <c r="AB128" s="34"/>
      <c r="AC128" s="34"/>
      <c r="AD128" s="34"/>
      <c r="AE128" s="34"/>
      <c r="AF128" s="34"/>
      <c r="AG128" s="34"/>
      <c r="AH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I128" s="34"/>
      <c r="BJ128" s="34"/>
      <c r="BK128" s="34"/>
      <c r="BL128" s="34"/>
      <c r="BM128" s="34"/>
      <c r="BN128" s="34"/>
      <c r="BO128" s="34"/>
      <c r="BP128" s="34"/>
      <c r="BY128" s="34"/>
      <c r="BZ128" s="34"/>
      <c r="CA128" s="34"/>
      <c r="CB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</row>
    <row r="129" ht="15.75" customHeight="1">
      <c r="B129" s="34"/>
      <c r="E129" s="34"/>
      <c r="F129" s="34"/>
      <c r="G129" s="34"/>
      <c r="H129" s="34"/>
      <c r="I129" s="34"/>
      <c r="J129" s="34"/>
      <c r="K129" s="34"/>
      <c r="L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AA129" s="34"/>
      <c r="AB129" s="34"/>
      <c r="AC129" s="34"/>
      <c r="AD129" s="34"/>
      <c r="AE129" s="34"/>
      <c r="AF129" s="34"/>
      <c r="AG129" s="34"/>
      <c r="AH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I129" s="34"/>
      <c r="BJ129" s="34"/>
      <c r="BK129" s="34"/>
      <c r="BL129" s="34"/>
      <c r="BM129" s="34"/>
      <c r="BN129" s="34"/>
      <c r="BO129" s="34"/>
      <c r="BP129" s="34"/>
      <c r="BY129" s="34"/>
      <c r="BZ129" s="34"/>
      <c r="CA129" s="34"/>
      <c r="CB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</row>
    <row r="130" ht="15.75" customHeight="1">
      <c r="B130" s="34"/>
      <c r="E130" s="34"/>
      <c r="F130" s="34"/>
      <c r="G130" s="34"/>
      <c r="H130" s="34"/>
      <c r="I130" s="34"/>
      <c r="J130" s="34"/>
      <c r="K130" s="34"/>
      <c r="L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AA130" s="34"/>
      <c r="AB130" s="34"/>
      <c r="AC130" s="34"/>
      <c r="AD130" s="34"/>
      <c r="AE130" s="34"/>
      <c r="AF130" s="34"/>
      <c r="AG130" s="34"/>
      <c r="AH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I130" s="34"/>
      <c r="BJ130" s="34"/>
      <c r="BK130" s="34"/>
      <c r="BL130" s="34"/>
      <c r="BM130" s="34"/>
      <c r="BN130" s="34"/>
      <c r="BO130" s="34"/>
      <c r="BP130" s="34"/>
      <c r="BY130" s="34"/>
      <c r="BZ130" s="34"/>
      <c r="CA130" s="34"/>
      <c r="CB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</row>
    <row r="131" ht="15.75" customHeight="1">
      <c r="B131" s="34"/>
      <c r="E131" s="34"/>
      <c r="F131" s="34"/>
      <c r="G131" s="34"/>
      <c r="H131" s="34"/>
      <c r="I131" s="34"/>
      <c r="J131" s="34"/>
      <c r="K131" s="34"/>
      <c r="L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AA131" s="34"/>
      <c r="AB131" s="34"/>
      <c r="AC131" s="34"/>
      <c r="AD131" s="34"/>
      <c r="AE131" s="34"/>
      <c r="AF131" s="34"/>
      <c r="AG131" s="34"/>
      <c r="AH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I131" s="34"/>
      <c r="BJ131" s="34"/>
      <c r="BK131" s="34"/>
      <c r="BL131" s="34"/>
      <c r="BM131" s="34"/>
      <c r="BN131" s="34"/>
      <c r="BO131" s="34"/>
      <c r="BP131" s="34"/>
      <c r="BY131" s="34"/>
      <c r="BZ131" s="34"/>
      <c r="CA131" s="34"/>
      <c r="CB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</row>
    <row r="132" ht="15.75" customHeight="1">
      <c r="B132" s="34"/>
      <c r="E132" s="34"/>
      <c r="F132" s="34"/>
      <c r="G132" s="34"/>
      <c r="H132" s="34"/>
      <c r="I132" s="34"/>
      <c r="J132" s="34"/>
      <c r="K132" s="34"/>
      <c r="L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AA132" s="34"/>
      <c r="AB132" s="34"/>
      <c r="AC132" s="34"/>
      <c r="AD132" s="34"/>
      <c r="AE132" s="34"/>
      <c r="AF132" s="34"/>
      <c r="AG132" s="34"/>
      <c r="AH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I132" s="34"/>
      <c r="BJ132" s="34"/>
      <c r="BK132" s="34"/>
      <c r="BL132" s="34"/>
      <c r="BM132" s="34"/>
      <c r="BN132" s="34"/>
      <c r="BO132" s="34"/>
      <c r="BP132" s="34"/>
      <c r="BY132" s="34"/>
      <c r="BZ132" s="34"/>
      <c r="CA132" s="34"/>
      <c r="CB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</row>
    <row r="133" ht="15.75" customHeight="1">
      <c r="B133" s="34"/>
      <c r="E133" s="34"/>
      <c r="F133" s="34"/>
      <c r="G133" s="34"/>
      <c r="H133" s="34"/>
      <c r="I133" s="34"/>
      <c r="J133" s="34"/>
      <c r="K133" s="34"/>
      <c r="L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AA133" s="34"/>
      <c r="AB133" s="34"/>
      <c r="AC133" s="34"/>
      <c r="AD133" s="34"/>
      <c r="AE133" s="34"/>
      <c r="AF133" s="34"/>
      <c r="AG133" s="34"/>
      <c r="AH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I133" s="34"/>
      <c r="BJ133" s="34"/>
      <c r="BK133" s="34"/>
      <c r="BL133" s="34"/>
      <c r="BM133" s="34"/>
      <c r="BN133" s="34"/>
      <c r="BO133" s="34"/>
      <c r="BP133" s="34"/>
      <c r="BY133" s="34"/>
      <c r="BZ133" s="34"/>
      <c r="CA133" s="34"/>
      <c r="CB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</row>
    <row r="134" ht="15.75" customHeight="1">
      <c r="B134" s="34"/>
      <c r="E134" s="34"/>
      <c r="F134" s="34"/>
      <c r="G134" s="34"/>
      <c r="H134" s="34"/>
      <c r="I134" s="34"/>
      <c r="J134" s="34"/>
      <c r="K134" s="34"/>
      <c r="L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AA134" s="34"/>
      <c r="AB134" s="34"/>
      <c r="AC134" s="34"/>
      <c r="AD134" s="34"/>
      <c r="AE134" s="34"/>
      <c r="AF134" s="34"/>
      <c r="AG134" s="34"/>
      <c r="AH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I134" s="34"/>
      <c r="BJ134" s="34"/>
      <c r="BK134" s="34"/>
      <c r="BL134" s="34"/>
      <c r="BM134" s="34"/>
      <c r="BN134" s="34"/>
      <c r="BO134" s="34"/>
      <c r="BP134" s="34"/>
      <c r="BY134" s="34"/>
      <c r="BZ134" s="34"/>
      <c r="CA134" s="34"/>
      <c r="CB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</row>
    <row r="135" ht="15.75" customHeight="1">
      <c r="B135" s="34"/>
      <c r="E135" s="34"/>
      <c r="F135" s="34"/>
      <c r="G135" s="34"/>
      <c r="H135" s="34"/>
      <c r="I135" s="34"/>
      <c r="J135" s="34"/>
      <c r="K135" s="34"/>
      <c r="L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AA135" s="34"/>
      <c r="AB135" s="34"/>
      <c r="AC135" s="34"/>
      <c r="AD135" s="34"/>
      <c r="AE135" s="34"/>
      <c r="AF135" s="34"/>
      <c r="AG135" s="34"/>
      <c r="AH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I135" s="34"/>
      <c r="BJ135" s="34"/>
      <c r="BK135" s="34"/>
      <c r="BL135" s="34"/>
      <c r="BM135" s="34"/>
      <c r="BN135" s="34"/>
      <c r="BO135" s="34"/>
      <c r="BP135" s="34"/>
      <c r="BY135" s="34"/>
      <c r="BZ135" s="34"/>
      <c r="CA135" s="34"/>
      <c r="CB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</row>
    <row r="136" ht="15.75" customHeight="1">
      <c r="B136" s="34"/>
      <c r="E136" s="34"/>
      <c r="F136" s="34"/>
      <c r="G136" s="34"/>
      <c r="H136" s="34"/>
      <c r="I136" s="34"/>
      <c r="J136" s="34"/>
      <c r="K136" s="34"/>
      <c r="L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AA136" s="34"/>
      <c r="AB136" s="34"/>
      <c r="AC136" s="34"/>
      <c r="AD136" s="34"/>
      <c r="AE136" s="34"/>
      <c r="AF136" s="34"/>
      <c r="AG136" s="34"/>
      <c r="AH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I136" s="34"/>
      <c r="BJ136" s="34"/>
      <c r="BK136" s="34"/>
      <c r="BL136" s="34"/>
      <c r="BM136" s="34"/>
      <c r="BN136" s="34"/>
      <c r="BO136" s="34"/>
      <c r="BP136" s="34"/>
      <c r="BY136" s="34"/>
      <c r="BZ136" s="34"/>
      <c r="CA136" s="34"/>
      <c r="CB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</row>
    <row r="137" ht="15.75" customHeight="1">
      <c r="B137" s="34"/>
      <c r="E137" s="34"/>
      <c r="F137" s="34"/>
      <c r="G137" s="34"/>
      <c r="H137" s="34"/>
      <c r="I137" s="34"/>
      <c r="J137" s="34"/>
      <c r="K137" s="34"/>
      <c r="L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AA137" s="34"/>
      <c r="AB137" s="34"/>
      <c r="AC137" s="34"/>
      <c r="AD137" s="34"/>
      <c r="AE137" s="34"/>
      <c r="AF137" s="34"/>
      <c r="AG137" s="34"/>
      <c r="AH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I137" s="34"/>
      <c r="BJ137" s="34"/>
      <c r="BK137" s="34"/>
      <c r="BL137" s="34"/>
      <c r="BM137" s="34"/>
      <c r="BN137" s="34"/>
      <c r="BO137" s="34"/>
      <c r="BP137" s="34"/>
      <c r="BY137" s="34"/>
      <c r="BZ137" s="34"/>
      <c r="CA137" s="34"/>
      <c r="CB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</row>
    <row r="138" ht="15.75" customHeight="1">
      <c r="B138" s="34"/>
      <c r="E138" s="34"/>
      <c r="F138" s="34"/>
      <c r="G138" s="34"/>
      <c r="H138" s="34"/>
      <c r="I138" s="34"/>
      <c r="J138" s="34"/>
      <c r="K138" s="34"/>
      <c r="L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AA138" s="34"/>
      <c r="AB138" s="34"/>
      <c r="AC138" s="34"/>
      <c r="AD138" s="34"/>
      <c r="AE138" s="34"/>
      <c r="AF138" s="34"/>
      <c r="AG138" s="34"/>
      <c r="AH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I138" s="34"/>
      <c r="BJ138" s="34"/>
      <c r="BK138" s="34"/>
      <c r="BL138" s="34"/>
      <c r="BM138" s="34"/>
      <c r="BN138" s="34"/>
      <c r="BO138" s="34"/>
      <c r="BP138" s="34"/>
      <c r="BY138" s="34"/>
      <c r="BZ138" s="34"/>
      <c r="CA138" s="34"/>
      <c r="CB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</row>
    <row r="139" ht="15.75" customHeight="1">
      <c r="B139" s="34"/>
      <c r="E139" s="34"/>
      <c r="F139" s="34"/>
      <c r="G139" s="34"/>
      <c r="H139" s="34"/>
      <c r="I139" s="34"/>
      <c r="J139" s="34"/>
      <c r="K139" s="34"/>
      <c r="L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AA139" s="34"/>
      <c r="AB139" s="34"/>
      <c r="AC139" s="34"/>
      <c r="AD139" s="34"/>
      <c r="AE139" s="34"/>
      <c r="AF139" s="34"/>
      <c r="AG139" s="34"/>
      <c r="AH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I139" s="34"/>
      <c r="BJ139" s="34"/>
      <c r="BK139" s="34"/>
      <c r="BL139" s="34"/>
      <c r="BM139" s="34"/>
      <c r="BN139" s="34"/>
      <c r="BO139" s="34"/>
      <c r="BP139" s="34"/>
      <c r="BY139" s="34"/>
      <c r="BZ139" s="34"/>
      <c r="CA139" s="34"/>
      <c r="CB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</row>
    <row r="140" ht="15.75" customHeight="1">
      <c r="B140" s="34"/>
      <c r="E140" s="34"/>
      <c r="F140" s="34"/>
      <c r="G140" s="34"/>
      <c r="H140" s="34"/>
      <c r="I140" s="34"/>
      <c r="J140" s="34"/>
      <c r="K140" s="34"/>
      <c r="L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AA140" s="34"/>
      <c r="AB140" s="34"/>
      <c r="AC140" s="34"/>
      <c r="AD140" s="34"/>
      <c r="AE140" s="34"/>
      <c r="AF140" s="34"/>
      <c r="AG140" s="34"/>
      <c r="AH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I140" s="34"/>
      <c r="BJ140" s="34"/>
      <c r="BK140" s="34"/>
      <c r="BL140" s="34"/>
      <c r="BM140" s="34"/>
      <c r="BN140" s="34"/>
      <c r="BO140" s="34"/>
      <c r="BP140" s="34"/>
      <c r="BY140" s="34"/>
      <c r="BZ140" s="34"/>
      <c r="CA140" s="34"/>
      <c r="CB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</row>
    <row r="141" ht="15.75" customHeight="1">
      <c r="B141" s="34"/>
      <c r="E141" s="34"/>
      <c r="F141" s="34"/>
      <c r="G141" s="34"/>
      <c r="H141" s="34"/>
      <c r="I141" s="34"/>
      <c r="J141" s="34"/>
      <c r="K141" s="34"/>
      <c r="L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AA141" s="34"/>
      <c r="AB141" s="34"/>
      <c r="AC141" s="34"/>
      <c r="AD141" s="34"/>
      <c r="AE141" s="34"/>
      <c r="AF141" s="34"/>
      <c r="AG141" s="34"/>
      <c r="AH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I141" s="34"/>
      <c r="BJ141" s="34"/>
      <c r="BK141" s="34"/>
      <c r="BL141" s="34"/>
      <c r="BM141" s="34"/>
      <c r="BN141" s="34"/>
      <c r="BO141" s="34"/>
      <c r="BP141" s="34"/>
      <c r="BY141" s="34"/>
      <c r="BZ141" s="34"/>
      <c r="CA141" s="34"/>
      <c r="CB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</row>
    <row r="142" ht="15.75" customHeight="1">
      <c r="B142" s="34"/>
      <c r="E142" s="34"/>
      <c r="F142" s="34"/>
      <c r="G142" s="34"/>
      <c r="H142" s="34"/>
      <c r="I142" s="34"/>
      <c r="J142" s="34"/>
      <c r="K142" s="34"/>
      <c r="L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AA142" s="34"/>
      <c r="AB142" s="34"/>
      <c r="AC142" s="34"/>
      <c r="AD142" s="34"/>
      <c r="AE142" s="34"/>
      <c r="AF142" s="34"/>
      <c r="AG142" s="34"/>
      <c r="AH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I142" s="34"/>
      <c r="BJ142" s="34"/>
      <c r="BK142" s="34"/>
      <c r="BL142" s="34"/>
      <c r="BM142" s="34"/>
      <c r="BN142" s="34"/>
      <c r="BO142" s="34"/>
      <c r="BP142" s="34"/>
      <c r="BY142" s="34"/>
      <c r="BZ142" s="34"/>
      <c r="CA142" s="34"/>
      <c r="CB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</row>
    <row r="143" ht="15.75" customHeight="1">
      <c r="B143" s="34"/>
      <c r="E143" s="34"/>
      <c r="F143" s="34"/>
      <c r="G143" s="34"/>
      <c r="H143" s="34"/>
      <c r="I143" s="34"/>
      <c r="J143" s="34"/>
      <c r="K143" s="34"/>
      <c r="L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AA143" s="34"/>
      <c r="AB143" s="34"/>
      <c r="AC143" s="34"/>
      <c r="AD143" s="34"/>
      <c r="AE143" s="34"/>
      <c r="AF143" s="34"/>
      <c r="AG143" s="34"/>
      <c r="AH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I143" s="34"/>
      <c r="BJ143" s="34"/>
      <c r="BK143" s="34"/>
      <c r="BL143" s="34"/>
      <c r="BM143" s="34"/>
      <c r="BN143" s="34"/>
      <c r="BO143" s="34"/>
      <c r="BP143" s="34"/>
      <c r="BY143" s="34"/>
      <c r="BZ143" s="34"/>
      <c r="CA143" s="34"/>
      <c r="CB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</row>
    <row r="144" ht="15.75" customHeight="1">
      <c r="B144" s="34"/>
      <c r="E144" s="34"/>
      <c r="F144" s="34"/>
      <c r="G144" s="34"/>
      <c r="H144" s="34"/>
      <c r="I144" s="34"/>
      <c r="J144" s="34"/>
      <c r="K144" s="34"/>
      <c r="L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AA144" s="34"/>
      <c r="AB144" s="34"/>
      <c r="AC144" s="34"/>
      <c r="AD144" s="34"/>
      <c r="AE144" s="34"/>
      <c r="AF144" s="34"/>
      <c r="AG144" s="34"/>
      <c r="AH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I144" s="34"/>
      <c r="BJ144" s="34"/>
      <c r="BK144" s="34"/>
      <c r="BL144" s="34"/>
      <c r="BM144" s="34"/>
      <c r="BN144" s="34"/>
      <c r="BO144" s="34"/>
      <c r="BP144" s="34"/>
      <c r="BY144" s="34"/>
      <c r="BZ144" s="34"/>
      <c r="CA144" s="34"/>
      <c r="CB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</row>
    <row r="145" ht="15.75" customHeight="1">
      <c r="B145" s="34"/>
      <c r="E145" s="34"/>
      <c r="F145" s="34"/>
      <c r="G145" s="34"/>
      <c r="H145" s="34"/>
      <c r="I145" s="34"/>
      <c r="J145" s="34"/>
      <c r="K145" s="34"/>
      <c r="L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AA145" s="34"/>
      <c r="AB145" s="34"/>
      <c r="AC145" s="34"/>
      <c r="AD145" s="34"/>
      <c r="AE145" s="34"/>
      <c r="AF145" s="34"/>
      <c r="AG145" s="34"/>
      <c r="AH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I145" s="34"/>
      <c r="BJ145" s="34"/>
      <c r="BK145" s="34"/>
      <c r="BL145" s="34"/>
      <c r="BM145" s="34"/>
      <c r="BN145" s="34"/>
      <c r="BO145" s="34"/>
      <c r="BP145" s="34"/>
      <c r="BY145" s="34"/>
      <c r="BZ145" s="34"/>
      <c r="CA145" s="34"/>
      <c r="CB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</row>
    <row r="146" ht="15.75" customHeight="1">
      <c r="B146" s="34"/>
      <c r="E146" s="34"/>
      <c r="F146" s="34"/>
      <c r="G146" s="34"/>
      <c r="H146" s="34"/>
      <c r="I146" s="34"/>
      <c r="J146" s="34"/>
      <c r="K146" s="34"/>
      <c r="L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AA146" s="34"/>
      <c r="AB146" s="34"/>
      <c r="AC146" s="34"/>
      <c r="AD146" s="34"/>
      <c r="AE146" s="34"/>
      <c r="AF146" s="34"/>
      <c r="AG146" s="34"/>
      <c r="AH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I146" s="34"/>
      <c r="BJ146" s="34"/>
      <c r="BK146" s="34"/>
      <c r="BL146" s="34"/>
      <c r="BM146" s="34"/>
      <c r="BN146" s="34"/>
      <c r="BO146" s="34"/>
      <c r="BP146" s="34"/>
      <c r="BY146" s="34"/>
      <c r="BZ146" s="34"/>
      <c r="CA146" s="34"/>
      <c r="CB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</row>
    <row r="147" ht="15.75" customHeight="1">
      <c r="B147" s="34"/>
      <c r="E147" s="34"/>
      <c r="F147" s="34"/>
      <c r="G147" s="34"/>
      <c r="H147" s="34"/>
      <c r="I147" s="34"/>
      <c r="J147" s="34"/>
      <c r="K147" s="34"/>
      <c r="L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AA147" s="34"/>
      <c r="AB147" s="34"/>
      <c r="AC147" s="34"/>
      <c r="AD147" s="34"/>
      <c r="AE147" s="34"/>
      <c r="AF147" s="34"/>
      <c r="AG147" s="34"/>
      <c r="AH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I147" s="34"/>
      <c r="BJ147" s="34"/>
      <c r="BK147" s="34"/>
      <c r="BL147" s="34"/>
      <c r="BM147" s="34"/>
      <c r="BN147" s="34"/>
      <c r="BO147" s="34"/>
      <c r="BP147" s="34"/>
      <c r="BY147" s="34"/>
      <c r="BZ147" s="34"/>
      <c r="CA147" s="34"/>
      <c r="CB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</row>
    <row r="148" ht="15.75" customHeight="1">
      <c r="B148" s="34"/>
      <c r="E148" s="34"/>
      <c r="F148" s="34"/>
      <c r="G148" s="34"/>
      <c r="H148" s="34"/>
      <c r="I148" s="34"/>
      <c r="J148" s="34"/>
      <c r="K148" s="34"/>
      <c r="L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AA148" s="34"/>
      <c r="AB148" s="34"/>
      <c r="AC148" s="34"/>
      <c r="AD148" s="34"/>
      <c r="AE148" s="34"/>
      <c r="AF148" s="34"/>
      <c r="AG148" s="34"/>
      <c r="AH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I148" s="34"/>
      <c r="BJ148" s="34"/>
      <c r="BK148" s="34"/>
      <c r="BL148" s="34"/>
      <c r="BM148" s="34"/>
      <c r="BN148" s="34"/>
      <c r="BO148" s="34"/>
      <c r="BP148" s="34"/>
      <c r="BY148" s="34"/>
      <c r="BZ148" s="34"/>
      <c r="CA148" s="34"/>
      <c r="CB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</row>
    <row r="149" ht="15.75" customHeight="1">
      <c r="B149" s="34"/>
      <c r="E149" s="34"/>
      <c r="F149" s="34"/>
      <c r="G149" s="34"/>
      <c r="H149" s="34"/>
      <c r="I149" s="34"/>
      <c r="J149" s="34"/>
      <c r="K149" s="34"/>
      <c r="L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AA149" s="34"/>
      <c r="AB149" s="34"/>
      <c r="AC149" s="34"/>
      <c r="AD149" s="34"/>
      <c r="AE149" s="34"/>
      <c r="AF149" s="34"/>
      <c r="AG149" s="34"/>
      <c r="AH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I149" s="34"/>
      <c r="BJ149" s="34"/>
      <c r="BK149" s="34"/>
      <c r="BL149" s="34"/>
      <c r="BM149" s="34"/>
      <c r="BN149" s="34"/>
      <c r="BO149" s="34"/>
      <c r="BP149" s="34"/>
      <c r="BY149" s="34"/>
      <c r="BZ149" s="34"/>
      <c r="CA149" s="34"/>
      <c r="CB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</row>
    <row r="150" ht="15.75" customHeight="1">
      <c r="B150" s="34"/>
      <c r="E150" s="34"/>
      <c r="F150" s="34"/>
      <c r="G150" s="34"/>
      <c r="H150" s="34"/>
      <c r="I150" s="34"/>
      <c r="J150" s="34"/>
      <c r="K150" s="34"/>
      <c r="L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AA150" s="34"/>
      <c r="AB150" s="34"/>
      <c r="AC150" s="34"/>
      <c r="AD150" s="34"/>
      <c r="AE150" s="34"/>
      <c r="AF150" s="34"/>
      <c r="AG150" s="34"/>
      <c r="AH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I150" s="34"/>
      <c r="BJ150" s="34"/>
      <c r="BK150" s="34"/>
      <c r="BL150" s="34"/>
      <c r="BM150" s="34"/>
      <c r="BN150" s="34"/>
      <c r="BO150" s="34"/>
      <c r="BP150" s="34"/>
      <c r="BY150" s="34"/>
      <c r="BZ150" s="34"/>
      <c r="CA150" s="34"/>
      <c r="CB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</row>
    <row r="151" ht="15.75" customHeight="1">
      <c r="B151" s="34"/>
      <c r="E151" s="34"/>
      <c r="F151" s="34"/>
      <c r="G151" s="34"/>
      <c r="H151" s="34"/>
      <c r="I151" s="34"/>
      <c r="J151" s="34"/>
      <c r="K151" s="34"/>
      <c r="L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AA151" s="34"/>
      <c r="AB151" s="34"/>
      <c r="AC151" s="34"/>
      <c r="AD151" s="34"/>
      <c r="AE151" s="34"/>
      <c r="AF151" s="34"/>
      <c r="AG151" s="34"/>
      <c r="AH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I151" s="34"/>
      <c r="BJ151" s="34"/>
      <c r="BK151" s="34"/>
      <c r="BL151" s="34"/>
      <c r="BM151" s="34"/>
      <c r="BN151" s="34"/>
      <c r="BO151" s="34"/>
      <c r="BP151" s="34"/>
      <c r="BY151" s="34"/>
      <c r="BZ151" s="34"/>
      <c r="CA151" s="34"/>
      <c r="CB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</row>
    <row r="152" ht="15.75" customHeight="1">
      <c r="B152" s="34"/>
      <c r="E152" s="34"/>
      <c r="F152" s="34"/>
      <c r="G152" s="34"/>
      <c r="H152" s="34"/>
      <c r="I152" s="34"/>
      <c r="J152" s="34"/>
      <c r="K152" s="34"/>
      <c r="L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AA152" s="34"/>
      <c r="AB152" s="34"/>
      <c r="AC152" s="34"/>
      <c r="AD152" s="34"/>
      <c r="AE152" s="34"/>
      <c r="AF152" s="34"/>
      <c r="AG152" s="34"/>
      <c r="AH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I152" s="34"/>
      <c r="BJ152" s="34"/>
      <c r="BK152" s="34"/>
      <c r="BL152" s="34"/>
      <c r="BM152" s="34"/>
      <c r="BN152" s="34"/>
      <c r="BO152" s="34"/>
      <c r="BP152" s="34"/>
      <c r="BY152" s="34"/>
      <c r="BZ152" s="34"/>
      <c r="CA152" s="34"/>
      <c r="CB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</row>
    <row r="153" ht="15.75" customHeight="1">
      <c r="B153" s="34"/>
      <c r="E153" s="34"/>
      <c r="F153" s="34"/>
      <c r="G153" s="34"/>
      <c r="H153" s="34"/>
      <c r="I153" s="34"/>
      <c r="J153" s="34"/>
      <c r="K153" s="34"/>
      <c r="L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AA153" s="34"/>
      <c r="AB153" s="34"/>
      <c r="AC153" s="34"/>
      <c r="AD153" s="34"/>
      <c r="AE153" s="34"/>
      <c r="AF153" s="34"/>
      <c r="AG153" s="34"/>
      <c r="AH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I153" s="34"/>
      <c r="BJ153" s="34"/>
      <c r="BK153" s="34"/>
      <c r="BL153" s="34"/>
      <c r="BM153" s="34"/>
      <c r="BN153" s="34"/>
      <c r="BO153" s="34"/>
      <c r="BP153" s="34"/>
      <c r="BY153" s="34"/>
      <c r="BZ153" s="34"/>
      <c r="CA153" s="34"/>
      <c r="CB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</row>
    <row r="154" ht="15.75" customHeight="1">
      <c r="B154" s="34"/>
      <c r="E154" s="34"/>
      <c r="F154" s="34"/>
      <c r="G154" s="34"/>
      <c r="H154" s="34"/>
      <c r="I154" s="34"/>
      <c r="J154" s="34"/>
      <c r="K154" s="34"/>
      <c r="L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AA154" s="34"/>
      <c r="AB154" s="34"/>
      <c r="AC154" s="34"/>
      <c r="AD154" s="34"/>
      <c r="AE154" s="34"/>
      <c r="AF154" s="34"/>
      <c r="AG154" s="34"/>
      <c r="AH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I154" s="34"/>
      <c r="BJ154" s="34"/>
      <c r="BK154" s="34"/>
      <c r="BL154" s="34"/>
      <c r="BM154" s="34"/>
      <c r="BN154" s="34"/>
      <c r="BO154" s="34"/>
      <c r="BP154" s="34"/>
      <c r="BY154" s="34"/>
      <c r="BZ154" s="34"/>
      <c r="CA154" s="34"/>
      <c r="CB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</row>
    <row r="155" ht="15.75" customHeight="1">
      <c r="B155" s="34"/>
      <c r="E155" s="34"/>
      <c r="F155" s="34"/>
      <c r="G155" s="34"/>
      <c r="H155" s="34"/>
      <c r="I155" s="34"/>
      <c r="J155" s="34"/>
      <c r="K155" s="34"/>
      <c r="L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AA155" s="34"/>
      <c r="AB155" s="34"/>
      <c r="AC155" s="34"/>
      <c r="AD155" s="34"/>
      <c r="AE155" s="34"/>
      <c r="AF155" s="34"/>
      <c r="AG155" s="34"/>
      <c r="AH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I155" s="34"/>
      <c r="BJ155" s="34"/>
      <c r="BK155" s="34"/>
      <c r="BL155" s="34"/>
      <c r="BM155" s="34"/>
      <c r="BN155" s="34"/>
      <c r="BO155" s="34"/>
      <c r="BP155" s="34"/>
      <c r="BY155" s="34"/>
      <c r="BZ155" s="34"/>
      <c r="CA155" s="34"/>
      <c r="CB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</row>
    <row r="156" ht="15.75" customHeight="1">
      <c r="B156" s="34"/>
      <c r="E156" s="34"/>
      <c r="F156" s="34"/>
      <c r="G156" s="34"/>
      <c r="H156" s="34"/>
      <c r="I156" s="34"/>
      <c r="J156" s="34"/>
      <c r="K156" s="34"/>
      <c r="L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AA156" s="34"/>
      <c r="AB156" s="34"/>
      <c r="AC156" s="34"/>
      <c r="AD156" s="34"/>
      <c r="AE156" s="34"/>
      <c r="AF156" s="34"/>
      <c r="AG156" s="34"/>
      <c r="AH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I156" s="34"/>
      <c r="BJ156" s="34"/>
      <c r="BK156" s="34"/>
      <c r="BL156" s="34"/>
      <c r="BM156" s="34"/>
      <c r="BN156" s="34"/>
      <c r="BO156" s="34"/>
      <c r="BP156" s="34"/>
      <c r="BY156" s="34"/>
      <c r="BZ156" s="34"/>
      <c r="CA156" s="34"/>
      <c r="CB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</row>
    <row r="157" ht="15.75" customHeight="1">
      <c r="B157" s="34"/>
      <c r="E157" s="34"/>
      <c r="F157" s="34"/>
      <c r="G157" s="34"/>
      <c r="H157" s="34"/>
      <c r="I157" s="34"/>
      <c r="J157" s="34"/>
      <c r="K157" s="34"/>
      <c r="L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AA157" s="34"/>
      <c r="AB157" s="34"/>
      <c r="AC157" s="34"/>
      <c r="AD157" s="34"/>
      <c r="AE157" s="34"/>
      <c r="AF157" s="34"/>
      <c r="AG157" s="34"/>
      <c r="AH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I157" s="34"/>
      <c r="BJ157" s="34"/>
      <c r="BK157" s="34"/>
      <c r="BL157" s="34"/>
      <c r="BM157" s="34"/>
      <c r="BN157" s="34"/>
      <c r="BO157" s="34"/>
      <c r="BP157" s="34"/>
      <c r="BY157" s="34"/>
      <c r="BZ157" s="34"/>
      <c r="CA157" s="34"/>
      <c r="CB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</row>
    <row r="158" ht="15.75" customHeight="1">
      <c r="B158" s="34"/>
      <c r="E158" s="34"/>
      <c r="F158" s="34"/>
      <c r="G158" s="34"/>
      <c r="H158" s="34"/>
      <c r="I158" s="34"/>
      <c r="J158" s="34"/>
      <c r="K158" s="34"/>
      <c r="L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AA158" s="34"/>
      <c r="AB158" s="34"/>
      <c r="AC158" s="34"/>
      <c r="AD158" s="34"/>
      <c r="AE158" s="34"/>
      <c r="AF158" s="34"/>
      <c r="AG158" s="34"/>
      <c r="AH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I158" s="34"/>
      <c r="BJ158" s="34"/>
      <c r="BK158" s="34"/>
      <c r="BL158" s="34"/>
      <c r="BM158" s="34"/>
      <c r="BN158" s="34"/>
      <c r="BO158" s="34"/>
      <c r="BP158" s="34"/>
      <c r="BY158" s="34"/>
      <c r="BZ158" s="34"/>
      <c r="CA158" s="34"/>
      <c r="CB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</row>
    <row r="159" ht="15.75" customHeight="1">
      <c r="B159" s="34"/>
      <c r="E159" s="34"/>
      <c r="F159" s="34"/>
      <c r="G159" s="34"/>
      <c r="H159" s="34"/>
      <c r="I159" s="34"/>
      <c r="J159" s="34"/>
      <c r="K159" s="34"/>
      <c r="L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AA159" s="34"/>
      <c r="AB159" s="34"/>
      <c r="AC159" s="34"/>
      <c r="AD159" s="34"/>
      <c r="AE159" s="34"/>
      <c r="AF159" s="34"/>
      <c r="AG159" s="34"/>
      <c r="AH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I159" s="34"/>
      <c r="BJ159" s="34"/>
      <c r="BK159" s="34"/>
      <c r="BL159" s="34"/>
      <c r="BM159" s="34"/>
      <c r="BN159" s="34"/>
      <c r="BO159" s="34"/>
      <c r="BP159" s="34"/>
      <c r="BY159" s="34"/>
      <c r="BZ159" s="34"/>
      <c r="CA159" s="34"/>
      <c r="CB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</row>
    <row r="160" ht="15.75" customHeight="1">
      <c r="B160" s="34"/>
      <c r="E160" s="34"/>
      <c r="F160" s="34"/>
      <c r="G160" s="34"/>
      <c r="H160" s="34"/>
      <c r="I160" s="34"/>
      <c r="J160" s="34"/>
      <c r="K160" s="34"/>
      <c r="L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AA160" s="34"/>
      <c r="AB160" s="34"/>
      <c r="AC160" s="34"/>
      <c r="AD160" s="34"/>
      <c r="AE160" s="34"/>
      <c r="AF160" s="34"/>
      <c r="AG160" s="34"/>
      <c r="AH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I160" s="34"/>
      <c r="BJ160" s="34"/>
      <c r="BK160" s="34"/>
      <c r="BL160" s="34"/>
      <c r="BM160" s="34"/>
      <c r="BN160" s="34"/>
      <c r="BO160" s="34"/>
      <c r="BP160" s="34"/>
      <c r="BY160" s="34"/>
      <c r="BZ160" s="34"/>
      <c r="CA160" s="34"/>
      <c r="CB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</row>
    <row r="161" ht="15.75" customHeight="1">
      <c r="B161" s="34"/>
      <c r="E161" s="34"/>
      <c r="F161" s="34"/>
      <c r="G161" s="34"/>
      <c r="H161" s="34"/>
      <c r="I161" s="34"/>
      <c r="J161" s="34"/>
      <c r="K161" s="34"/>
      <c r="L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AA161" s="34"/>
      <c r="AB161" s="34"/>
      <c r="AC161" s="34"/>
      <c r="AD161" s="34"/>
      <c r="AE161" s="34"/>
      <c r="AF161" s="34"/>
      <c r="AG161" s="34"/>
      <c r="AH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I161" s="34"/>
      <c r="BJ161" s="34"/>
      <c r="BK161" s="34"/>
      <c r="BL161" s="34"/>
      <c r="BM161" s="34"/>
      <c r="BN161" s="34"/>
      <c r="BO161" s="34"/>
      <c r="BP161" s="34"/>
      <c r="BY161" s="34"/>
      <c r="BZ161" s="34"/>
      <c r="CA161" s="34"/>
      <c r="CB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</row>
    <row r="162" ht="15.75" customHeight="1">
      <c r="B162" s="34"/>
      <c r="E162" s="34"/>
      <c r="F162" s="34"/>
      <c r="G162" s="34"/>
      <c r="H162" s="34"/>
      <c r="I162" s="34"/>
      <c r="J162" s="34"/>
      <c r="K162" s="34"/>
      <c r="L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AA162" s="34"/>
      <c r="AB162" s="34"/>
      <c r="AC162" s="34"/>
      <c r="AD162" s="34"/>
      <c r="AE162" s="34"/>
      <c r="AF162" s="34"/>
      <c r="AG162" s="34"/>
      <c r="AH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I162" s="34"/>
      <c r="BJ162" s="34"/>
      <c r="BK162" s="34"/>
      <c r="BL162" s="34"/>
      <c r="BM162" s="34"/>
      <c r="BN162" s="34"/>
      <c r="BO162" s="34"/>
      <c r="BP162" s="34"/>
      <c r="BY162" s="34"/>
      <c r="BZ162" s="34"/>
      <c r="CA162" s="34"/>
      <c r="CB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</row>
    <row r="163" ht="15.75" customHeight="1">
      <c r="B163" s="34"/>
      <c r="E163" s="34"/>
      <c r="F163" s="34"/>
      <c r="G163" s="34"/>
      <c r="H163" s="34"/>
      <c r="I163" s="34"/>
      <c r="J163" s="34"/>
      <c r="K163" s="34"/>
      <c r="L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AA163" s="34"/>
      <c r="AB163" s="34"/>
      <c r="AC163" s="34"/>
      <c r="AD163" s="34"/>
      <c r="AE163" s="34"/>
      <c r="AF163" s="34"/>
      <c r="AG163" s="34"/>
      <c r="AH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I163" s="34"/>
      <c r="BJ163" s="34"/>
      <c r="BK163" s="34"/>
      <c r="BL163" s="34"/>
      <c r="BM163" s="34"/>
      <c r="BN163" s="34"/>
      <c r="BO163" s="34"/>
      <c r="BP163" s="34"/>
      <c r="BY163" s="34"/>
      <c r="BZ163" s="34"/>
      <c r="CA163" s="34"/>
      <c r="CB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</row>
    <row r="164" ht="15.75" customHeight="1">
      <c r="B164" s="34"/>
      <c r="E164" s="34"/>
      <c r="F164" s="34"/>
      <c r="G164" s="34"/>
      <c r="H164" s="34"/>
      <c r="I164" s="34"/>
      <c r="J164" s="34"/>
      <c r="K164" s="34"/>
      <c r="L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AA164" s="34"/>
      <c r="AB164" s="34"/>
      <c r="AC164" s="34"/>
      <c r="AD164" s="34"/>
      <c r="AE164" s="34"/>
      <c r="AF164" s="34"/>
      <c r="AG164" s="34"/>
      <c r="AH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I164" s="34"/>
      <c r="BJ164" s="34"/>
      <c r="BK164" s="34"/>
      <c r="BL164" s="34"/>
      <c r="BM164" s="34"/>
      <c r="BN164" s="34"/>
      <c r="BO164" s="34"/>
      <c r="BP164" s="34"/>
      <c r="BY164" s="34"/>
      <c r="BZ164" s="34"/>
      <c r="CA164" s="34"/>
      <c r="CB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</row>
    <row r="165" ht="15.75" customHeight="1">
      <c r="B165" s="34"/>
      <c r="E165" s="34"/>
      <c r="F165" s="34"/>
      <c r="G165" s="34"/>
      <c r="H165" s="34"/>
      <c r="I165" s="34"/>
      <c r="J165" s="34"/>
      <c r="K165" s="34"/>
      <c r="L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AA165" s="34"/>
      <c r="AB165" s="34"/>
      <c r="AC165" s="34"/>
      <c r="AD165" s="34"/>
      <c r="AE165" s="34"/>
      <c r="AF165" s="34"/>
      <c r="AG165" s="34"/>
      <c r="AH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I165" s="34"/>
      <c r="BJ165" s="34"/>
      <c r="BK165" s="34"/>
      <c r="BL165" s="34"/>
      <c r="BM165" s="34"/>
      <c r="BN165" s="34"/>
      <c r="BO165" s="34"/>
      <c r="BP165" s="34"/>
      <c r="BY165" s="34"/>
      <c r="BZ165" s="34"/>
      <c r="CA165" s="34"/>
      <c r="CB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</row>
    <row r="166" ht="15.75" customHeight="1">
      <c r="B166" s="34"/>
      <c r="E166" s="34"/>
      <c r="F166" s="34"/>
      <c r="G166" s="34"/>
      <c r="H166" s="34"/>
      <c r="I166" s="34"/>
      <c r="J166" s="34"/>
      <c r="K166" s="34"/>
      <c r="L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AA166" s="34"/>
      <c r="AB166" s="34"/>
      <c r="AC166" s="34"/>
      <c r="AD166" s="34"/>
      <c r="AE166" s="34"/>
      <c r="AF166" s="34"/>
      <c r="AG166" s="34"/>
      <c r="AH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I166" s="34"/>
      <c r="BJ166" s="34"/>
      <c r="BK166" s="34"/>
      <c r="BL166" s="34"/>
      <c r="BM166" s="34"/>
      <c r="BN166" s="34"/>
      <c r="BO166" s="34"/>
      <c r="BP166" s="34"/>
      <c r="BY166" s="34"/>
      <c r="BZ166" s="34"/>
      <c r="CA166" s="34"/>
      <c r="CB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</row>
    <row r="167" ht="15.75" customHeight="1">
      <c r="B167" s="34"/>
      <c r="E167" s="34"/>
      <c r="F167" s="34"/>
      <c r="G167" s="34"/>
      <c r="H167" s="34"/>
      <c r="I167" s="34"/>
      <c r="J167" s="34"/>
      <c r="K167" s="34"/>
      <c r="L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AA167" s="34"/>
      <c r="AB167" s="34"/>
      <c r="AC167" s="34"/>
      <c r="AD167" s="34"/>
      <c r="AE167" s="34"/>
      <c r="AF167" s="34"/>
      <c r="AG167" s="34"/>
      <c r="AH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I167" s="34"/>
      <c r="BJ167" s="34"/>
      <c r="BK167" s="34"/>
      <c r="BL167" s="34"/>
      <c r="BM167" s="34"/>
      <c r="BN167" s="34"/>
      <c r="BO167" s="34"/>
      <c r="BP167" s="34"/>
      <c r="BY167" s="34"/>
      <c r="BZ167" s="34"/>
      <c r="CA167" s="34"/>
      <c r="CB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</row>
    <row r="168" ht="15.75" customHeight="1">
      <c r="B168" s="34"/>
      <c r="E168" s="34"/>
      <c r="F168" s="34"/>
      <c r="G168" s="34"/>
      <c r="H168" s="34"/>
      <c r="I168" s="34"/>
      <c r="J168" s="34"/>
      <c r="K168" s="34"/>
      <c r="L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AA168" s="34"/>
      <c r="AB168" s="34"/>
      <c r="AC168" s="34"/>
      <c r="AD168" s="34"/>
      <c r="AE168" s="34"/>
      <c r="AF168" s="34"/>
      <c r="AG168" s="34"/>
      <c r="AH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I168" s="34"/>
      <c r="BJ168" s="34"/>
      <c r="BK168" s="34"/>
      <c r="BL168" s="34"/>
      <c r="BM168" s="34"/>
      <c r="BN168" s="34"/>
      <c r="BO168" s="34"/>
      <c r="BP168" s="34"/>
      <c r="BY168" s="34"/>
      <c r="BZ168" s="34"/>
      <c r="CA168" s="34"/>
      <c r="CB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</row>
    <row r="169" ht="15.75" customHeight="1">
      <c r="B169" s="34"/>
      <c r="E169" s="34"/>
      <c r="F169" s="34"/>
      <c r="G169" s="34"/>
      <c r="H169" s="34"/>
      <c r="I169" s="34"/>
      <c r="J169" s="34"/>
      <c r="K169" s="34"/>
      <c r="L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AA169" s="34"/>
      <c r="AB169" s="34"/>
      <c r="AC169" s="34"/>
      <c r="AD169" s="34"/>
      <c r="AE169" s="34"/>
      <c r="AF169" s="34"/>
      <c r="AG169" s="34"/>
      <c r="AH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I169" s="34"/>
      <c r="BJ169" s="34"/>
      <c r="BK169" s="34"/>
      <c r="BL169" s="34"/>
      <c r="BM169" s="34"/>
      <c r="BN169" s="34"/>
      <c r="BO169" s="34"/>
      <c r="BP169" s="34"/>
      <c r="BY169" s="34"/>
      <c r="BZ169" s="34"/>
      <c r="CA169" s="34"/>
      <c r="CB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</row>
    <row r="170" ht="15.75" customHeight="1">
      <c r="B170" s="34"/>
      <c r="E170" s="34"/>
      <c r="F170" s="34"/>
      <c r="G170" s="34"/>
      <c r="H170" s="34"/>
      <c r="I170" s="34"/>
      <c r="J170" s="34"/>
      <c r="K170" s="34"/>
      <c r="L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AA170" s="34"/>
      <c r="AB170" s="34"/>
      <c r="AC170" s="34"/>
      <c r="AD170" s="34"/>
      <c r="AE170" s="34"/>
      <c r="AF170" s="34"/>
      <c r="AG170" s="34"/>
      <c r="AH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I170" s="34"/>
      <c r="BJ170" s="34"/>
      <c r="BK170" s="34"/>
      <c r="BL170" s="34"/>
      <c r="BM170" s="34"/>
      <c r="BN170" s="34"/>
      <c r="BO170" s="34"/>
      <c r="BP170" s="34"/>
      <c r="BY170" s="34"/>
      <c r="BZ170" s="34"/>
      <c r="CA170" s="34"/>
      <c r="CB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</row>
    <row r="171" ht="15.75" customHeight="1">
      <c r="B171" s="34"/>
      <c r="E171" s="34"/>
      <c r="F171" s="34"/>
      <c r="G171" s="34"/>
      <c r="H171" s="34"/>
      <c r="I171" s="34"/>
      <c r="J171" s="34"/>
      <c r="K171" s="34"/>
      <c r="L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AA171" s="34"/>
      <c r="AB171" s="34"/>
      <c r="AC171" s="34"/>
      <c r="AD171" s="34"/>
      <c r="AE171" s="34"/>
      <c r="AF171" s="34"/>
      <c r="AG171" s="34"/>
      <c r="AH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I171" s="34"/>
      <c r="BJ171" s="34"/>
      <c r="BK171" s="34"/>
      <c r="BL171" s="34"/>
      <c r="BM171" s="34"/>
      <c r="BN171" s="34"/>
      <c r="BO171" s="34"/>
      <c r="BP171" s="34"/>
      <c r="BY171" s="34"/>
      <c r="BZ171" s="34"/>
      <c r="CA171" s="34"/>
      <c r="CB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</row>
    <row r="172" ht="15.75" customHeight="1">
      <c r="B172" s="34"/>
      <c r="E172" s="34"/>
      <c r="F172" s="34"/>
      <c r="G172" s="34"/>
      <c r="H172" s="34"/>
      <c r="I172" s="34"/>
      <c r="J172" s="34"/>
      <c r="K172" s="34"/>
      <c r="L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AA172" s="34"/>
      <c r="AB172" s="34"/>
      <c r="AC172" s="34"/>
      <c r="AD172" s="34"/>
      <c r="AE172" s="34"/>
      <c r="AF172" s="34"/>
      <c r="AG172" s="34"/>
      <c r="AH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I172" s="34"/>
      <c r="BJ172" s="34"/>
      <c r="BK172" s="34"/>
      <c r="BL172" s="34"/>
      <c r="BM172" s="34"/>
      <c r="BN172" s="34"/>
      <c r="BO172" s="34"/>
      <c r="BP172" s="34"/>
      <c r="BY172" s="34"/>
      <c r="BZ172" s="34"/>
      <c r="CA172" s="34"/>
      <c r="CB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</row>
    <row r="173" ht="15.75" customHeight="1">
      <c r="B173" s="34"/>
      <c r="E173" s="34"/>
      <c r="F173" s="34"/>
      <c r="G173" s="34"/>
      <c r="H173" s="34"/>
      <c r="I173" s="34"/>
      <c r="J173" s="34"/>
      <c r="K173" s="34"/>
      <c r="L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AA173" s="34"/>
      <c r="AB173" s="34"/>
      <c r="AC173" s="34"/>
      <c r="AD173" s="34"/>
      <c r="AE173" s="34"/>
      <c r="AF173" s="34"/>
      <c r="AG173" s="34"/>
      <c r="AH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I173" s="34"/>
      <c r="BJ173" s="34"/>
      <c r="BK173" s="34"/>
      <c r="BL173" s="34"/>
      <c r="BM173" s="34"/>
      <c r="BN173" s="34"/>
      <c r="BO173" s="34"/>
      <c r="BP173" s="34"/>
      <c r="BY173" s="34"/>
      <c r="BZ173" s="34"/>
      <c r="CA173" s="34"/>
      <c r="CB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</row>
    <row r="174" ht="15.75" customHeight="1">
      <c r="B174" s="34"/>
      <c r="E174" s="34"/>
      <c r="F174" s="34"/>
      <c r="G174" s="34"/>
      <c r="H174" s="34"/>
      <c r="I174" s="34"/>
      <c r="J174" s="34"/>
      <c r="K174" s="34"/>
      <c r="L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AA174" s="34"/>
      <c r="AB174" s="34"/>
      <c r="AC174" s="34"/>
      <c r="AD174" s="34"/>
      <c r="AE174" s="34"/>
      <c r="AF174" s="34"/>
      <c r="AG174" s="34"/>
      <c r="AH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I174" s="34"/>
      <c r="BJ174" s="34"/>
      <c r="BK174" s="34"/>
      <c r="BL174" s="34"/>
      <c r="BM174" s="34"/>
      <c r="BN174" s="34"/>
      <c r="BO174" s="34"/>
      <c r="BP174" s="34"/>
      <c r="BY174" s="34"/>
      <c r="BZ174" s="34"/>
      <c r="CA174" s="34"/>
      <c r="CB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</row>
    <row r="175" ht="15.75" customHeight="1">
      <c r="B175" s="34"/>
      <c r="E175" s="34"/>
      <c r="F175" s="34"/>
      <c r="G175" s="34"/>
      <c r="H175" s="34"/>
      <c r="I175" s="34"/>
      <c r="J175" s="34"/>
      <c r="K175" s="34"/>
      <c r="L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AA175" s="34"/>
      <c r="AB175" s="34"/>
      <c r="AC175" s="34"/>
      <c r="AD175" s="34"/>
      <c r="AE175" s="34"/>
      <c r="AF175" s="34"/>
      <c r="AG175" s="34"/>
      <c r="AH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I175" s="34"/>
      <c r="BJ175" s="34"/>
      <c r="BK175" s="34"/>
      <c r="BL175" s="34"/>
      <c r="BM175" s="34"/>
      <c r="BN175" s="34"/>
      <c r="BO175" s="34"/>
      <c r="BP175" s="34"/>
      <c r="BY175" s="34"/>
      <c r="BZ175" s="34"/>
      <c r="CA175" s="34"/>
      <c r="CB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</row>
    <row r="176" ht="15.75" customHeight="1">
      <c r="B176" s="34"/>
      <c r="E176" s="34"/>
      <c r="F176" s="34"/>
      <c r="G176" s="34"/>
      <c r="H176" s="34"/>
      <c r="I176" s="34"/>
      <c r="J176" s="34"/>
      <c r="K176" s="34"/>
      <c r="L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AA176" s="34"/>
      <c r="AB176" s="34"/>
      <c r="AC176" s="34"/>
      <c r="AD176" s="34"/>
      <c r="AE176" s="34"/>
      <c r="AF176" s="34"/>
      <c r="AG176" s="34"/>
      <c r="AH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I176" s="34"/>
      <c r="BJ176" s="34"/>
      <c r="BK176" s="34"/>
      <c r="BL176" s="34"/>
      <c r="BM176" s="34"/>
      <c r="BN176" s="34"/>
      <c r="BO176" s="34"/>
      <c r="BP176" s="34"/>
      <c r="BY176" s="34"/>
      <c r="BZ176" s="34"/>
      <c r="CA176" s="34"/>
      <c r="CB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</row>
    <row r="177" ht="15.75" customHeight="1">
      <c r="B177" s="34"/>
      <c r="E177" s="34"/>
      <c r="F177" s="34"/>
      <c r="G177" s="34"/>
      <c r="H177" s="34"/>
      <c r="I177" s="34"/>
      <c r="J177" s="34"/>
      <c r="K177" s="34"/>
      <c r="L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AA177" s="34"/>
      <c r="AB177" s="34"/>
      <c r="AC177" s="34"/>
      <c r="AD177" s="34"/>
      <c r="AE177" s="34"/>
      <c r="AF177" s="34"/>
      <c r="AG177" s="34"/>
      <c r="AH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I177" s="34"/>
      <c r="BJ177" s="34"/>
      <c r="BK177" s="34"/>
      <c r="BL177" s="34"/>
      <c r="BM177" s="34"/>
      <c r="BN177" s="34"/>
      <c r="BO177" s="34"/>
      <c r="BP177" s="34"/>
      <c r="BY177" s="34"/>
      <c r="BZ177" s="34"/>
      <c r="CA177" s="34"/>
      <c r="CB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</row>
    <row r="178" ht="15.75" customHeight="1">
      <c r="B178" s="34"/>
      <c r="E178" s="34"/>
      <c r="F178" s="34"/>
      <c r="G178" s="34"/>
      <c r="H178" s="34"/>
      <c r="I178" s="34"/>
      <c r="J178" s="34"/>
      <c r="K178" s="34"/>
      <c r="L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AA178" s="34"/>
      <c r="AB178" s="34"/>
      <c r="AC178" s="34"/>
      <c r="AD178" s="34"/>
      <c r="AE178" s="34"/>
      <c r="AF178" s="34"/>
      <c r="AG178" s="34"/>
      <c r="AH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I178" s="34"/>
      <c r="BJ178" s="34"/>
      <c r="BK178" s="34"/>
      <c r="BL178" s="34"/>
      <c r="BM178" s="34"/>
      <c r="BN178" s="34"/>
      <c r="BO178" s="34"/>
      <c r="BP178" s="34"/>
      <c r="BY178" s="34"/>
      <c r="BZ178" s="34"/>
      <c r="CA178" s="34"/>
      <c r="CB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</row>
    <row r="179" ht="15.75" customHeight="1">
      <c r="B179" s="34"/>
      <c r="E179" s="34"/>
      <c r="F179" s="34"/>
      <c r="G179" s="34"/>
      <c r="H179" s="34"/>
      <c r="I179" s="34"/>
      <c r="J179" s="34"/>
      <c r="K179" s="34"/>
      <c r="L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AA179" s="34"/>
      <c r="AB179" s="34"/>
      <c r="AC179" s="34"/>
      <c r="AD179" s="34"/>
      <c r="AE179" s="34"/>
      <c r="AF179" s="34"/>
      <c r="AG179" s="34"/>
      <c r="AH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I179" s="34"/>
      <c r="BJ179" s="34"/>
      <c r="BK179" s="34"/>
      <c r="BL179" s="34"/>
      <c r="BM179" s="34"/>
      <c r="BN179" s="34"/>
      <c r="BO179" s="34"/>
      <c r="BP179" s="34"/>
      <c r="BY179" s="34"/>
      <c r="BZ179" s="34"/>
      <c r="CA179" s="34"/>
      <c r="CB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</row>
    <row r="180" ht="15.75" customHeight="1">
      <c r="B180" s="34"/>
      <c r="E180" s="34"/>
      <c r="F180" s="34"/>
      <c r="G180" s="34"/>
      <c r="H180" s="34"/>
      <c r="I180" s="34"/>
      <c r="J180" s="34"/>
      <c r="K180" s="34"/>
      <c r="L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AA180" s="34"/>
      <c r="AB180" s="34"/>
      <c r="AC180" s="34"/>
      <c r="AD180" s="34"/>
      <c r="AE180" s="34"/>
      <c r="AF180" s="34"/>
      <c r="AG180" s="34"/>
      <c r="AH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I180" s="34"/>
      <c r="BJ180" s="34"/>
      <c r="BK180" s="34"/>
      <c r="BL180" s="34"/>
      <c r="BM180" s="34"/>
      <c r="BN180" s="34"/>
      <c r="BO180" s="34"/>
      <c r="BP180" s="34"/>
      <c r="BY180" s="34"/>
      <c r="BZ180" s="34"/>
      <c r="CA180" s="34"/>
      <c r="CB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</row>
    <row r="181" ht="15.75" customHeight="1">
      <c r="B181" s="34"/>
      <c r="E181" s="34"/>
      <c r="F181" s="34"/>
      <c r="G181" s="34"/>
      <c r="H181" s="34"/>
      <c r="I181" s="34"/>
      <c r="J181" s="34"/>
      <c r="K181" s="34"/>
      <c r="L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AA181" s="34"/>
      <c r="AB181" s="34"/>
      <c r="AC181" s="34"/>
      <c r="AD181" s="34"/>
      <c r="AE181" s="34"/>
      <c r="AF181" s="34"/>
      <c r="AG181" s="34"/>
      <c r="AH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I181" s="34"/>
      <c r="BJ181" s="34"/>
      <c r="BK181" s="34"/>
      <c r="BL181" s="34"/>
      <c r="BM181" s="34"/>
      <c r="BN181" s="34"/>
      <c r="BO181" s="34"/>
      <c r="BP181" s="34"/>
      <c r="BY181" s="34"/>
      <c r="BZ181" s="34"/>
      <c r="CA181" s="34"/>
      <c r="CB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</row>
    <row r="182" ht="15.75" customHeight="1">
      <c r="B182" s="34"/>
      <c r="E182" s="34"/>
      <c r="F182" s="34"/>
      <c r="G182" s="34"/>
      <c r="H182" s="34"/>
      <c r="I182" s="34"/>
      <c r="J182" s="34"/>
      <c r="K182" s="34"/>
      <c r="L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AA182" s="34"/>
      <c r="AB182" s="34"/>
      <c r="AC182" s="34"/>
      <c r="AD182" s="34"/>
      <c r="AE182" s="34"/>
      <c r="AF182" s="34"/>
      <c r="AG182" s="34"/>
      <c r="AH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I182" s="34"/>
      <c r="BJ182" s="34"/>
      <c r="BK182" s="34"/>
      <c r="BL182" s="34"/>
      <c r="BM182" s="34"/>
      <c r="BN182" s="34"/>
      <c r="BO182" s="34"/>
      <c r="BP182" s="34"/>
      <c r="BY182" s="34"/>
      <c r="BZ182" s="34"/>
      <c r="CA182" s="34"/>
      <c r="CB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</row>
    <row r="183" ht="15.75" customHeight="1">
      <c r="B183" s="34"/>
      <c r="E183" s="34"/>
      <c r="F183" s="34"/>
      <c r="G183" s="34"/>
      <c r="H183" s="34"/>
      <c r="I183" s="34"/>
      <c r="J183" s="34"/>
      <c r="K183" s="34"/>
      <c r="L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AA183" s="34"/>
      <c r="AB183" s="34"/>
      <c r="AC183" s="34"/>
      <c r="AD183" s="34"/>
      <c r="AE183" s="34"/>
      <c r="AF183" s="34"/>
      <c r="AG183" s="34"/>
      <c r="AH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I183" s="34"/>
      <c r="BJ183" s="34"/>
      <c r="BK183" s="34"/>
      <c r="BL183" s="34"/>
      <c r="BM183" s="34"/>
      <c r="BN183" s="34"/>
      <c r="BO183" s="34"/>
      <c r="BP183" s="34"/>
      <c r="BY183" s="34"/>
      <c r="BZ183" s="34"/>
      <c r="CA183" s="34"/>
      <c r="CB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</row>
    <row r="184" ht="15.75" customHeight="1">
      <c r="B184" s="34"/>
      <c r="E184" s="34"/>
      <c r="F184" s="34"/>
      <c r="G184" s="34"/>
      <c r="H184" s="34"/>
      <c r="I184" s="34"/>
      <c r="J184" s="34"/>
      <c r="K184" s="34"/>
      <c r="L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AA184" s="34"/>
      <c r="AB184" s="34"/>
      <c r="AC184" s="34"/>
      <c r="AD184" s="34"/>
      <c r="AE184" s="34"/>
      <c r="AF184" s="34"/>
      <c r="AG184" s="34"/>
      <c r="AH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I184" s="34"/>
      <c r="BJ184" s="34"/>
      <c r="BK184" s="34"/>
      <c r="BL184" s="34"/>
      <c r="BM184" s="34"/>
      <c r="BN184" s="34"/>
      <c r="BO184" s="34"/>
      <c r="BP184" s="34"/>
      <c r="BY184" s="34"/>
      <c r="BZ184" s="34"/>
      <c r="CA184" s="34"/>
      <c r="CB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</row>
    <row r="185" ht="15.75" customHeight="1">
      <c r="B185" s="34"/>
      <c r="E185" s="34"/>
      <c r="F185" s="34"/>
      <c r="G185" s="34"/>
      <c r="H185" s="34"/>
      <c r="I185" s="34"/>
      <c r="J185" s="34"/>
      <c r="K185" s="34"/>
      <c r="L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AA185" s="34"/>
      <c r="AB185" s="34"/>
      <c r="AC185" s="34"/>
      <c r="AD185" s="34"/>
      <c r="AE185" s="34"/>
      <c r="AF185" s="34"/>
      <c r="AG185" s="34"/>
      <c r="AH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I185" s="34"/>
      <c r="BJ185" s="34"/>
      <c r="BK185" s="34"/>
      <c r="BL185" s="34"/>
      <c r="BM185" s="34"/>
      <c r="BN185" s="34"/>
      <c r="BO185" s="34"/>
      <c r="BP185" s="34"/>
      <c r="BY185" s="34"/>
      <c r="BZ185" s="34"/>
      <c r="CA185" s="34"/>
      <c r="CB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</row>
    <row r="186" ht="15.75" customHeight="1">
      <c r="B186" s="34"/>
      <c r="E186" s="34"/>
      <c r="F186" s="34"/>
      <c r="G186" s="34"/>
      <c r="H186" s="34"/>
      <c r="I186" s="34"/>
      <c r="J186" s="34"/>
      <c r="K186" s="34"/>
      <c r="L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AA186" s="34"/>
      <c r="AB186" s="34"/>
      <c r="AC186" s="34"/>
      <c r="AD186" s="34"/>
      <c r="AE186" s="34"/>
      <c r="AF186" s="34"/>
      <c r="AG186" s="34"/>
      <c r="AH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I186" s="34"/>
      <c r="BJ186" s="34"/>
      <c r="BK186" s="34"/>
      <c r="BL186" s="34"/>
      <c r="BM186" s="34"/>
      <c r="BN186" s="34"/>
      <c r="BO186" s="34"/>
      <c r="BP186" s="34"/>
      <c r="BY186" s="34"/>
      <c r="BZ186" s="34"/>
      <c r="CA186" s="34"/>
      <c r="CB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</row>
    <row r="187" ht="15.75" customHeight="1">
      <c r="B187" s="34"/>
      <c r="E187" s="34"/>
      <c r="F187" s="34"/>
      <c r="G187" s="34"/>
      <c r="H187" s="34"/>
      <c r="I187" s="34"/>
      <c r="J187" s="34"/>
      <c r="K187" s="34"/>
      <c r="L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AA187" s="34"/>
      <c r="AB187" s="34"/>
      <c r="AC187" s="34"/>
      <c r="AD187" s="34"/>
      <c r="AE187" s="34"/>
      <c r="AF187" s="34"/>
      <c r="AG187" s="34"/>
      <c r="AH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I187" s="34"/>
      <c r="BJ187" s="34"/>
      <c r="BK187" s="34"/>
      <c r="BL187" s="34"/>
      <c r="BM187" s="34"/>
      <c r="BN187" s="34"/>
      <c r="BO187" s="34"/>
      <c r="BP187" s="34"/>
      <c r="BY187" s="34"/>
      <c r="BZ187" s="34"/>
      <c r="CA187" s="34"/>
      <c r="CB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</row>
    <row r="188" ht="15.75" customHeight="1">
      <c r="B188" s="34"/>
      <c r="E188" s="34"/>
      <c r="F188" s="34"/>
      <c r="G188" s="34"/>
      <c r="H188" s="34"/>
      <c r="I188" s="34"/>
      <c r="J188" s="34"/>
      <c r="K188" s="34"/>
      <c r="L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AA188" s="34"/>
      <c r="AB188" s="34"/>
      <c r="AC188" s="34"/>
      <c r="AD188" s="34"/>
      <c r="AE188" s="34"/>
      <c r="AF188" s="34"/>
      <c r="AG188" s="34"/>
      <c r="AH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I188" s="34"/>
      <c r="BJ188" s="34"/>
      <c r="BK188" s="34"/>
      <c r="BL188" s="34"/>
      <c r="BM188" s="34"/>
      <c r="BN188" s="34"/>
      <c r="BO188" s="34"/>
      <c r="BP188" s="34"/>
      <c r="BY188" s="34"/>
      <c r="BZ188" s="34"/>
      <c r="CA188" s="34"/>
      <c r="CB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</row>
    <row r="189" ht="15.75" customHeight="1">
      <c r="B189" s="34"/>
      <c r="E189" s="34"/>
      <c r="F189" s="34"/>
      <c r="G189" s="34"/>
      <c r="H189" s="34"/>
      <c r="I189" s="34"/>
      <c r="J189" s="34"/>
      <c r="K189" s="34"/>
      <c r="L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AA189" s="34"/>
      <c r="AB189" s="34"/>
      <c r="AC189" s="34"/>
      <c r="AD189" s="34"/>
      <c r="AE189" s="34"/>
      <c r="AF189" s="34"/>
      <c r="AG189" s="34"/>
      <c r="AH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I189" s="34"/>
      <c r="BJ189" s="34"/>
      <c r="BK189" s="34"/>
      <c r="BL189" s="34"/>
      <c r="BM189" s="34"/>
      <c r="BN189" s="34"/>
      <c r="BO189" s="34"/>
      <c r="BP189" s="34"/>
      <c r="BY189" s="34"/>
      <c r="BZ189" s="34"/>
      <c r="CA189" s="34"/>
      <c r="CB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</row>
    <row r="190" ht="15.75" customHeight="1">
      <c r="B190" s="34"/>
      <c r="E190" s="34"/>
      <c r="F190" s="34"/>
      <c r="G190" s="34"/>
      <c r="H190" s="34"/>
      <c r="I190" s="34"/>
      <c r="J190" s="34"/>
      <c r="K190" s="34"/>
      <c r="L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AA190" s="34"/>
      <c r="AB190" s="34"/>
      <c r="AC190" s="34"/>
      <c r="AD190" s="34"/>
      <c r="AE190" s="34"/>
      <c r="AF190" s="34"/>
      <c r="AG190" s="34"/>
      <c r="AH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I190" s="34"/>
      <c r="BJ190" s="34"/>
      <c r="BK190" s="34"/>
      <c r="BL190" s="34"/>
      <c r="BM190" s="34"/>
      <c r="BN190" s="34"/>
      <c r="BO190" s="34"/>
      <c r="BP190" s="34"/>
      <c r="BY190" s="34"/>
      <c r="BZ190" s="34"/>
      <c r="CA190" s="34"/>
      <c r="CB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</row>
    <row r="191" ht="15.75" customHeight="1">
      <c r="B191" s="34"/>
      <c r="E191" s="34"/>
      <c r="F191" s="34"/>
      <c r="G191" s="34"/>
      <c r="H191" s="34"/>
      <c r="I191" s="34"/>
      <c r="J191" s="34"/>
      <c r="K191" s="34"/>
      <c r="L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AA191" s="34"/>
      <c r="AB191" s="34"/>
      <c r="AC191" s="34"/>
      <c r="AD191" s="34"/>
      <c r="AE191" s="34"/>
      <c r="AF191" s="34"/>
      <c r="AG191" s="34"/>
      <c r="AH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I191" s="34"/>
      <c r="BJ191" s="34"/>
      <c r="BK191" s="34"/>
      <c r="BL191" s="34"/>
      <c r="BM191" s="34"/>
      <c r="BN191" s="34"/>
      <c r="BO191" s="34"/>
      <c r="BP191" s="34"/>
      <c r="BY191" s="34"/>
      <c r="BZ191" s="34"/>
      <c r="CA191" s="34"/>
      <c r="CB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</row>
    <row r="192" ht="15.75" customHeight="1">
      <c r="B192" s="34"/>
      <c r="E192" s="34"/>
      <c r="F192" s="34"/>
      <c r="G192" s="34"/>
      <c r="H192" s="34"/>
      <c r="I192" s="34"/>
      <c r="J192" s="34"/>
      <c r="K192" s="34"/>
      <c r="L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AA192" s="34"/>
      <c r="AB192" s="34"/>
      <c r="AC192" s="34"/>
      <c r="AD192" s="34"/>
      <c r="AE192" s="34"/>
      <c r="AF192" s="34"/>
      <c r="AG192" s="34"/>
      <c r="AH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I192" s="34"/>
      <c r="BJ192" s="34"/>
      <c r="BK192" s="34"/>
      <c r="BL192" s="34"/>
      <c r="BM192" s="34"/>
      <c r="BN192" s="34"/>
      <c r="BO192" s="34"/>
      <c r="BP192" s="34"/>
      <c r="BY192" s="34"/>
      <c r="BZ192" s="34"/>
      <c r="CA192" s="34"/>
      <c r="CB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</row>
    <row r="193" ht="15.75" customHeight="1">
      <c r="B193" s="34"/>
      <c r="E193" s="34"/>
      <c r="F193" s="34"/>
      <c r="G193" s="34"/>
      <c r="H193" s="34"/>
      <c r="I193" s="34"/>
      <c r="J193" s="34"/>
      <c r="K193" s="34"/>
      <c r="L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AA193" s="34"/>
      <c r="AB193" s="34"/>
      <c r="AC193" s="34"/>
      <c r="AD193" s="34"/>
      <c r="AE193" s="34"/>
      <c r="AF193" s="34"/>
      <c r="AG193" s="34"/>
      <c r="AH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I193" s="34"/>
      <c r="BJ193" s="34"/>
      <c r="BK193" s="34"/>
      <c r="BL193" s="34"/>
      <c r="BM193" s="34"/>
      <c r="BN193" s="34"/>
      <c r="BO193" s="34"/>
      <c r="BP193" s="34"/>
      <c r="BY193" s="34"/>
      <c r="BZ193" s="34"/>
      <c r="CA193" s="34"/>
      <c r="CB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</row>
    <row r="194" ht="15.75" customHeight="1">
      <c r="B194" s="34"/>
      <c r="E194" s="34"/>
      <c r="F194" s="34"/>
      <c r="G194" s="34"/>
      <c r="H194" s="34"/>
      <c r="I194" s="34"/>
      <c r="J194" s="34"/>
      <c r="K194" s="34"/>
      <c r="L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AA194" s="34"/>
      <c r="AB194" s="34"/>
      <c r="AC194" s="34"/>
      <c r="AD194" s="34"/>
      <c r="AE194" s="34"/>
      <c r="AF194" s="34"/>
      <c r="AG194" s="34"/>
      <c r="AH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I194" s="34"/>
      <c r="BJ194" s="34"/>
      <c r="BK194" s="34"/>
      <c r="BL194" s="34"/>
      <c r="BM194" s="34"/>
      <c r="BN194" s="34"/>
      <c r="BO194" s="34"/>
      <c r="BP194" s="34"/>
      <c r="BY194" s="34"/>
      <c r="BZ194" s="34"/>
      <c r="CA194" s="34"/>
      <c r="CB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</row>
    <row r="195" ht="15.75" customHeight="1">
      <c r="B195" s="34"/>
      <c r="E195" s="34"/>
      <c r="F195" s="34"/>
      <c r="G195" s="34"/>
      <c r="H195" s="34"/>
      <c r="I195" s="34"/>
      <c r="J195" s="34"/>
      <c r="K195" s="34"/>
      <c r="L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AA195" s="34"/>
      <c r="AB195" s="34"/>
      <c r="AC195" s="34"/>
      <c r="AD195" s="34"/>
      <c r="AE195" s="34"/>
      <c r="AF195" s="34"/>
      <c r="AG195" s="34"/>
      <c r="AH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I195" s="34"/>
      <c r="BJ195" s="34"/>
      <c r="BK195" s="34"/>
      <c r="BL195" s="34"/>
      <c r="BM195" s="34"/>
      <c r="BN195" s="34"/>
      <c r="BO195" s="34"/>
      <c r="BP195" s="34"/>
      <c r="BY195" s="34"/>
      <c r="BZ195" s="34"/>
      <c r="CA195" s="34"/>
      <c r="CB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</row>
    <row r="196" ht="15.75" customHeight="1">
      <c r="B196" s="34"/>
      <c r="E196" s="34"/>
      <c r="F196" s="34"/>
      <c r="G196" s="34"/>
      <c r="H196" s="34"/>
      <c r="I196" s="34"/>
      <c r="J196" s="34"/>
      <c r="K196" s="34"/>
      <c r="L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AA196" s="34"/>
      <c r="AB196" s="34"/>
      <c r="AC196" s="34"/>
      <c r="AD196" s="34"/>
      <c r="AE196" s="34"/>
      <c r="AF196" s="34"/>
      <c r="AG196" s="34"/>
      <c r="AH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I196" s="34"/>
      <c r="BJ196" s="34"/>
      <c r="BK196" s="34"/>
      <c r="BL196" s="34"/>
      <c r="BM196" s="34"/>
      <c r="BN196" s="34"/>
      <c r="BO196" s="34"/>
      <c r="BP196" s="34"/>
      <c r="BY196" s="34"/>
      <c r="BZ196" s="34"/>
      <c r="CA196" s="34"/>
      <c r="CB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</row>
    <row r="197" ht="15.75" customHeight="1">
      <c r="B197" s="34"/>
      <c r="E197" s="34"/>
      <c r="F197" s="34"/>
      <c r="G197" s="34"/>
      <c r="H197" s="34"/>
      <c r="I197" s="34"/>
      <c r="J197" s="34"/>
      <c r="K197" s="34"/>
      <c r="L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AA197" s="34"/>
      <c r="AB197" s="34"/>
      <c r="AC197" s="34"/>
      <c r="AD197" s="34"/>
      <c r="AE197" s="34"/>
      <c r="AF197" s="34"/>
      <c r="AG197" s="34"/>
      <c r="AH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I197" s="34"/>
      <c r="BJ197" s="34"/>
      <c r="BK197" s="34"/>
      <c r="BL197" s="34"/>
      <c r="BM197" s="34"/>
      <c r="BN197" s="34"/>
      <c r="BO197" s="34"/>
      <c r="BP197" s="34"/>
      <c r="BY197" s="34"/>
      <c r="BZ197" s="34"/>
      <c r="CA197" s="34"/>
      <c r="CB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</row>
    <row r="198" ht="15.75" customHeight="1">
      <c r="B198" s="34"/>
      <c r="E198" s="34"/>
      <c r="F198" s="34"/>
      <c r="G198" s="34"/>
      <c r="H198" s="34"/>
      <c r="I198" s="34"/>
      <c r="J198" s="34"/>
      <c r="K198" s="34"/>
      <c r="L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AA198" s="34"/>
      <c r="AB198" s="34"/>
      <c r="AC198" s="34"/>
      <c r="AD198" s="34"/>
      <c r="AE198" s="34"/>
      <c r="AF198" s="34"/>
      <c r="AG198" s="34"/>
      <c r="AH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I198" s="34"/>
      <c r="BJ198" s="34"/>
      <c r="BK198" s="34"/>
      <c r="BL198" s="34"/>
      <c r="BM198" s="34"/>
      <c r="BN198" s="34"/>
      <c r="BO198" s="34"/>
      <c r="BP198" s="34"/>
      <c r="BY198" s="34"/>
      <c r="BZ198" s="34"/>
      <c r="CA198" s="34"/>
      <c r="CB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</row>
    <row r="199" ht="15.75" customHeight="1">
      <c r="B199" s="34"/>
      <c r="E199" s="34"/>
      <c r="F199" s="34"/>
      <c r="G199" s="34"/>
      <c r="H199" s="34"/>
      <c r="I199" s="34"/>
      <c r="J199" s="34"/>
      <c r="K199" s="34"/>
      <c r="L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AA199" s="34"/>
      <c r="AB199" s="34"/>
      <c r="AC199" s="34"/>
      <c r="AD199" s="34"/>
      <c r="AE199" s="34"/>
      <c r="AF199" s="34"/>
      <c r="AG199" s="34"/>
      <c r="AH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I199" s="34"/>
      <c r="BJ199" s="34"/>
      <c r="BK199" s="34"/>
      <c r="BL199" s="34"/>
      <c r="BM199" s="34"/>
      <c r="BN199" s="34"/>
      <c r="BO199" s="34"/>
      <c r="BP199" s="34"/>
      <c r="BY199" s="34"/>
      <c r="BZ199" s="34"/>
      <c r="CA199" s="34"/>
      <c r="CB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</row>
    <row r="200" ht="15.75" customHeight="1">
      <c r="B200" s="34"/>
      <c r="E200" s="34"/>
      <c r="F200" s="34"/>
      <c r="G200" s="34"/>
      <c r="H200" s="34"/>
      <c r="I200" s="34"/>
      <c r="J200" s="34"/>
      <c r="K200" s="34"/>
      <c r="L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AA200" s="34"/>
      <c r="AB200" s="34"/>
      <c r="AC200" s="34"/>
      <c r="AD200" s="34"/>
      <c r="AE200" s="34"/>
      <c r="AF200" s="34"/>
      <c r="AG200" s="34"/>
      <c r="AH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I200" s="34"/>
      <c r="BJ200" s="34"/>
      <c r="BK200" s="34"/>
      <c r="BL200" s="34"/>
      <c r="BM200" s="34"/>
      <c r="BN200" s="34"/>
      <c r="BO200" s="34"/>
      <c r="BP200" s="34"/>
      <c r="BY200" s="34"/>
      <c r="BZ200" s="34"/>
      <c r="CA200" s="34"/>
      <c r="CB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</row>
    <row r="201" ht="15.75" customHeight="1">
      <c r="B201" s="34"/>
      <c r="E201" s="34"/>
      <c r="F201" s="34"/>
      <c r="G201" s="34"/>
      <c r="H201" s="34"/>
      <c r="I201" s="34"/>
      <c r="J201" s="34"/>
      <c r="K201" s="34"/>
      <c r="L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AA201" s="34"/>
      <c r="AB201" s="34"/>
      <c r="AC201" s="34"/>
      <c r="AD201" s="34"/>
      <c r="AE201" s="34"/>
      <c r="AF201" s="34"/>
      <c r="AG201" s="34"/>
      <c r="AH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I201" s="34"/>
      <c r="BJ201" s="34"/>
      <c r="BK201" s="34"/>
      <c r="BL201" s="34"/>
      <c r="BM201" s="34"/>
      <c r="BN201" s="34"/>
      <c r="BO201" s="34"/>
      <c r="BP201" s="34"/>
      <c r="BY201" s="34"/>
      <c r="BZ201" s="34"/>
      <c r="CA201" s="34"/>
      <c r="CB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</row>
    <row r="202" ht="15.75" customHeight="1">
      <c r="B202" s="34"/>
      <c r="E202" s="34"/>
      <c r="F202" s="34"/>
      <c r="G202" s="34"/>
      <c r="H202" s="34"/>
      <c r="I202" s="34"/>
      <c r="J202" s="34"/>
      <c r="K202" s="34"/>
      <c r="L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AA202" s="34"/>
      <c r="AB202" s="34"/>
      <c r="AC202" s="34"/>
      <c r="AD202" s="34"/>
      <c r="AE202" s="34"/>
      <c r="AF202" s="34"/>
      <c r="AG202" s="34"/>
      <c r="AH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I202" s="34"/>
      <c r="BJ202" s="34"/>
      <c r="BK202" s="34"/>
      <c r="BL202" s="34"/>
      <c r="BM202" s="34"/>
      <c r="BN202" s="34"/>
      <c r="BO202" s="34"/>
      <c r="BP202" s="34"/>
      <c r="BY202" s="34"/>
      <c r="BZ202" s="34"/>
      <c r="CA202" s="34"/>
      <c r="CB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</row>
    <row r="203" ht="15.75" customHeight="1">
      <c r="B203" s="34"/>
      <c r="E203" s="34"/>
      <c r="F203" s="34"/>
      <c r="G203" s="34"/>
      <c r="H203" s="34"/>
      <c r="I203" s="34"/>
      <c r="J203" s="34"/>
      <c r="K203" s="34"/>
      <c r="L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AA203" s="34"/>
      <c r="AB203" s="34"/>
      <c r="AC203" s="34"/>
      <c r="AD203" s="34"/>
      <c r="AE203" s="34"/>
      <c r="AF203" s="34"/>
      <c r="AG203" s="34"/>
      <c r="AH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I203" s="34"/>
      <c r="BJ203" s="34"/>
      <c r="BK203" s="34"/>
      <c r="BL203" s="34"/>
      <c r="BM203" s="34"/>
      <c r="BN203" s="34"/>
      <c r="BO203" s="34"/>
      <c r="BP203" s="34"/>
      <c r="BY203" s="34"/>
      <c r="BZ203" s="34"/>
      <c r="CA203" s="34"/>
      <c r="CB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</row>
    <row r="204" ht="15.75" customHeight="1">
      <c r="B204" s="34"/>
      <c r="E204" s="34"/>
      <c r="F204" s="34"/>
      <c r="G204" s="34"/>
      <c r="H204" s="34"/>
      <c r="I204" s="34"/>
      <c r="J204" s="34"/>
      <c r="K204" s="34"/>
      <c r="L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AA204" s="34"/>
      <c r="AB204" s="34"/>
      <c r="AC204" s="34"/>
      <c r="AD204" s="34"/>
      <c r="AE204" s="34"/>
      <c r="AF204" s="34"/>
      <c r="AG204" s="34"/>
      <c r="AH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I204" s="34"/>
      <c r="BJ204" s="34"/>
      <c r="BK204" s="34"/>
      <c r="BL204" s="34"/>
      <c r="BM204" s="34"/>
      <c r="BN204" s="34"/>
      <c r="BO204" s="34"/>
      <c r="BP204" s="34"/>
      <c r="BY204" s="34"/>
      <c r="BZ204" s="34"/>
      <c r="CA204" s="34"/>
      <c r="CB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</row>
    <row r="205" ht="15.75" customHeight="1">
      <c r="B205" s="34"/>
      <c r="E205" s="34"/>
      <c r="F205" s="34"/>
      <c r="G205" s="34"/>
      <c r="H205" s="34"/>
      <c r="I205" s="34"/>
      <c r="J205" s="34"/>
      <c r="K205" s="34"/>
      <c r="L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AA205" s="34"/>
      <c r="AB205" s="34"/>
      <c r="AC205" s="34"/>
      <c r="AD205" s="34"/>
      <c r="AE205" s="34"/>
      <c r="AF205" s="34"/>
      <c r="AG205" s="34"/>
      <c r="AH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I205" s="34"/>
      <c r="BJ205" s="34"/>
      <c r="BK205" s="34"/>
      <c r="BL205" s="34"/>
      <c r="BM205" s="34"/>
      <c r="BN205" s="34"/>
      <c r="BO205" s="34"/>
      <c r="BP205" s="34"/>
      <c r="BY205" s="34"/>
      <c r="BZ205" s="34"/>
      <c r="CA205" s="34"/>
      <c r="CB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</row>
    <row r="206" ht="15.75" customHeight="1">
      <c r="B206" s="34"/>
      <c r="E206" s="34"/>
      <c r="F206" s="34"/>
      <c r="G206" s="34"/>
      <c r="H206" s="34"/>
      <c r="I206" s="34"/>
      <c r="J206" s="34"/>
      <c r="K206" s="34"/>
      <c r="L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AA206" s="34"/>
      <c r="AB206" s="34"/>
      <c r="AC206" s="34"/>
      <c r="AD206" s="34"/>
      <c r="AE206" s="34"/>
      <c r="AF206" s="34"/>
      <c r="AG206" s="34"/>
      <c r="AH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I206" s="34"/>
      <c r="BJ206" s="34"/>
      <c r="BK206" s="34"/>
      <c r="BL206" s="34"/>
      <c r="BM206" s="34"/>
      <c r="BN206" s="34"/>
      <c r="BO206" s="34"/>
      <c r="BP206" s="34"/>
      <c r="BY206" s="34"/>
      <c r="BZ206" s="34"/>
      <c r="CA206" s="34"/>
      <c r="CB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</row>
    <row r="207" ht="15.75" customHeight="1">
      <c r="B207" s="34"/>
      <c r="E207" s="34"/>
      <c r="F207" s="34"/>
      <c r="G207" s="34"/>
      <c r="H207" s="34"/>
      <c r="I207" s="34"/>
      <c r="J207" s="34"/>
      <c r="K207" s="34"/>
      <c r="L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AA207" s="34"/>
      <c r="AB207" s="34"/>
      <c r="AC207" s="34"/>
      <c r="AD207" s="34"/>
      <c r="AE207" s="34"/>
      <c r="AF207" s="34"/>
      <c r="AG207" s="34"/>
      <c r="AH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I207" s="34"/>
      <c r="BJ207" s="34"/>
      <c r="BK207" s="34"/>
      <c r="BL207" s="34"/>
      <c r="BM207" s="34"/>
      <c r="BN207" s="34"/>
      <c r="BO207" s="34"/>
      <c r="BP207" s="34"/>
      <c r="BY207" s="34"/>
      <c r="BZ207" s="34"/>
      <c r="CA207" s="34"/>
      <c r="CB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</row>
    <row r="208" ht="15.75" customHeight="1">
      <c r="B208" s="34"/>
      <c r="E208" s="34"/>
      <c r="F208" s="34"/>
      <c r="G208" s="34"/>
      <c r="H208" s="34"/>
      <c r="I208" s="34"/>
      <c r="J208" s="34"/>
      <c r="K208" s="34"/>
      <c r="L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AA208" s="34"/>
      <c r="AB208" s="34"/>
      <c r="AC208" s="34"/>
      <c r="AD208" s="34"/>
      <c r="AE208" s="34"/>
      <c r="AF208" s="34"/>
      <c r="AG208" s="34"/>
      <c r="AH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I208" s="34"/>
      <c r="BJ208" s="34"/>
      <c r="BK208" s="34"/>
      <c r="BL208" s="34"/>
      <c r="BM208" s="34"/>
      <c r="BN208" s="34"/>
      <c r="BO208" s="34"/>
      <c r="BP208" s="34"/>
      <c r="BY208" s="34"/>
      <c r="BZ208" s="34"/>
      <c r="CA208" s="34"/>
      <c r="CB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</row>
    <row r="209" ht="15.75" customHeight="1">
      <c r="B209" s="34"/>
      <c r="E209" s="34"/>
      <c r="F209" s="34"/>
      <c r="G209" s="34"/>
      <c r="H209" s="34"/>
      <c r="I209" s="34"/>
      <c r="J209" s="34"/>
      <c r="K209" s="34"/>
      <c r="L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AA209" s="34"/>
      <c r="AB209" s="34"/>
      <c r="AC209" s="34"/>
      <c r="AD209" s="34"/>
      <c r="AE209" s="34"/>
      <c r="AF209" s="34"/>
      <c r="AG209" s="34"/>
      <c r="AH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I209" s="34"/>
      <c r="BJ209" s="34"/>
      <c r="BK209" s="34"/>
      <c r="BL209" s="34"/>
      <c r="BM209" s="34"/>
      <c r="BN209" s="34"/>
      <c r="BO209" s="34"/>
      <c r="BP209" s="34"/>
      <c r="BY209" s="34"/>
      <c r="BZ209" s="34"/>
      <c r="CA209" s="34"/>
      <c r="CB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</row>
    <row r="210" ht="15.75" customHeight="1">
      <c r="B210" s="34"/>
      <c r="E210" s="34"/>
      <c r="F210" s="34"/>
      <c r="G210" s="34"/>
      <c r="H210" s="34"/>
      <c r="I210" s="34"/>
      <c r="J210" s="34"/>
      <c r="K210" s="34"/>
      <c r="L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AA210" s="34"/>
      <c r="AB210" s="34"/>
      <c r="AC210" s="34"/>
      <c r="AD210" s="34"/>
      <c r="AE210" s="34"/>
      <c r="AF210" s="34"/>
      <c r="AG210" s="34"/>
      <c r="AH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I210" s="34"/>
      <c r="BJ210" s="34"/>
      <c r="BK210" s="34"/>
      <c r="BL210" s="34"/>
      <c r="BM210" s="34"/>
      <c r="BN210" s="34"/>
      <c r="BO210" s="34"/>
      <c r="BP210" s="34"/>
      <c r="BY210" s="34"/>
      <c r="BZ210" s="34"/>
      <c r="CA210" s="34"/>
      <c r="CB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</row>
    <row r="211" ht="15.75" customHeight="1">
      <c r="B211" s="34"/>
      <c r="E211" s="34"/>
      <c r="F211" s="34"/>
      <c r="G211" s="34"/>
      <c r="H211" s="34"/>
      <c r="I211" s="34"/>
      <c r="J211" s="34"/>
      <c r="K211" s="34"/>
      <c r="L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AA211" s="34"/>
      <c r="AB211" s="34"/>
      <c r="AC211" s="34"/>
      <c r="AD211" s="34"/>
      <c r="AE211" s="34"/>
      <c r="AF211" s="34"/>
      <c r="AG211" s="34"/>
      <c r="AH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I211" s="34"/>
      <c r="BJ211" s="34"/>
      <c r="BK211" s="34"/>
      <c r="BL211" s="34"/>
      <c r="BM211" s="34"/>
      <c r="BN211" s="34"/>
      <c r="BO211" s="34"/>
      <c r="BP211" s="34"/>
      <c r="BY211" s="34"/>
      <c r="BZ211" s="34"/>
      <c r="CA211" s="34"/>
      <c r="CB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</row>
    <row r="212" ht="15.75" customHeight="1">
      <c r="B212" s="34"/>
      <c r="E212" s="34"/>
      <c r="F212" s="34"/>
      <c r="G212" s="34"/>
      <c r="H212" s="34"/>
      <c r="I212" s="34"/>
      <c r="J212" s="34"/>
      <c r="K212" s="34"/>
      <c r="L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AA212" s="34"/>
      <c r="AB212" s="34"/>
      <c r="AC212" s="34"/>
      <c r="AD212" s="34"/>
      <c r="AE212" s="34"/>
      <c r="AF212" s="34"/>
      <c r="AG212" s="34"/>
      <c r="AH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I212" s="34"/>
      <c r="BJ212" s="34"/>
      <c r="BK212" s="34"/>
      <c r="BL212" s="34"/>
      <c r="BM212" s="34"/>
      <c r="BN212" s="34"/>
      <c r="BO212" s="34"/>
      <c r="BP212" s="34"/>
      <c r="BY212" s="34"/>
      <c r="BZ212" s="34"/>
      <c r="CA212" s="34"/>
      <c r="CB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</row>
    <row r="213" ht="15.75" customHeight="1">
      <c r="B213" s="34"/>
      <c r="E213" s="34"/>
      <c r="F213" s="34"/>
      <c r="G213" s="34"/>
      <c r="H213" s="34"/>
      <c r="I213" s="34"/>
      <c r="J213" s="34"/>
      <c r="K213" s="34"/>
      <c r="L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AA213" s="34"/>
      <c r="AB213" s="34"/>
      <c r="AC213" s="34"/>
      <c r="AD213" s="34"/>
      <c r="AE213" s="34"/>
      <c r="AF213" s="34"/>
      <c r="AG213" s="34"/>
      <c r="AH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I213" s="34"/>
      <c r="BJ213" s="34"/>
      <c r="BK213" s="34"/>
      <c r="BL213" s="34"/>
      <c r="BM213" s="34"/>
      <c r="BN213" s="34"/>
      <c r="BO213" s="34"/>
      <c r="BP213" s="34"/>
      <c r="BY213" s="34"/>
      <c r="BZ213" s="34"/>
      <c r="CA213" s="34"/>
      <c r="CB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</row>
    <row r="214" ht="15.75" customHeight="1">
      <c r="B214" s="34"/>
      <c r="E214" s="34"/>
      <c r="F214" s="34"/>
      <c r="G214" s="34"/>
      <c r="H214" s="34"/>
      <c r="I214" s="34"/>
      <c r="J214" s="34"/>
      <c r="K214" s="34"/>
      <c r="L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AA214" s="34"/>
      <c r="AB214" s="34"/>
      <c r="AC214" s="34"/>
      <c r="AD214" s="34"/>
      <c r="AE214" s="34"/>
      <c r="AF214" s="34"/>
      <c r="AG214" s="34"/>
      <c r="AH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I214" s="34"/>
      <c r="BJ214" s="34"/>
      <c r="BK214" s="34"/>
      <c r="BL214" s="34"/>
      <c r="BM214" s="34"/>
      <c r="BN214" s="34"/>
      <c r="BO214" s="34"/>
      <c r="BP214" s="34"/>
      <c r="BY214" s="34"/>
      <c r="BZ214" s="34"/>
      <c r="CA214" s="34"/>
      <c r="CB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</row>
    <row r="215" ht="15.75" customHeight="1">
      <c r="B215" s="34"/>
      <c r="E215" s="34"/>
      <c r="F215" s="34"/>
      <c r="G215" s="34"/>
      <c r="H215" s="34"/>
      <c r="I215" s="34"/>
      <c r="J215" s="34"/>
      <c r="K215" s="34"/>
      <c r="L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AA215" s="34"/>
      <c r="AB215" s="34"/>
      <c r="AC215" s="34"/>
      <c r="AD215" s="34"/>
      <c r="AE215" s="34"/>
      <c r="AF215" s="34"/>
      <c r="AG215" s="34"/>
      <c r="AH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I215" s="34"/>
      <c r="BJ215" s="34"/>
      <c r="BK215" s="34"/>
      <c r="BL215" s="34"/>
      <c r="BM215" s="34"/>
      <c r="BN215" s="34"/>
      <c r="BO215" s="34"/>
      <c r="BP215" s="34"/>
      <c r="BY215" s="34"/>
      <c r="BZ215" s="34"/>
      <c r="CA215" s="34"/>
      <c r="CB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</row>
    <row r="216" ht="15.75" customHeight="1">
      <c r="B216" s="34"/>
      <c r="E216" s="34"/>
      <c r="F216" s="34"/>
      <c r="G216" s="34"/>
      <c r="H216" s="34"/>
      <c r="I216" s="34"/>
      <c r="J216" s="34"/>
      <c r="K216" s="34"/>
      <c r="L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AA216" s="34"/>
      <c r="AB216" s="34"/>
      <c r="AC216" s="34"/>
      <c r="AD216" s="34"/>
      <c r="AE216" s="34"/>
      <c r="AF216" s="34"/>
      <c r="AG216" s="34"/>
      <c r="AH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I216" s="34"/>
      <c r="BJ216" s="34"/>
      <c r="BK216" s="34"/>
      <c r="BL216" s="34"/>
      <c r="BM216" s="34"/>
      <c r="BN216" s="34"/>
      <c r="BO216" s="34"/>
      <c r="BP216" s="34"/>
      <c r="BY216" s="34"/>
      <c r="BZ216" s="34"/>
      <c r="CA216" s="34"/>
      <c r="CB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</row>
    <row r="217" ht="15.75" customHeight="1">
      <c r="B217" s="34"/>
      <c r="E217" s="34"/>
      <c r="F217" s="34"/>
      <c r="G217" s="34"/>
      <c r="H217" s="34"/>
      <c r="I217" s="34"/>
      <c r="J217" s="34"/>
      <c r="K217" s="34"/>
      <c r="L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AA217" s="34"/>
      <c r="AB217" s="34"/>
      <c r="AC217" s="34"/>
      <c r="AD217" s="34"/>
      <c r="AE217" s="34"/>
      <c r="AF217" s="34"/>
      <c r="AG217" s="34"/>
      <c r="AH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I217" s="34"/>
      <c r="BJ217" s="34"/>
      <c r="BK217" s="34"/>
      <c r="BL217" s="34"/>
      <c r="BM217" s="34"/>
      <c r="BN217" s="34"/>
      <c r="BO217" s="34"/>
      <c r="BP217" s="34"/>
      <c r="BY217" s="34"/>
      <c r="BZ217" s="34"/>
      <c r="CA217" s="34"/>
      <c r="CB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</row>
    <row r="218" ht="15.75" customHeight="1">
      <c r="B218" s="34"/>
      <c r="E218" s="34"/>
      <c r="F218" s="34"/>
      <c r="G218" s="34"/>
      <c r="H218" s="34"/>
      <c r="I218" s="34"/>
      <c r="J218" s="34"/>
      <c r="K218" s="34"/>
      <c r="L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AA218" s="34"/>
      <c r="AB218" s="34"/>
      <c r="AC218" s="34"/>
      <c r="AD218" s="34"/>
      <c r="AE218" s="34"/>
      <c r="AF218" s="34"/>
      <c r="AG218" s="34"/>
      <c r="AH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I218" s="34"/>
      <c r="BJ218" s="34"/>
      <c r="BK218" s="34"/>
      <c r="BL218" s="34"/>
      <c r="BM218" s="34"/>
      <c r="BN218" s="34"/>
      <c r="BO218" s="34"/>
      <c r="BP218" s="34"/>
      <c r="BY218" s="34"/>
      <c r="BZ218" s="34"/>
      <c r="CA218" s="34"/>
      <c r="CB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</row>
    <row r="219" ht="15.75" customHeight="1">
      <c r="B219" s="34"/>
      <c r="E219" s="34"/>
      <c r="F219" s="34"/>
      <c r="G219" s="34"/>
      <c r="H219" s="34"/>
      <c r="I219" s="34"/>
      <c r="J219" s="34"/>
      <c r="K219" s="34"/>
      <c r="L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AA219" s="34"/>
      <c r="AB219" s="34"/>
      <c r="AC219" s="34"/>
      <c r="AD219" s="34"/>
      <c r="AE219" s="34"/>
      <c r="AF219" s="34"/>
      <c r="AG219" s="34"/>
      <c r="AH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I219" s="34"/>
      <c r="BJ219" s="34"/>
      <c r="BK219" s="34"/>
      <c r="BL219" s="34"/>
      <c r="BM219" s="34"/>
      <c r="BN219" s="34"/>
      <c r="BO219" s="34"/>
      <c r="BP219" s="34"/>
      <c r="BY219" s="34"/>
      <c r="BZ219" s="34"/>
      <c r="CA219" s="34"/>
      <c r="CB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</row>
    <row r="220" ht="15.75" customHeight="1">
      <c r="B220" s="34"/>
      <c r="E220" s="34"/>
      <c r="F220" s="34"/>
      <c r="G220" s="34"/>
      <c r="H220" s="34"/>
      <c r="I220" s="34"/>
      <c r="J220" s="34"/>
      <c r="K220" s="34"/>
      <c r="L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AA220" s="34"/>
      <c r="AB220" s="34"/>
      <c r="AC220" s="34"/>
      <c r="AD220" s="34"/>
      <c r="AE220" s="34"/>
      <c r="AF220" s="34"/>
      <c r="AG220" s="34"/>
      <c r="AH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I220" s="34"/>
      <c r="BJ220" s="34"/>
      <c r="BK220" s="34"/>
      <c r="BL220" s="34"/>
      <c r="BM220" s="34"/>
      <c r="BN220" s="34"/>
      <c r="BO220" s="34"/>
      <c r="BP220" s="34"/>
      <c r="BY220" s="34"/>
      <c r="BZ220" s="34"/>
      <c r="CA220" s="34"/>
      <c r="CB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</row>
    <row r="221" ht="15.75" customHeight="1">
      <c r="B221" s="34"/>
      <c r="E221" s="34"/>
      <c r="F221" s="34"/>
      <c r="G221" s="34"/>
      <c r="H221" s="34"/>
      <c r="I221" s="34"/>
      <c r="J221" s="34"/>
      <c r="K221" s="34"/>
      <c r="L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AA221" s="34"/>
      <c r="AB221" s="34"/>
      <c r="AC221" s="34"/>
      <c r="AD221" s="34"/>
      <c r="AE221" s="34"/>
      <c r="AF221" s="34"/>
      <c r="AG221" s="34"/>
      <c r="AH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I221" s="34"/>
      <c r="BJ221" s="34"/>
      <c r="BK221" s="34"/>
      <c r="BL221" s="34"/>
      <c r="BM221" s="34"/>
      <c r="BN221" s="34"/>
      <c r="BO221" s="34"/>
      <c r="BP221" s="34"/>
      <c r="BY221" s="34"/>
      <c r="BZ221" s="34"/>
      <c r="CA221" s="34"/>
      <c r="CB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</row>
    <row r="222" ht="15.75" customHeight="1">
      <c r="B222" s="34"/>
      <c r="E222" s="34"/>
      <c r="F222" s="34"/>
      <c r="G222" s="34"/>
      <c r="H222" s="34"/>
      <c r="I222" s="34"/>
      <c r="J222" s="34"/>
      <c r="K222" s="34"/>
      <c r="L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AA222" s="34"/>
      <c r="AB222" s="34"/>
      <c r="AC222" s="34"/>
      <c r="AD222" s="34"/>
      <c r="AE222" s="34"/>
      <c r="AF222" s="34"/>
      <c r="AG222" s="34"/>
      <c r="AH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I222" s="34"/>
      <c r="BJ222" s="34"/>
      <c r="BK222" s="34"/>
      <c r="BL222" s="34"/>
      <c r="BM222" s="34"/>
      <c r="BN222" s="34"/>
      <c r="BO222" s="34"/>
      <c r="BP222" s="34"/>
      <c r="BY222" s="34"/>
      <c r="BZ222" s="34"/>
      <c r="CA222" s="34"/>
      <c r="CB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</row>
    <row r="223" ht="15.75" customHeight="1">
      <c r="B223" s="34"/>
      <c r="E223" s="34"/>
      <c r="F223" s="34"/>
      <c r="G223" s="34"/>
      <c r="H223" s="34"/>
      <c r="I223" s="34"/>
      <c r="J223" s="34"/>
      <c r="K223" s="34"/>
      <c r="L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AA223" s="34"/>
      <c r="AB223" s="34"/>
      <c r="AC223" s="34"/>
      <c r="AD223" s="34"/>
      <c r="AE223" s="34"/>
      <c r="AF223" s="34"/>
      <c r="AG223" s="34"/>
      <c r="AH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I223" s="34"/>
      <c r="BJ223" s="34"/>
      <c r="BK223" s="34"/>
      <c r="BL223" s="34"/>
      <c r="BM223" s="34"/>
      <c r="BN223" s="34"/>
      <c r="BO223" s="34"/>
      <c r="BP223" s="34"/>
      <c r="BY223" s="34"/>
      <c r="BZ223" s="34"/>
      <c r="CA223" s="34"/>
      <c r="CB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</row>
    <row r="224" ht="15.75" customHeight="1">
      <c r="B224" s="34"/>
      <c r="E224" s="34"/>
      <c r="F224" s="34"/>
      <c r="G224" s="34"/>
      <c r="H224" s="34"/>
      <c r="I224" s="34"/>
      <c r="J224" s="34"/>
      <c r="K224" s="34"/>
      <c r="L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AA224" s="34"/>
      <c r="AB224" s="34"/>
      <c r="AC224" s="34"/>
      <c r="AD224" s="34"/>
      <c r="AE224" s="34"/>
      <c r="AF224" s="34"/>
      <c r="AG224" s="34"/>
      <c r="AH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I224" s="34"/>
      <c r="BJ224" s="34"/>
      <c r="BK224" s="34"/>
      <c r="BL224" s="34"/>
      <c r="BM224" s="34"/>
      <c r="BN224" s="34"/>
      <c r="BO224" s="34"/>
      <c r="BP224" s="34"/>
      <c r="BY224" s="34"/>
      <c r="BZ224" s="34"/>
      <c r="CA224" s="34"/>
      <c r="CB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</row>
    <row r="225" ht="15.75" customHeight="1">
      <c r="B225" s="34"/>
      <c r="E225" s="34"/>
      <c r="F225" s="34"/>
      <c r="G225" s="34"/>
      <c r="H225" s="34"/>
      <c r="I225" s="34"/>
      <c r="J225" s="34"/>
      <c r="K225" s="34"/>
      <c r="L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AA225" s="34"/>
      <c r="AB225" s="34"/>
      <c r="AC225" s="34"/>
      <c r="AD225" s="34"/>
      <c r="AE225" s="34"/>
      <c r="AF225" s="34"/>
      <c r="AG225" s="34"/>
      <c r="AH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I225" s="34"/>
      <c r="BJ225" s="34"/>
      <c r="BK225" s="34"/>
      <c r="BL225" s="34"/>
      <c r="BM225" s="34"/>
      <c r="BN225" s="34"/>
      <c r="BO225" s="34"/>
      <c r="BP225" s="34"/>
      <c r="BY225" s="34"/>
      <c r="BZ225" s="34"/>
      <c r="CA225" s="34"/>
      <c r="CB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</row>
    <row r="226" ht="15.75" customHeight="1">
      <c r="B226" s="34"/>
      <c r="E226" s="34"/>
      <c r="F226" s="34"/>
      <c r="G226" s="34"/>
      <c r="H226" s="34"/>
      <c r="I226" s="34"/>
      <c r="J226" s="34"/>
      <c r="K226" s="34"/>
      <c r="L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AA226" s="34"/>
      <c r="AB226" s="34"/>
      <c r="AC226" s="34"/>
      <c r="AD226" s="34"/>
      <c r="AE226" s="34"/>
      <c r="AF226" s="34"/>
      <c r="AG226" s="34"/>
      <c r="AH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I226" s="34"/>
      <c r="BJ226" s="34"/>
      <c r="BK226" s="34"/>
      <c r="BL226" s="34"/>
      <c r="BM226" s="34"/>
      <c r="BN226" s="34"/>
      <c r="BO226" s="34"/>
      <c r="BP226" s="34"/>
      <c r="BY226" s="34"/>
      <c r="BZ226" s="34"/>
      <c r="CA226" s="34"/>
      <c r="CB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</row>
    <row r="227" ht="15.75" customHeight="1">
      <c r="B227" s="34"/>
      <c r="E227" s="34"/>
      <c r="F227" s="34"/>
      <c r="G227" s="34"/>
      <c r="H227" s="34"/>
      <c r="I227" s="34"/>
      <c r="J227" s="34"/>
      <c r="K227" s="34"/>
      <c r="L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AA227" s="34"/>
      <c r="AB227" s="34"/>
      <c r="AC227" s="34"/>
      <c r="AD227" s="34"/>
      <c r="AE227" s="34"/>
      <c r="AF227" s="34"/>
      <c r="AG227" s="34"/>
      <c r="AH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I227" s="34"/>
      <c r="BJ227" s="34"/>
      <c r="BK227" s="34"/>
      <c r="BL227" s="34"/>
      <c r="BM227" s="34"/>
      <c r="BN227" s="34"/>
      <c r="BO227" s="34"/>
      <c r="BP227" s="34"/>
      <c r="BY227" s="34"/>
      <c r="BZ227" s="34"/>
      <c r="CA227" s="34"/>
      <c r="CB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</row>
    <row r="228" ht="15.75" customHeight="1">
      <c r="B228" s="34"/>
      <c r="E228" s="34"/>
      <c r="F228" s="34"/>
      <c r="G228" s="34"/>
      <c r="H228" s="34"/>
      <c r="I228" s="34"/>
      <c r="J228" s="34"/>
      <c r="K228" s="34"/>
      <c r="L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AA228" s="34"/>
      <c r="AB228" s="34"/>
      <c r="AC228" s="34"/>
      <c r="AD228" s="34"/>
      <c r="AE228" s="34"/>
      <c r="AF228" s="34"/>
      <c r="AG228" s="34"/>
      <c r="AH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I228" s="34"/>
      <c r="BJ228" s="34"/>
      <c r="BK228" s="34"/>
      <c r="BL228" s="34"/>
      <c r="BM228" s="34"/>
      <c r="BN228" s="34"/>
      <c r="BO228" s="34"/>
      <c r="BP228" s="34"/>
      <c r="BY228" s="34"/>
      <c r="BZ228" s="34"/>
      <c r="CA228" s="34"/>
      <c r="CB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</row>
    <row r="229" ht="15.75" customHeight="1">
      <c r="B229" s="34"/>
      <c r="E229" s="34"/>
      <c r="F229" s="34"/>
      <c r="G229" s="34"/>
      <c r="H229" s="34"/>
      <c r="I229" s="34"/>
      <c r="J229" s="34"/>
      <c r="K229" s="34"/>
      <c r="L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AA229" s="34"/>
      <c r="AB229" s="34"/>
      <c r="AC229" s="34"/>
      <c r="AD229" s="34"/>
      <c r="AE229" s="34"/>
      <c r="AF229" s="34"/>
      <c r="AG229" s="34"/>
      <c r="AH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I229" s="34"/>
      <c r="BJ229" s="34"/>
      <c r="BK229" s="34"/>
      <c r="BL229" s="34"/>
      <c r="BM229" s="34"/>
      <c r="BN229" s="34"/>
      <c r="BO229" s="34"/>
      <c r="BP229" s="34"/>
      <c r="BY229" s="34"/>
      <c r="BZ229" s="34"/>
      <c r="CA229" s="34"/>
      <c r="CB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</row>
    <row r="230" ht="15.75" customHeight="1">
      <c r="B230" s="34"/>
      <c r="E230" s="34"/>
      <c r="F230" s="34"/>
      <c r="G230" s="34"/>
      <c r="H230" s="34"/>
      <c r="I230" s="34"/>
      <c r="J230" s="34"/>
      <c r="K230" s="34"/>
      <c r="L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AA230" s="34"/>
      <c r="AB230" s="34"/>
      <c r="AC230" s="34"/>
      <c r="AD230" s="34"/>
      <c r="AE230" s="34"/>
      <c r="AF230" s="34"/>
      <c r="AG230" s="34"/>
      <c r="AH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I230" s="34"/>
      <c r="BJ230" s="34"/>
      <c r="BK230" s="34"/>
      <c r="BL230" s="34"/>
      <c r="BM230" s="34"/>
      <c r="BN230" s="34"/>
      <c r="BO230" s="34"/>
      <c r="BP230" s="34"/>
      <c r="BY230" s="34"/>
      <c r="BZ230" s="34"/>
      <c r="CA230" s="34"/>
      <c r="CB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</row>
    <row r="231" ht="15.75" customHeight="1">
      <c r="B231" s="34"/>
      <c r="E231" s="34"/>
      <c r="F231" s="34"/>
      <c r="G231" s="34"/>
      <c r="H231" s="34"/>
      <c r="I231" s="34"/>
      <c r="J231" s="34"/>
      <c r="K231" s="34"/>
      <c r="L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AA231" s="34"/>
      <c r="AB231" s="34"/>
      <c r="AC231" s="34"/>
      <c r="AD231" s="34"/>
      <c r="AE231" s="34"/>
      <c r="AF231" s="34"/>
      <c r="AG231" s="34"/>
      <c r="AH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I231" s="34"/>
      <c r="BJ231" s="34"/>
      <c r="BK231" s="34"/>
      <c r="BL231" s="34"/>
      <c r="BM231" s="34"/>
      <c r="BN231" s="34"/>
      <c r="BO231" s="34"/>
      <c r="BP231" s="34"/>
      <c r="BY231" s="34"/>
      <c r="BZ231" s="34"/>
      <c r="CA231" s="34"/>
      <c r="CB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</row>
    <row r="232" ht="15.75" customHeight="1">
      <c r="B232" s="34"/>
      <c r="E232" s="34"/>
      <c r="F232" s="34"/>
      <c r="G232" s="34"/>
      <c r="H232" s="34"/>
      <c r="I232" s="34"/>
      <c r="J232" s="34"/>
      <c r="K232" s="34"/>
      <c r="L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AA232" s="34"/>
      <c r="AB232" s="34"/>
      <c r="AC232" s="34"/>
      <c r="AD232" s="34"/>
      <c r="AE232" s="34"/>
      <c r="AF232" s="34"/>
      <c r="AG232" s="34"/>
      <c r="AH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I232" s="34"/>
      <c r="BJ232" s="34"/>
      <c r="BK232" s="34"/>
      <c r="BL232" s="34"/>
      <c r="BM232" s="34"/>
      <c r="BN232" s="34"/>
      <c r="BO232" s="34"/>
      <c r="BP232" s="34"/>
      <c r="BY232" s="34"/>
      <c r="BZ232" s="34"/>
      <c r="CA232" s="34"/>
      <c r="CB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</row>
    <row r="233" ht="15.75" customHeight="1">
      <c r="B233" s="34"/>
      <c r="E233" s="34"/>
      <c r="F233" s="34"/>
      <c r="G233" s="34"/>
      <c r="H233" s="34"/>
      <c r="I233" s="34"/>
      <c r="J233" s="34"/>
      <c r="K233" s="34"/>
      <c r="L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AA233" s="34"/>
      <c r="AB233" s="34"/>
      <c r="AC233" s="34"/>
      <c r="AD233" s="34"/>
      <c r="AE233" s="34"/>
      <c r="AF233" s="34"/>
      <c r="AG233" s="34"/>
      <c r="AH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I233" s="34"/>
      <c r="BJ233" s="34"/>
      <c r="BK233" s="34"/>
      <c r="BL233" s="34"/>
      <c r="BM233" s="34"/>
      <c r="BN233" s="34"/>
      <c r="BO233" s="34"/>
      <c r="BP233" s="34"/>
      <c r="BY233" s="34"/>
      <c r="BZ233" s="34"/>
      <c r="CA233" s="34"/>
      <c r="CB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</row>
    <row r="234" ht="15.75" customHeight="1">
      <c r="B234" s="34"/>
      <c r="E234" s="34"/>
      <c r="F234" s="34"/>
      <c r="G234" s="34"/>
      <c r="H234" s="34"/>
      <c r="I234" s="34"/>
      <c r="J234" s="34"/>
      <c r="K234" s="34"/>
      <c r="L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AA234" s="34"/>
      <c r="AB234" s="34"/>
      <c r="AC234" s="34"/>
      <c r="AD234" s="34"/>
      <c r="AE234" s="34"/>
      <c r="AF234" s="34"/>
      <c r="AG234" s="34"/>
      <c r="AH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I234" s="34"/>
      <c r="BJ234" s="34"/>
      <c r="BK234" s="34"/>
      <c r="BL234" s="34"/>
      <c r="BM234" s="34"/>
      <c r="BN234" s="34"/>
      <c r="BO234" s="34"/>
      <c r="BP234" s="34"/>
      <c r="BY234" s="34"/>
      <c r="BZ234" s="34"/>
      <c r="CA234" s="34"/>
      <c r="CB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</row>
    <row r="235" ht="15.75" customHeight="1">
      <c r="B235" s="34"/>
      <c r="E235" s="34"/>
      <c r="F235" s="34"/>
      <c r="G235" s="34"/>
      <c r="H235" s="34"/>
      <c r="I235" s="34"/>
      <c r="J235" s="34"/>
      <c r="K235" s="34"/>
      <c r="L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AA235" s="34"/>
      <c r="AB235" s="34"/>
      <c r="AC235" s="34"/>
      <c r="AD235" s="34"/>
      <c r="AE235" s="34"/>
      <c r="AF235" s="34"/>
      <c r="AG235" s="34"/>
      <c r="AH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I235" s="34"/>
      <c r="BJ235" s="34"/>
      <c r="BK235" s="34"/>
      <c r="BL235" s="34"/>
      <c r="BM235" s="34"/>
      <c r="BN235" s="34"/>
      <c r="BO235" s="34"/>
      <c r="BP235" s="34"/>
      <c r="BY235" s="34"/>
      <c r="BZ235" s="34"/>
      <c r="CA235" s="34"/>
      <c r="CB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</row>
    <row r="236" ht="15.75" customHeight="1">
      <c r="B236" s="34"/>
      <c r="E236" s="34"/>
      <c r="F236" s="34"/>
      <c r="G236" s="34"/>
      <c r="H236" s="34"/>
      <c r="I236" s="34"/>
      <c r="J236" s="34"/>
      <c r="K236" s="34"/>
      <c r="L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AA236" s="34"/>
      <c r="AB236" s="34"/>
      <c r="AC236" s="34"/>
      <c r="AD236" s="34"/>
      <c r="AE236" s="34"/>
      <c r="AF236" s="34"/>
      <c r="AG236" s="34"/>
      <c r="AH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I236" s="34"/>
      <c r="BJ236" s="34"/>
      <c r="BK236" s="34"/>
      <c r="BL236" s="34"/>
      <c r="BM236" s="34"/>
      <c r="BN236" s="34"/>
      <c r="BO236" s="34"/>
      <c r="BP236" s="34"/>
      <c r="BY236" s="34"/>
      <c r="BZ236" s="34"/>
      <c r="CA236" s="34"/>
      <c r="CB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</row>
    <row r="237" ht="15.75" customHeight="1">
      <c r="B237" s="34"/>
      <c r="E237" s="34"/>
      <c r="F237" s="34"/>
      <c r="G237" s="34"/>
      <c r="H237" s="34"/>
      <c r="I237" s="34"/>
      <c r="J237" s="34"/>
      <c r="K237" s="34"/>
      <c r="L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AA237" s="34"/>
      <c r="AB237" s="34"/>
      <c r="AC237" s="34"/>
      <c r="AD237" s="34"/>
      <c r="AE237" s="34"/>
      <c r="AF237" s="34"/>
      <c r="AG237" s="34"/>
      <c r="AH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I237" s="34"/>
      <c r="BJ237" s="34"/>
      <c r="BK237" s="34"/>
      <c r="BL237" s="34"/>
      <c r="BM237" s="34"/>
      <c r="BN237" s="34"/>
      <c r="BO237" s="34"/>
      <c r="BP237" s="34"/>
      <c r="BY237" s="34"/>
      <c r="BZ237" s="34"/>
      <c r="CA237" s="34"/>
      <c r="CB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</row>
    <row r="238" ht="15.75" customHeight="1">
      <c r="B238" s="34"/>
      <c r="E238" s="34"/>
      <c r="F238" s="34"/>
      <c r="G238" s="34"/>
      <c r="H238" s="34"/>
      <c r="I238" s="34"/>
      <c r="J238" s="34"/>
      <c r="K238" s="34"/>
      <c r="L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AA238" s="34"/>
      <c r="AB238" s="34"/>
      <c r="AC238" s="34"/>
      <c r="AD238" s="34"/>
      <c r="AE238" s="34"/>
      <c r="AF238" s="34"/>
      <c r="AG238" s="34"/>
      <c r="AH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I238" s="34"/>
      <c r="BJ238" s="34"/>
      <c r="BK238" s="34"/>
      <c r="BL238" s="34"/>
      <c r="BM238" s="34"/>
      <c r="BN238" s="34"/>
      <c r="BO238" s="34"/>
      <c r="BP238" s="34"/>
      <c r="BY238" s="34"/>
      <c r="BZ238" s="34"/>
      <c r="CA238" s="34"/>
      <c r="CB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</row>
    <row r="239" ht="15.75" customHeight="1">
      <c r="B239" s="34"/>
      <c r="E239" s="34"/>
      <c r="F239" s="34"/>
      <c r="G239" s="34"/>
      <c r="H239" s="34"/>
      <c r="I239" s="34"/>
      <c r="J239" s="34"/>
      <c r="K239" s="34"/>
      <c r="L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AA239" s="34"/>
      <c r="AB239" s="34"/>
      <c r="AC239" s="34"/>
      <c r="AD239" s="34"/>
      <c r="AE239" s="34"/>
      <c r="AF239" s="34"/>
      <c r="AG239" s="34"/>
      <c r="AH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I239" s="34"/>
      <c r="BJ239" s="34"/>
      <c r="BK239" s="34"/>
      <c r="BL239" s="34"/>
      <c r="BM239" s="34"/>
      <c r="BN239" s="34"/>
      <c r="BO239" s="34"/>
      <c r="BP239" s="34"/>
      <c r="BY239" s="34"/>
      <c r="BZ239" s="34"/>
      <c r="CA239" s="34"/>
      <c r="CB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</row>
    <row r="240" ht="15.75" customHeight="1">
      <c r="B240" s="34"/>
      <c r="E240" s="34"/>
      <c r="F240" s="34"/>
      <c r="G240" s="34"/>
      <c r="H240" s="34"/>
      <c r="I240" s="34"/>
      <c r="J240" s="34"/>
      <c r="K240" s="34"/>
      <c r="L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AA240" s="34"/>
      <c r="AB240" s="34"/>
      <c r="AC240" s="34"/>
      <c r="AD240" s="34"/>
      <c r="AE240" s="34"/>
      <c r="AF240" s="34"/>
      <c r="AG240" s="34"/>
      <c r="AH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I240" s="34"/>
      <c r="BJ240" s="34"/>
      <c r="BK240" s="34"/>
      <c r="BL240" s="34"/>
      <c r="BM240" s="34"/>
      <c r="BN240" s="34"/>
      <c r="BO240" s="34"/>
      <c r="BP240" s="34"/>
      <c r="BY240" s="34"/>
      <c r="BZ240" s="34"/>
      <c r="CA240" s="34"/>
      <c r="CB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</row>
    <row r="241" ht="15.75" customHeight="1">
      <c r="B241" s="34"/>
      <c r="E241" s="34"/>
      <c r="F241" s="34"/>
      <c r="G241" s="34"/>
      <c r="H241" s="34"/>
      <c r="I241" s="34"/>
      <c r="J241" s="34"/>
      <c r="K241" s="34"/>
      <c r="L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AA241" s="34"/>
      <c r="AB241" s="34"/>
      <c r="AC241" s="34"/>
      <c r="AD241" s="34"/>
      <c r="AE241" s="34"/>
      <c r="AF241" s="34"/>
      <c r="AG241" s="34"/>
      <c r="AH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I241" s="34"/>
      <c r="BJ241" s="34"/>
      <c r="BK241" s="34"/>
      <c r="BL241" s="34"/>
      <c r="BM241" s="34"/>
      <c r="BN241" s="34"/>
      <c r="BO241" s="34"/>
      <c r="BP241" s="34"/>
      <c r="BY241" s="34"/>
      <c r="BZ241" s="34"/>
      <c r="CA241" s="34"/>
      <c r="CB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</row>
    <row r="242" ht="15.75" customHeight="1">
      <c r="B242" s="34"/>
      <c r="E242" s="34"/>
      <c r="F242" s="34"/>
      <c r="G242" s="34"/>
      <c r="H242" s="34"/>
      <c r="I242" s="34"/>
      <c r="J242" s="34"/>
      <c r="K242" s="34"/>
      <c r="L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AA242" s="34"/>
      <c r="AB242" s="34"/>
      <c r="AC242" s="34"/>
      <c r="AD242" s="34"/>
      <c r="AE242" s="34"/>
      <c r="AF242" s="34"/>
      <c r="AG242" s="34"/>
      <c r="AH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I242" s="34"/>
      <c r="BJ242" s="34"/>
      <c r="BK242" s="34"/>
      <c r="BL242" s="34"/>
      <c r="BM242" s="34"/>
      <c r="BN242" s="34"/>
      <c r="BO242" s="34"/>
      <c r="BP242" s="34"/>
      <c r="BY242" s="34"/>
      <c r="BZ242" s="34"/>
      <c r="CA242" s="34"/>
      <c r="CB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</row>
    <row r="243" ht="15.75" customHeight="1">
      <c r="B243" s="34"/>
      <c r="E243" s="34"/>
      <c r="F243" s="34"/>
      <c r="G243" s="34"/>
      <c r="H243" s="34"/>
      <c r="I243" s="34"/>
      <c r="J243" s="34"/>
      <c r="K243" s="34"/>
      <c r="L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AA243" s="34"/>
      <c r="AB243" s="34"/>
      <c r="AC243" s="34"/>
      <c r="AD243" s="34"/>
      <c r="AE243" s="34"/>
      <c r="AF243" s="34"/>
      <c r="AG243" s="34"/>
      <c r="AH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I243" s="34"/>
      <c r="BJ243" s="34"/>
      <c r="BK243" s="34"/>
      <c r="BL243" s="34"/>
      <c r="BM243" s="34"/>
      <c r="BN243" s="34"/>
      <c r="BO243" s="34"/>
      <c r="BP243" s="34"/>
      <c r="BY243" s="34"/>
      <c r="BZ243" s="34"/>
      <c r="CA243" s="34"/>
      <c r="CB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</row>
    <row r="244" ht="15.75" customHeight="1">
      <c r="B244" s="34"/>
      <c r="E244" s="34"/>
      <c r="F244" s="34"/>
      <c r="G244" s="34"/>
      <c r="H244" s="34"/>
      <c r="I244" s="34"/>
      <c r="J244" s="34"/>
      <c r="K244" s="34"/>
      <c r="L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AA244" s="34"/>
      <c r="AB244" s="34"/>
      <c r="AC244" s="34"/>
      <c r="AD244" s="34"/>
      <c r="AE244" s="34"/>
      <c r="AF244" s="34"/>
      <c r="AG244" s="34"/>
      <c r="AH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I244" s="34"/>
      <c r="BJ244" s="34"/>
      <c r="BK244" s="34"/>
      <c r="BL244" s="34"/>
      <c r="BM244" s="34"/>
      <c r="BN244" s="34"/>
      <c r="BO244" s="34"/>
      <c r="BP244" s="34"/>
      <c r="BY244" s="34"/>
      <c r="BZ244" s="34"/>
      <c r="CA244" s="34"/>
      <c r="CB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</row>
    <row r="245" ht="15.75" customHeight="1">
      <c r="B245" s="34"/>
      <c r="E245" s="34"/>
      <c r="F245" s="34"/>
      <c r="G245" s="34"/>
      <c r="H245" s="34"/>
      <c r="I245" s="34"/>
      <c r="J245" s="34"/>
      <c r="K245" s="34"/>
      <c r="L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AA245" s="34"/>
      <c r="AB245" s="34"/>
      <c r="AC245" s="34"/>
      <c r="AD245" s="34"/>
      <c r="AE245" s="34"/>
      <c r="AF245" s="34"/>
      <c r="AG245" s="34"/>
      <c r="AH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I245" s="34"/>
      <c r="BJ245" s="34"/>
      <c r="BK245" s="34"/>
      <c r="BL245" s="34"/>
      <c r="BM245" s="34"/>
      <c r="BN245" s="34"/>
      <c r="BO245" s="34"/>
      <c r="BP245" s="34"/>
      <c r="BY245" s="34"/>
      <c r="BZ245" s="34"/>
      <c r="CA245" s="34"/>
      <c r="CB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</row>
    <row r="246" ht="15.75" customHeight="1">
      <c r="B246" s="34"/>
      <c r="E246" s="34"/>
      <c r="F246" s="34"/>
      <c r="G246" s="34"/>
      <c r="H246" s="34"/>
      <c r="I246" s="34"/>
      <c r="J246" s="34"/>
      <c r="K246" s="34"/>
      <c r="L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AA246" s="34"/>
      <c r="AB246" s="34"/>
      <c r="AC246" s="34"/>
      <c r="AD246" s="34"/>
      <c r="AE246" s="34"/>
      <c r="AF246" s="34"/>
      <c r="AG246" s="34"/>
      <c r="AH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I246" s="34"/>
      <c r="BJ246" s="34"/>
      <c r="BK246" s="34"/>
      <c r="BL246" s="34"/>
      <c r="BM246" s="34"/>
      <c r="BN246" s="34"/>
      <c r="BO246" s="34"/>
      <c r="BP246" s="34"/>
      <c r="BY246" s="34"/>
      <c r="BZ246" s="34"/>
      <c r="CA246" s="34"/>
      <c r="CB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</row>
    <row r="247" ht="15.75" customHeight="1">
      <c r="B247" s="34"/>
      <c r="E247" s="34"/>
      <c r="F247" s="34"/>
      <c r="G247" s="34"/>
      <c r="H247" s="34"/>
      <c r="I247" s="34"/>
      <c r="J247" s="34"/>
      <c r="K247" s="34"/>
      <c r="L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AA247" s="34"/>
      <c r="AB247" s="34"/>
      <c r="AC247" s="34"/>
      <c r="AD247" s="34"/>
      <c r="AE247" s="34"/>
      <c r="AF247" s="34"/>
      <c r="AG247" s="34"/>
      <c r="AH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I247" s="34"/>
      <c r="BJ247" s="34"/>
      <c r="BK247" s="34"/>
      <c r="BL247" s="34"/>
      <c r="BM247" s="34"/>
      <c r="BN247" s="34"/>
      <c r="BO247" s="34"/>
      <c r="BP247" s="34"/>
      <c r="BY247" s="34"/>
      <c r="BZ247" s="34"/>
      <c r="CA247" s="34"/>
      <c r="CB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</row>
    <row r="248" ht="15.75" customHeight="1">
      <c r="B248" s="34"/>
      <c r="E248" s="34"/>
      <c r="F248" s="34"/>
      <c r="G248" s="34"/>
      <c r="H248" s="34"/>
      <c r="I248" s="34"/>
      <c r="J248" s="34"/>
      <c r="K248" s="34"/>
      <c r="L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AA248" s="34"/>
      <c r="AB248" s="34"/>
      <c r="AC248" s="34"/>
      <c r="AD248" s="34"/>
      <c r="AE248" s="34"/>
      <c r="AF248" s="34"/>
      <c r="AG248" s="34"/>
      <c r="AH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I248" s="34"/>
      <c r="BJ248" s="34"/>
      <c r="BK248" s="34"/>
      <c r="BL248" s="34"/>
      <c r="BM248" s="34"/>
      <c r="BN248" s="34"/>
      <c r="BO248" s="34"/>
      <c r="BP248" s="34"/>
      <c r="BY248" s="34"/>
      <c r="BZ248" s="34"/>
      <c r="CA248" s="34"/>
      <c r="CB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</row>
    <row r="249" ht="15.75" customHeight="1">
      <c r="B249" s="34"/>
      <c r="E249" s="34"/>
      <c r="F249" s="34"/>
      <c r="G249" s="34"/>
      <c r="H249" s="34"/>
      <c r="I249" s="34"/>
      <c r="J249" s="34"/>
      <c r="K249" s="34"/>
      <c r="L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AA249" s="34"/>
      <c r="AB249" s="34"/>
      <c r="AC249" s="34"/>
      <c r="AD249" s="34"/>
      <c r="AE249" s="34"/>
      <c r="AF249" s="34"/>
      <c r="AG249" s="34"/>
      <c r="AH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I249" s="34"/>
      <c r="BJ249" s="34"/>
      <c r="BK249" s="34"/>
      <c r="BL249" s="34"/>
      <c r="BM249" s="34"/>
      <c r="BN249" s="34"/>
      <c r="BO249" s="34"/>
      <c r="BP249" s="34"/>
      <c r="BY249" s="34"/>
      <c r="BZ249" s="34"/>
      <c r="CA249" s="34"/>
      <c r="CB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</row>
    <row r="250" ht="15.75" customHeight="1">
      <c r="B250" s="34"/>
      <c r="E250" s="34"/>
      <c r="F250" s="34"/>
      <c r="G250" s="34"/>
      <c r="H250" s="34"/>
      <c r="I250" s="34"/>
      <c r="J250" s="34"/>
      <c r="K250" s="34"/>
      <c r="L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AA250" s="34"/>
      <c r="AB250" s="34"/>
      <c r="AC250" s="34"/>
      <c r="AD250" s="34"/>
      <c r="AE250" s="34"/>
      <c r="AF250" s="34"/>
      <c r="AG250" s="34"/>
      <c r="AH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I250" s="34"/>
      <c r="BJ250" s="34"/>
      <c r="BK250" s="34"/>
      <c r="BL250" s="34"/>
      <c r="BM250" s="34"/>
      <c r="BN250" s="34"/>
      <c r="BO250" s="34"/>
      <c r="BP250" s="34"/>
      <c r="BY250" s="34"/>
      <c r="BZ250" s="34"/>
      <c r="CA250" s="34"/>
      <c r="CB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</row>
    <row r="251" ht="15.75" customHeight="1">
      <c r="B251" s="34"/>
      <c r="E251" s="34"/>
      <c r="F251" s="34"/>
      <c r="G251" s="34"/>
      <c r="H251" s="34"/>
      <c r="I251" s="34"/>
      <c r="J251" s="34"/>
      <c r="K251" s="34"/>
      <c r="L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AA251" s="34"/>
      <c r="AB251" s="34"/>
      <c r="AC251" s="34"/>
      <c r="AD251" s="34"/>
      <c r="AE251" s="34"/>
      <c r="AF251" s="34"/>
      <c r="AG251" s="34"/>
      <c r="AH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I251" s="34"/>
      <c r="BJ251" s="34"/>
      <c r="BK251" s="34"/>
      <c r="BL251" s="34"/>
      <c r="BM251" s="34"/>
      <c r="BN251" s="34"/>
      <c r="BO251" s="34"/>
      <c r="BP251" s="34"/>
      <c r="BY251" s="34"/>
      <c r="BZ251" s="34"/>
      <c r="CA251" s="34"/>
      <c r="CB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</row>
    <row r="252" ht="15.75" customHeight="1">
      <c r="B252" s="34"/>
      <c r="E252" s="34"/>
      <c r="F252" s="34"/>
      <c r="G252" s="34"/>
      <c r="H252" s="34"/>
      <c r="I252" s="34"/>
      <c r="J252" s="34"/>
      <c r="K252" s="34"/>
      <c r="L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AA252" s="34"/>
      <c r="AB252" s="34"/>
      <c r="AC252" s="34"/>
      <c r="AD252" s="34"/>
      <c r="AE252" s="34"/>
      <c r="AF252" s="34"/>
      <c r="AG252" s="34"/>
      <c r="AH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I252" s="34"/>
      <c r="BJ252" s="34"/>
      <c r="BK252" s="34"/>
      <c r="BL252" s="34"/>
      <c r="BM252" s="34"/>
      <c r="BN252" s="34"/>
      <c r="BO252" s="34"/>
      <c r="BP252" s="34"/>
      <c r="BY252" s="34"/>
      <c r="BZ252" s="34"/>
      <c r="CA252" s="34"/>
      <c r="CB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</row>
    <row r="253" ht="15.75" customHeight="1">
      <c r="B253" s="34"/>
      <c r="E253" s="34"/>
      <c r="F253" s="34"/>
      <c r="G253" s="34"/>
      <c r="H253" s="34"/>
      <c r="I253" s="34"/>
      <c r="J253" s="34"/>
      <c r="K253" s="34"/>
      <c r="L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AA253" s="34"/>
      <c r="AB253" s="34"/>
      <c r="AC253" s="34"/>
      <c r="AD253" s="34"/>
      <c r="AE253" s="34"/>
      <c r="AF253" s="34"/>
      <c r="AG253" s="34"/>
      <c r="AH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I253" s="34"/>
      <c r="BJ253" s="34"/>
      <c r="BK253" s="34"/>
      <c r="BL253" s="34"/>
      <c r="BM253" s="34"/>
      <c r="BN253" s="34"/>
      <c r="BO253" s="34"/>
      <c r="BP253" s="34"/>
      <c r="BY253" s="34"/>
      <c r="BZ253" s="34"/>
      <c r="CA253" s="34"/>
      <c r="CB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</row>
    <row r="254" ht="15.75" customHeight="1">
      <c r="B254" s="34"/>
      <c r="E254" s="34"/>
      <c r="F254" s="34"/>
      <c r="G254" s="34"/>
      <c r="H254" s="34"/>
      <c r="I254" s="34"/>
      <c r="J254" s="34"/>
      <c r="K254" s="34"/>
      <c r="L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AA254" s="34"/>
      <c r="AB254" s="34"/>
      <c r="AC254" s="34"/>
      <c r="AD254" s="34"/>
      <c r="AE254" s="34"/>
      <c r="AF254" s="34"/>
      <c r="AG254" s="34"/>
      <c r="AH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I254" s="34"/>
      <c r="BJ254" s="34"/>
      <c r="BK254" s="34"/>
      <c r="BL254" s="34"/>
      <c r="BM254" s="34"/>
      <c r="BN254" s="34"/>
      <c r="BO254" s="34"/>
      <c r="BP254" s="34"/>
      <c r="BY254" s="34"/>
      <c r="BZ254" s="34"/>
      <c r="CA254" s="34"/>
      <c r="CB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</row>
    <row r="255" ht="15.75" customHeight="1">
      <c r="B255" s="34"/>
      <c r="E255" s="34"/>
      <c r="F255" s="34"/>
      <c r="G255" s="34"/>
      <c r="H255" s="34"/>
      <c r="I255" s="34"/>
      <c r="J255" s="34"/>
      <c r="K255" s="34"/>
      <c r="L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AA255" s="34"/>
      <c r="AB255" s="34"/>
      <c r="AC255" s="34"/>
      <c r="AD255" s="34"/>
      <c r="AE255" s="34"/>
      <c r="AF255" s="34"/>
      <c r="AG255" s="34"/>
      <c r="AH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I255" s="34"/>
      <c r="BJ255" s="34"/>
      <c r="BK255" s="34"/>
      <c r="BL255" s="34"/>
      <c r="BM255" s="34"/>
      <c r="BN255" s="34"/>
      <c r="BO255" s="34"/>
      <c r="BP255" s="34"/>
      <c r="BY255" s="34"/>
      <c r="BZ255" s="34"/>
      <c r="CA255" s="34"/>
      <c r="CB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</row>
    <row r="256" ht="15.75" customHeight="1">
      <c r="B256" s="34"/>
      <c r="E256" s="34"/>
      <c r="F256" s="34"/>
      <c r="G256" s="34"/>
      <c r="H256" s="34"/>
      <c r="I256" s="34"/>
      <c r="J256" s="34"/>
      <c r="K256" s="34"/>
      <c r="L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AA256" s="34"/>
      <c r="AB256" s="34"/>
      <c r="AC256" s="34"/>
      <c r="AD256" s="34"/>
      <c r="AE256" s="34"/>
      <c r="AF256" s="34"/>
      <c r="AG256" s="34"/>
      <c r="AH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I256" s="34"/>
      <c r="BJ256" s="34"/>
      <c r="BK256" s="34"/>
      <c r="BL256" s="34"/>
      <c r="BM256" s="34"/>
      <c r="BN256" s="34"/>
      <c r="BO256" s="34"/>
      <c r="BP256" s="34"/>
      <c r="BY256" s="34"/>
      <c r="BZ256" s="34"/>
      <c r="CA256" s="34"/>
      <c r="CB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</row>
    <row r="257" ht="15.75" customHeight="1">
      <c r="B257" s="34"/>
      <c r="E257" s="34"/>
      <c r="F257" s="34"/>
      <c r="G257" s="34"/>
      <c r="H257" s="34"/>
      <c r="I257" s="34"/>
      <c r="J257" s="34"/>
      <c r="K257" s="34"/>
      <c r="L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AA257" s="34"/>
      <c r="AB257" s="34"/>
      <c r="AC257" s="34"/>
      <c r="AD257" s="34"/>
      <c r="AE257" s="34"/>
      <c r="AF257" s="34"/>
      <c r="AG257" s="34"/>
      <c r="AH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I257" s="34"/>
      <c r="BJ257" s="34"/>
      <c r="BK257" s="34"/>
      <c r="BL257" s="34"/>
      <c r="BM257" s="34"/>
      <c r="BN257" s="34"/>
      <c r="BO257" s="34"/>
      <c r="BP257" s="34"/>
      <c r="BY257" s="34"/>
      <c r="BZ257" s="34"/>
      <c r="CA257" s="34"/>
      <c r="CB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</row>
    <row r="258" ht="15.75" customHeight="1">
      <c r="B258" s="34"/>
      <c r="E258" s="34"/>
      <c r="F258" s="34"/>
      <c r="G258" s="34"/>
      <c r="H258" s="34"/>
      <c r="I258" s="34"/>
      <c r="J258" s="34"/>
      <c r="K258" s="34"/>
      <c r="L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AA258" s="34"/>
      <c r="AB258" s="34"/>
      <c r="AC258" s="34"/>
      <c r="AD258" s="34"/>
      <c r="AE258" s="34"/>
      <c r="AF258" s="34"/>
      <c r="AG258" s="34"/>
      <c r="AH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I258" s="34"/>
      <c r="BJ258" s="34"/>
      <c r="BK258" s="34"/>
      <c r="BL258" s="34"/>
      <c r="BM258" s="34"/>
      <c r="BN258" s="34"/>
      <c r="BO258" s="34"/>
      <c r="BP258" s="34"/>
      <c r="BY258" s="34"/>
      <c r="BZ258" s="34"/>
      <c r="CA258" s="34"/>
      <c r="CB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</row>
    <row r="259" ht="15.75" customHeight="1">
      <c r="B259" s="34"/>
      <c r="E259" s="34"/>
      <c r="F259" s="34"/>
      <c r="G259" s="34"/>
      <c r="H259" s="34"/>
      <c r="I259" s="34"/>
      <c r="J259" s="34"/>
      <c r="K259" s="34"/>
      <c r="L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AA259" s="34"/>
      <c r="AB259" s="34"/>
      <c r="AC259" s="34"/>
      <c r="AD259" s="34"/>
      <c r="AE259" s="34"/>
      <c r="AF259" s="34"/>
      <c r="AG259" s="34"/>
      <c r="AH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I259" s="34"/>
      <c r="BJ259" s="34"/>
      <c r="BK259" s="34"/>
      <c r="BL259" s="34"/>
      <c r="BM259" s="34"/>
      <c r="BN259" s="34"/>
      <c r="BO259" s="34"/>
      <c r="BP259" s="34"/>
      <c r="BY259" s="34"/>
      <c r="BZ259" s="34"/>
      <c r="CA259" s="34"/>
      <c r="CB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</row>
    <row r="260" ht="15.75" customHeight="1">
      <c r="B260" s="34"/>
      <c r="E260" s="34"/>
      <c r="F260" s="34"/>
      <c r="G260" s="34"/>
      <c r="H260" s="34"/>
      <c r="I260" s="34"/>
      <c r="J260" s="34"/>
      <c r="K260" s="34"/>
      <c r="L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AA260" s="34"/>
      <c r="AB260" s="34"/>
      <c r="AC260" s="34"/>
      <c r="AD260" s="34"/>
      <c r="AE260" s="34"/>
      <c r="AF260" s="34"/>
      <c r="AG260" s="34"/>
      <c r="AH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I260" s="34"/>
      <c r="BJ260" s="34"/>
      <c r="BK260" s="34"/>
      <c r="BL260" s="34"/>
      <c r="BM260" s="34"/>
      <c r="BN260" s="34"/>
      <c r="BO260" s="34"/>
      <c r="BP260" s="34"/>
      <c r="BY260" s="34"/>
      <c r="BZ260" s="34"/>
      <c r="CA260" s="34"/>
      <c r="CB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</row>
    <row r="261" ht="15.75" customHeight="1">
      <c r="B261" s="34"/>
      <c r="E261" s="34"/>
      <c r="F261" s="34"/>
      <c r="G261" s="34"/>
      <c r="H261" s="34"/>
      <c r="I261" s="34"/>
      <c r="J261" s="34"/>
      <c r="K261" s="34"/>
      <c r="L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AA261" s="34"/>
      <c r="AB261" s="34"/>
      <c r="AC261" s="34"/>
      <c r="AD261" s="34"/>
      <c r="AE261" s="34"/>
      <c r="AF261" s="34"/>
      <c r="AG261" s="34"/>
      <c r="AH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I261" s="34"/>
      <c r="BJ261" s="34"/>
      <c r="BK261" s="34"/>
      <c r="BL261" s="34"/>
      <c r="BM261" s="34"/>
      <c r="BN261" s="34"/>
      <c r="BO261" s="34"/>
      <c r="BP261" s="34"/>
      <c r="BY261" s="34"/>
      <c r="BZ261" s="34"/>
      <c r="CA261" s="34"/>
      <c r="CB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</row>
    <row r="262" ht="15.75" customHeight="1">
      <c r="B262" s="34"/>
      <c r="E262" s="34"/>
      <c r="F262" s="34"/>
      <c r="G262" s="34"/>
      <c r="H262" s="34"/>
      <c r="I262" s="34"/>
      <c r="J262" s="34"/>
      <c r="K262" s="34"/>
      <c r="L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AA262" s="34"/>
      <c r="AB262" s="34"/>
      <c r="AC262" s="34"/>
      <c r="AD262" s="34"/>
      <c r="AE262" s="34"/>
      <c r="AF262" s="34"/>
      <c r="AG262" s="34"/>
      <c r="AH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I262" s="34"/>
      <c r="BJ262" s="34"/>
      <c r="BK262" s="34"/>
      <c r="BL262" s="34"/>
      <c r="BM262" s="34"/>
      <c r="BN262" s="34"/>
      <c r="BO262" s="34"/>
      <c r="BP262" s="34"/>
      <c r="BY262" s="34"/>
      <c r="BZ262" s="34"/>
      <c r="CA262" s="34"/>
      <c r="CB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</row>
    <row r="263" ht="15.75" customHeight="1">
      <c r="B263" s="34"/>
      <c r="E263" s="34"/>
      <c r="F263" s="34"/>
      <c r="G263" s="34"/>
      <c r="H263" s="34"/>
      <c r="I263" s="34"/>
      <c r="J263" s="34"/>
      <c r="K263" s="34"/>
      <c r="L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AA263" s="34"/>
      <c r="AB263" s="34"/>
      <c r="AC263" s="34"/>
      <c r="AD263" s="34"/>
      <c r="AE263" s="34"/>
      <c r="AF263" s="34"/>
      <c r="AG263" s="34"/>
      <c r="AH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I263" s="34"/>
      <c r="BJ263" s="34"/>
      <c r="BK263" s="34"/>
      <c r="BL263" s="34"/>
      <c r="BM263" s="34"/>
      <c r="BN263" s="34"/>
      <c r="BO263" s="34"/>
      <c r="BP263" s="34"/>
      <c r="BY263" s="34"/>
      <c r="BZ263" s="34"/>
      <c r="CA263" s="34"/>
      <c r="CB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</row>
    <row r="264" ht="15.75" customHeight="1">
      <c r="B264" s="34"/>
      <c r="E264" s="34"/>
      <c r="F264" s="34"/>
      <c r="G264" s="34"/>
      <c r="H264" s="34"/>
      <c r="I264" s="34"/>
      <c r="J264" s="34"/>
      <c r="K264" s="34"/>
      <c r="L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AA264" s="34"/>
      <c r="AB264" s="34"/>
      <c r="AC264" s="34"/>
      <c r="AD264" s="34"/>
      <c r="AE264" s="34"/>
      <c r="AF264" s="34"/>
      <c r="AG264" s="34"/>
      <c r="AH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I264" s="34"/>
      <c r="BJ264" s="34"/>
      <c r="BK264" s="34"/>
      <c r="BL264" s="34"/>
      <c r="BM264" s="34"/>
      <c r="BN264" s="34"/>
      <c r="BO264" s="34"/>
      <c r="BP264" s="34"/>
      <c r="BY264" s="34"/>
      <c r="BZ264" s="34"/>
      <c r="CA264" s="34"/>
      <c r="CB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</row>
    <row r="265" ht="15.75" customHeight="1">
      <c r="B265" s="34"/>
      <c r="E265" s="34"/>
      <c r="F265" s="34"/>
      <c r="G265" s="34"/>
      <c r="H265" s="34"/>
      <c r="I265" s="34"/>
      <c r="J265" s="34"/>
      <c r="K265" s="34"/>
      <c r="L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AA265" s="34"/>
      <c r="AB265" s="34"/>
      <c r="AC265" s="34"/>
      <c r="AD265" s="34"/>
      <c r="AE265" s="34"/>
      <c r="AF265" s="34"/>
      <c r="AG265" s="34"/>
      <c r="AH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I265" s="34"/>
      <c r="BJ265" s="34"/>
      <c r="BK265" s="34"/>
      <c r="BL265" s="34"/>
      <c r="BM265" s="34"/>
      <c r="BN265" s="34"/>
      <c r="BO265" s="34"/>
      <c r="BP265" s="34"/>
      <c r="BY265" s="34"/>
      <c r="BZ265" s="34"/>
      <c r="CA265" s="34"/>
      <c r="CB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</row>
    <row r="266" ht="15.75" customHeight="1">
      <c r="B266" s="34"/>
      <c r="E266" s="34"/>
      <c r="F266" s="34"/>
      <c r="G266" s="34"/>
      <c r="H266" s="34"/>
      <c r="I266" s="34"/>
      <c r="J266" s="34"/>
      <c r="K266" s="34"/>
      <c r="L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AA266" s="34"/>
      <c r="AB266" s="34"/>
      <c r="AC266" s="34"/>
      <c r="AD266" s="34"/>
      <c r="AE266" s="34"/>
      <c r="AF266" s="34"/>
      <c r="AG266" s="34"/>
      <c r="AH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I266" s="34"/>
      <c r="BJ266" s="34"/>
      <c r="BK266" s="34"/>
      <c r="BL266" s="34"/>
      <c r="BM266" s="34"/>
      <c r="BN266" s="34"/>
      <c r="BO266" s="34"/>
      <c r="BP266" s="34"/>
      <c r="BY266" s="34"/>
      <c r="BZ266" s="34"/>
      <c r="CA266" s="34"/>
      <c r="CB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</row>
    <row r="267" ht="15.75" customHeight="1">
      <c r="B267" s="34"/>
      <c r="E267" s="34"/>
      <c r="F267" s="34"/>
      <c r="G267" s="34"/>
      <c r="H267" s="34"/>
      <c r="I267" s="34"/>
      <c r="J267" s="34"/>
      <c r="K267" s="34"/>
      <c r="L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AA267" s="34"/>
      <c r="AB267" s="34"/>
      <c r="AC267" s="34"/>
      <c r="AD267" s="34"/>
      <c r="AE267" s="34"/>
      <c r="AF267" s="34"/>
      <c r="AG267" s="34"/>
      <c r="AH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I267" s="34"/>
      <c r="BJ267" s="34"/>
      <c r="BK267" s="34"/>
      <c r="BL267" s="34"/>
      <c r="BM267" s="34"/>
      <c r="BN267" s="34"/>
      <c r="BO267" s="34"/>
      <c r="BP267" s="34"/>
      <c r="BY267" s="34"/>
      <c r="BZ267" s="34"/>
      <c r="CA267" s="34"/>
      <c r="CB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</row>
    <row r="268" ht="15.75" customHeight="1">
      <c r="B268" s="34"/>
      <c r="E268" s="34"/>
      <c r="F268" s="34"/>
      <c r="G268" s="34"/>
      <c r="H268" s="34"/>
      <c r="I268" s="34"/>
      <c r="J268" s="34"/>
      <c r="K268" s="34"/>
      <c r="L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AA268" s="34"/>
      <c r="AB268" s="34"/>
      <c r="AC268" s="34"/>
      <c r="AD268" s="34"/>
      <c r="AE268" s="34"/>
      <c r="AF268" s="34"/>
      <c r="AG268" s="34"/>
      <c r="AH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I268" s="34"/>
      <c r="BJ268" s="34"/>
      <c r="BK268" s="34"/>
      <c r="BL268" s="34"/>
      <c r="BM268" s="34"/>
      <c r="BN268" s="34"/>
      <c r="BO268" s="34"/>
      <c r="BP268" s="34"/>
      <c r="BY268" s="34"/>
      <c r="BZ268" s="34"/>
      <c r="CA268" s="34"/>
      <c r="CB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</row>
    <row r="269" ht="15.75" customHeight="1">
      <c r="B269" s="34"/>
      <c r="E269" s="34"/>
      <c r="F269" s="34"/>
      <c r="G269" s="34"/>
      <c r="H269" s="34"/>
      <c r="I269" s="34"/>
      <c r="J269" s="34"/>
      <c r="K269" s="34"/>
      <c r="L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AA269" s="34"/>
      <c r="AB269" s="34"/>
      <c r="AC269" s="34"/>
      <c r="AD269" s="34"/>
      <c r="AE269" s="34"/>
      <c r="AF269" s="34"/>
      <c r="AG269" s="34"/>
      <c r="AH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I269" s="34"/>
      <c r="BJ269" s="34"/>
      <c r="BK269" s="34"/>
      <c r="BL269" s="34"/>
      <c r="BM269" s="34"/>
      <c r="BN269" s="34"/>
      <c r="BO269" s="34"/>
      <c r="BP269" s="34"/>
      <c r="BY269" s="34"/>
      <c r="BZ269" s="34"/>
      <c r="CA269" s="34"/>
      <c r="CB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</row>
    <row r="270" ht="15.75" customHeight="1">
      <c r="B270" s="34"/>
      <c r="E270" s="34"/>
      <c r="F270" s="34"/>
      <c r="G270" s="34"/>
      <c r="H270" s="34"/>
      <c r="I270" s="34"/>
      <c r="J270" s="34"/>
      <c r="K270" s="34"/>
      <c r="L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AA270" s="34"/>
      <c r="AB270" s="34"/>
      <c r="AC270" s="34"/>
      <c r="AD270" s="34"/>
      <c r="AE270" s="34"/>
      <c r="AF270" s="34"/>
      <c r="AG270" s="34"/>
      <c r="AH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I270" s="34"/>
      <c r="BJ270" s="34"/>
      <c r="BK270" s="34"/>
      <c r="BL270" s="34"/>
      <c r="BM270" s="34"/>
      <c r="BN270" s="34"/>
      <c r="BO270" s="34"/>
      <c r="BP270" s="34"/>
      <c r="BY270" s="34"/>
      <c r="BZ270" s="34"/>
      <c r="CA270" s="34"/>
      <c r="CB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</row>
    <row r="271" ht="15.75" customHeight="1">
      <c r="B271" s="34"/>
      <c r="E271" s="34"/>
      <c r="F271" s="34"/>
      <c r="G271" s="34"/>
      <c r="H271" s="34"/>
      <c r="I271" s="34"/>
      <c r="J271" s="34"/>
      <c r="K271" s="34"/>
      <c r="L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AA271" s="34"/>
      <c r="AB271" s="34"/>
      <c r="AC271" s="34"/>
      <c r="AD271" s="34"/>
      <c r="AE271" s="34"/>
      <c r="AF271" s="34"/>
      <c r="AG271" s="34"/>
      <c r="AH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I271" s="34"/>
      <c r="BJ271" s="34"/>
      <c r="BK271" s="34"/>
      <c r="BL271" s="34"/>
      <c r="BM271" s="34"/>
      <c r="BN271" s="34"/>
      <c r="BO271" s="34"/>
      <c r="BP271" s="34"/>
      <c r="BY271" s="34"/>
      <c r="BZ271" s="34"/>
      <c r="CA271" s="34"/>
      <c r="CB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</row>
    <row r="272" ht="15.75" customHeight="1">
      <c r="B272" s="34"/>
      <c r="E272" s="34"/>
      <c r="F272" s="34"/>
      <c r="G272" s="34"/>
      <c r="H272" s="34"/>
      <c r="I272" s="34"/>
      <c r="J272" s="34"/>
      <c r="K272" s="34"/>
      <c r="L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AA272" s="34"/>
      <c r="AB272" s="34"/>
      <c r="AC272" s="34"/>
      <c r="AD272" s="34"/>
      <c r="AE272" s="34"/>
      <c r="AF272" s="34"/>
      <c r="AG272" s="34"/>
      <c r="AH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I272" s="34"/>
      <c r="BJ272" s="34"/>
      <c r="BK272" s="34"/>
      <c r="BL272" s="34"/>
      <c r="BM272" s="34"/>
      <c r="BN272" s="34"/>
      <c r="BO272" s="34"/>
      <c r="BP272" s="34"/>
      <c r="BY272" s="34"/>
      <c r="BZ272" s="34"/>
      <c r="CA272" s="34"/>
      <c r="CB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</row>
    <row r="273" ht="15.75" customHeight="1">
      <c r="B273" s="34"/>
      <c r="E273" s="34"/>
      <c r="F273" s="34"/>
      <c r="G273" s="34"/>
      <c r="H273" s="34"/>
      <c r="I273" s="34"/>
      <c r="J273" s="34"/>
      <c r="K273" s="34"/>
      <c r="L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AA273" s="34"/>
      <c r="AB273" s="34"/>
      <c r="AC273" s="34"/>
      <c r="AD273" s="34"/>
      <c r="AE273" s="34"/>
      <c r="AF273" s="34"/>
      <c r="AG273" s="34"/>
      <c r="AH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I273" s="34"/>
      <c r="BJ273" s="34"/>
      <c r="BK273" s="34"/>
      <c r="BL273" s="34"/>
      <c r="BM273" s="34"/>
      <c r="BN273" s="34"/>
      <c r="BO273" s="34"/>
      <c r="BP273" s="34"/>
      <c r="BY273" s="34"/>
      <c r="BZ273" s="34"/>
      <c r="CA273" s="34"/>
      <c r="CB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</row>
    <row r="274" ht="15.75" customHeight="1">
      <c r="B274" s="34"/>
      <c r="E274" s="34"/>
      <c r="F274" s="34"/>
      <c r="G274" s="34"/>
      <c r="H274" s="34"/>
      <c r="I274" s="34"/>
      <c r="J274" s="34"/>
      <c r="K274" s="34"/>
      <c r="L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AA274" s="34"/>
      <c r="AB274" s="34"/>
      <c r="AC274" s="34"/>
      <c r="AD274" s="34"/>
      <c r="AE274" s="34"/>
      <c r="AF274" s="34"/>
      <c r="AG274" s="34"/>
      <c r="AH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I274" s="34"/>
      <c r="BJ274" s="34"/>
      <c r="BK274" s="34"/>
      <c r="BL274" s="34"/>
      <c r="BM274" s="34"/>
      <c r="BN274" s="34"/>
      <c r="BO274" s="34"/>
      <c r="BP274" s="34"/>
      <c r="BY274" s="34"/>
      <c r="BZ274" s="34"/>
      <c r="CA274" s="34"/>
      <c r="CB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</row>
    <row r="275" ht="15.75" customHeight="1">
      <c r="B275" s="34"/>
      <c r="E275" s="34"/>
      <c r="F275" s="34"/>
      <c r="G275" s="34"/>
      <c r="H275" s="34"/>
      <c r="I275" s="34"/>
      <c r="J275" s="34"/>
      <c r="K275" s="34"/>
      <c r="L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AA275" s="34"/>
      <c r="AB275" s="34"/>
      <c r="AC275" s="34"/>
      <c r="AD275" s="34"/>
      <c r="AE275" s="34"/>
      <c r="AF275" s="34"/>
      <c r="AG275" s="34"/>
      <c r="AH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I275" s="34"/>
      <c r="BJ275" s="34"/>
      <c r="BK275" s="34"/>
      <c r="BL275" s="34"/>
      <c r="BM275" s="34"/>
      <c r="BN275" s="34"/>
      <c r="BO275" s="34"/>
      <c r="BP275" s="34"/>
      <c r="BY275" s="34"/>
      <c r="BZ275" s="34"/>
      <c r="CA275" s="34"/>
      <c r="CB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</row>
    <row r="276" ht="15.75" customHeight="1">
      <c r="B276" s="34"/>
      <c r="E276" s="34"/>
      <c r="F276" s="34"/>
      <c r="G276" s="34"/>
      <c r="H276" s="34"/>
      <c r="I276" s="34"/>
      <c r="J276" s="34"/>
      <c r="K276" s="34"/>
      <c r="L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AA276" s="34"/>
      <c r="AB276" s="34"/>
      <c r="AC276" s="34"/>
      <c r="AD276" s="34"/>
      <c r="AE276" s="34"/>
      <c r="AF276" s="34"/>
      <c r="AG276" s="34"/>
      <c r="AH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I276" s="34"/>
      <c r="BJ276" s="34"/>
      <c r="BK276" s="34"/>
      <c r="BL276" s="34"/>
      <c r="BM276" s="34"/>
      <c r="BN276" s="34"/>
      <c r="BO276" s="34"/>
      <c r="BP276" s="34"/>
      <c r="BY276" s="34"/>
      <c r="BZ276" s="34"/>
      <c r="CA276" s="34"/>
      <c r="CB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</row>
    <row r="277" ht="15.75" customHeight="1">
      <c r="B277" s="34"/>
      <c r="E277" s="34"/>
      <c r="F277" s="34"/>
      <c r="G277" s="34"/>
      <c r="H277" s="34"/>
      <c r="I277" s="34"/>
      <c r="J277" s="34"/>
      <c r="K277" s="34"/>
      <c r="L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AA277" s="34"/>
      <c r="AB277" s="34"/>
      <c r="AC277" s="34"/>
      <c r="AD277" s="34"/>
      <c r="AE277" s="34"/>
      <c r="AF277" s="34"/>
      <c r="AG277" s="34"/>
      <c r="AH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I277" s="34"/>
      <c r="BJ277" s="34"/>
      <c r="BK277" s="34"/>
      <c r="BL277" s="34"/>
      <c r="BM277" s="34"/>
      <c r="BN277" s="34"/>
      <c r="BO277" s="34"/>
      <c r="BP277" s="34"/>
      <c r="BY277" s="34"/>
      <c r="BZ277" s="34"/>
      <c r="CA277" s="34"/>
      <c r="CB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</row>
    <row r="278" ht="15.75" customHeight="1">
      <c r="B278" s="34"/>
      <c r="E278" s="34"/>
      <c r="F278" s="34"/>
      <c r="G278" s="34"/>
      <c r="H278" s="34"/>
      <c r="I278" s="34"/>
      <c r="J278" s="34"/>
      <c r="K278" s="34"/>
      <c r="L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AA278" s="34"/>
      <c r="AB278" s="34"/>
      <c r="AC278" s="34"/>
      <c r="AD278" s="34"/>
      <c r="AE278" s="34"/>
      <c r="AF278" s="34"/>
      <c r="AG278" s="34"/>
      <c r="AH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I278" s="34"/>
      <c r="BJ278" s="34"/>
      <c r="BK278" s="34"/>
      <c r="BL278" s="34"/>
      <c r="BM278" s="34"/>
      <c r="BN278" s="34"/>
      <c r="BO278" s="34"/>
      <c r="BP278" s="34"/>
      <c r="BY278" s="34"/>
      <c r="BZ278" s="34"/>
      <c r="CA278" s="34"/>
      <c r="CB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</row>
    <row r="279" ht="15.75" customHeight="1">
      <c r="B279" s="34"/>
      <c r="E279" s="34"/>
      <c r="F279" s="34"/>
      <c r="G279" s="34"/>
      <c r="H279" s="34"/>
      <c r="I279" s="34"/>
      <c r="J279" s="34"/>
      <c r="K279" s="34"/>
      <c r="L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AA279" s="34"/>
      <c r="AB279" s="34"/>
      <c r="AC279" s="34"/>
      <c r="AD279" s="34"/>
      <c r="AE279" s="34"/>
      <c r="AF279" s="34"/>
      <c r="AG279" s="34"/>
      <c r="AH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I279" s="34"/>
      <c r="BJ279" s="34"/>
      <c r="BK279" s="34"/>
      <c r="BL279" s="34"/>
      <c r="BM279" s="34"/>
      <c r="BN279" s="34"/>
      <c r="BO279" s="34"/>
      <c r="BP279" s="34"/>
      <c r="BY279" s="34"/>
      <c r="BZ279" s="34"/>
      <c r="CA279" s="34"/>
      <c r="CB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</row>
    <row r="280" ht="15.75" customHeight="1">
      <c r="B280" s="34"/>
      <c r="E280" s="34"/>
      <c r="F280" s="34"/>
      <c r="G280" s="34"/>
      <c r="H280" s="34"/>
      <c r="I280" s="34"/>
      <c r="J280" s="34"/>
      <c r="K280" s="34"/>
      <c r="L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AA280" s="34"/>
      <c r="AB280" s="34"/>
      <c r="AC280" s="34"/>
      <c r="AD280" s="34"/>
      <c r="AE280" s="34"/>
      <c r="AF280" s="34"/>
      <c r="AG280" s="34"/>
      <c r="AH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I280" s="34"/>
      <c r="BJ280" s="34"/>
      <c r="BK280" s="34"/>
      <c r="BL280" s="34"/>
      <c r="BM280" s="34"/>
      <c r="BN280" s="34"/>
      <c r="BO280" s="34"/>
      <c r="BP280" s="34"/>
      <c r="BY280" s="34"/>
      <c r="BZ280" s="34"/>
      <c r="CA280" s="34"/>
      <c r="CB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</row>
    <row r="281" ht="15.75" customHeight="1">
      <c r="B281" s="34"/>
      <c r="E281" s="34"/>
      <c r="F281" s="34"/>
      <c r="G281" s="34"/>
      <c r="H281" s="34"/>
      <c r="I281" s="34"/>
      <c r="J281" s="34"/>
      <c r="K281" s="34"/>
      <c r="L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AA281" s="34"/>
      <c r="AB281" s="34"/>
      <c r="AC281" s="34"/>
      <c r="AD281" s="34"/>
      <c r="AE281" s="34"/>
      <c r="AF281" s="34"/>
      <c r="AG281" s="34"/>
      <c r="AH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I281" s="34"/>
      <c r="BJ281" s="34"/>
      <c r="BK281" s="34"/>
      <c r="BL281" s="34"/>
      <c r="BM281" s="34"/>
      <c r="BN281" s="34"/>
      <c r="BO281" s="34"/>
      <c r="BP281" s="34"/>
      <c r="BY281" s="34"/>
      <c r="BZ281" s="34"/>
      <c r="CA281" s="34"/>
      <c r="CB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</row>
    <row r="282" ht="15.75" customHeight="1">
      <c r="B282" s="34"/>
      <c r="E282" s="34"/>
      <c r="F282" s="34"/>
      <c r="G282" s="34"/>
      <c r="H282" s="34"/>
      <c r="I282" s="34"/>
      <c r="J282" s="34"/>
      <c r="K282" s="34"/>
      <c r="L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AA282" s="34"/>
      <c r="AB282" s="34"/>
      <c r="AC282" s="34"/>
      <c r="AD282" s="34"/>
      <c r="AE282" s="34"/>
      <c r="AF282" s="34"/>
      <c r="AG282" s="34"/>
      <c r="AH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I282" s="34"/>
      <c r="BJ282" s="34"/>
      <c r="BK282" s="34"/>
      <c r="BL282" s="34"/>
      <c r="BM282" s="34"/>
      <c r="BN282" s="34"/>
      <c r="BO282" s="34"/>
      <c r="BP282" s="34"/>
      <c r="BY282" s="34"/>
      <c r="BZ282" s="34"/>
      <c r="CA282" s="34"/>
      <c r="CB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</row>
    <row r="283" ht="15.75" customHeight="1">
      <c r="B283" s="34"/>
      <c r="E283" s="34"/>
      <c r="F283" s="34"/>
      <c r="G283" s="34"/>
      <c r="H283" s="34"/>
      <c r="I283" s="34"/>
      <c r="J283" s="34"/>
      <c r="K283" s="34"/>
      <c r="L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AA283" s="34"/>
      <c r="AB283" s="34"/>
      <c r="AC283" s="34"/>
      <c r="AD283" s="34"/>
      <c r="AE283" s="34"/>
      <c r="AF283" s="34"/>
      <c r="AG283" s="34"/>
      <c r="AH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I283" s="34"/>
      <c r="BJ283" s="34"/>
      <c r="BK283" s="34"/>
      <c r="BL283" s="34"/>
      <c r="BM283" s="34"/>
      <c r="BN283" s="34"/>
      <c r="BO283" s="34"/>
      <c r="BP283" s="34"/>
      <c r="BY283" s="34"/>
      <c r="BZ283" s="34"/>
      <c r="CA283" s="34"/>
      <c r="CB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</row>
    <row r="284" ht="15.75" customHeight="1">
      <c r="B284" s="34"/>
      <c r="E284" s="34"/>
      <c r="F284" s="34"/>
      <c r="G284" s="34"/>
      <c r="H284" s="34"/>
      <c r="I284" s="34"/>
      <c r="J284" s="34"/>
      <c r="K284" s="34"/>
      <c r="L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AA284" s="34"/>
      <c r="AB284" s="34"/>
      <c r="AC284" s="34"/>
      <c r="AD284" s="34"/>
      <c r="AE284" s="34"/>
      <c r="AF284" s="34"/>
      <c r="AG284" s="34"/>
      <c r="AH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I284" s="34"/>
      <c r="BJ284" s="34"/>
      <c r="BK284" s="34"/>
      <c r="BL284" s="34"/>
      <c r="BM284" s="34"/>
      <c r="BN284" s="34"/>
      <c r="BO284" s="34"/>
      <c r="BP284" s="34"/>
      <c r="BY284" s="34"/>
      <c r="BZ284" s="34"/>
      <c r="CA284" s="34"/>
      <c r="CB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</row>
    <row r="285" ht="15.75" customHeight="1">
      <c r="B285" s="34"/>
      <c r="E285" s="34"/>
      <c r="F285" s="34"/>
      <c r="G285" s="34"/>
      <c r="H285" s="34"/>
      <c r="I285" s="34"/>
      <c r="J285" s="34"/>
      <c r="K285" s="34"/>
      <c r="L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AA285" s="34"/>
      <c r="AB285" s="34"/>
      <c r="AC285" s="34"/>
      <c r="AD285" s="34"/>
      <c r="AE285" s="34"/>
      <c r="AF285" s="34"/>
      <c r="AG285" s="34"/>
      <c r="AH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I285" s="34"/>
      <c r="BJ285" s="34"/>
      <c r="BK285" s="34"/>
      <c r="BL285" s="34"/>
      <c r="BM285" s="34"/>
      <c r="BN285" s="34"/>
      <c r="BO285" s="34"/>
      <c r="BP285" s="34"/>
      <c r="BY285" s="34"/>
      <c r="BZ285" s="34"/>
      <c r="CA285" s="34"/>
      <c r="CB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</row>
    <row r="286" ht="15.75" customHeight="1">
      <c r="B286" s="34"/>
      <c r="E286" s="34"/>
      <c r="F286" s="34"/>
      <c r="G286" s="34"/>
      <c r="H286" s="34"/>
      <c r="I286" s="34"/>
      <c r="J286" s="34"/>
      <c r="K286" s="34"/>
      <c r="L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AA286" s="34"/>
      <c r="AB286" s="34"/>
      <c r="AC286" s="34"/>
      <c r="AD286" s="34"/>
      <c r="AE286" s="34"/>
      <c r="AF286" s="34"/>
      <c r="AG286" s="34"/>
      <c r="AH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I286" s="34"/>
      <c r="BJ286" s="34"/>
      <c r="BK286" s="34"/>
      <c r="BL286" s="34"/>
      <c r="BM286" s="34"/>
      <c r="BN286" s="34"/>
      <c r="BO286" s="34"/>
      <c r="BP286" s="34"/>
      <c r="BY286" s="34"/>
      <c r="BZ286" s="34"/>
      <c r="CA286" s="34"/>
      <c r="CB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</row>
    <row r="287" ht="15.75" customHeight="1">
      <c r="B287" s="34"/>
      <c r="E287" s="34"/>
      <c r="F287" s="34"/>
      <c r="G287" s="34"/>
      <c r="H287" s="34"/>
      <c r="I287" s="34"/>
      <c r="J287" s="34"/>
      <c r="K287" s="34"/>
      <c r="L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AA287" s="34"/>
      <c r="AB287" s="34"/>
      <c r="AC287" s="34"/>
      <c r="AD287" s="34"/>
      <c r="AE287" s="34"/>
      <c r="AF287" s="34"/>
      <c r="AG287" s="34"/>
      <c r="AH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I287" s="34"/>
      <c r="BJ287" s="34"/>
      <c r="BK287" s="34"/>
      <c r="BL287" s="34"/>
      <c r="BM287" s="34"/>
      <c r="BN287" s="34"/>
      <c r="BO287" s="34"/>
      <c r="BP287" s="34"/>
      <c r="BY287" s="34"/>
      <c r="BZ287" s="34"/>
      <c r="CA287" s="34"/>
      <c r="CB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</row>
    <row r="288" ht="15.75" customHeight="1">
      <c r="B288" s="34"/>
      <c r="E288" s="34"/>
      <c r="F288" s="34"/>
      <c r="G288" s="34"/>
      <c r="H288" s="34"/>
      <c r="I288" s="34"/>
      <c r="J288" s="34"/>
      <c r="K288" s="34"/>
      <c r="L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AA288" s="34"/>
      <c r="AB288" s="34"/>
      <c r="AC288" s="34"/>
      <c r="AD288" s="34"/>
      <c r="AE288" s="34"/>
      <c r="AF288" s="34"/>
      <c r="AG288" s="34"/>
      <c r="AH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I288" s="34"/>
      <c r="BJ288" s="34"/>
      <c r="BK288" s="34"/>
      <c r="BL288" s="34"/>
      <c r="BM288" s="34"/>
      <c r="BN288" s="34"/>
      <c r="BO288" s="34"/>
      <c r="BP288" s="34"/>
      <c r="BY288" s="34"/>
      <c r="BZ288" s="34"/>
      <c r="CA288" s="34"/>
      <c r="CB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</row>
    <row r="289" ht="15.75" customHeight="1">
      <c r="B289" s="34"/>
      <c r="E289" s="34"/>
      <c r="F289" s="34"/>
      <c r="G289" s="34"/>
      <c r="H289" s="34"/>
      <c r="I289" s="34"/>
      <c r="J289" s="34"/>
      <c r="K289" s="34"/>
      <c r="L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AA289" s="34"/>
      <c r="AB289" s="34"/>
      <c r="AC289" s="34"/>
      <c r="AD289" s="34"/>
      <c r="AE289" s="34"/>
      <c r="AF289" s="34"/>
      <c r="AG289" s="34"/>
      <c r="AH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I289" s="34"/>
      <c r="BJ289" s="34"/>
      <c r="BK289" s="34"/>
      <c r="BL289" s="34"/>
      <c r="BM289" s="34"/>
      <c r="BN289" s="34"/>
      <c r="BO289" s="34"/>
      <c r="BP289" s="34"/>
      <c r="BY289" s="34"/>
      <c r="BZ289" s="34"/>
      <c r="CA289" s="34"/>
      <c r="CB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</row>
    <row r="290" ht="15.75" customHeight="1">
      <c r="B290" s="34"/>
      <c r="E290" s="34"/>
      <c r="F290" s="34"/>
      <c r="G290" s="34"/>
      <c r="H290" s="34"/>
      <c r="I290" s="34"/>
      <c r="J290" s="34"/>
      <c r="K290" s="34"/>
      <c r="L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AA290" s="34"/>
      <c r="AB290" s="34"/>
      <c r="AC290" s="34"/>
      <c r="AD290" s="34"/>
      <c r="AE290" s="34"/>
      <c r="AF290" s="34"/>
      <c r="AG290" s="34"/>
      <c r="AH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I290" s="34"/>
      <c r="BJ290" s="34"/>
      <c r="BK290" s="34"/>
      <c r="BL290" s="34"/>
      <c r="BM290" s="34"/>
      <c r="BN290" s="34"/>
      <c r="BO290" s="34"/>
      <c r="BP290" s="34"/>
      <c r="BY290" s="34"/>
      <c r="BZ290" s="34"/>
      <c r="CA290" s="34"/>
      <c r="CB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</row>
    <row r="291" ht="15.75" customHeight="1">
      <c r="B291" s="34"/>
      <c r="E291" s="34"/>
      <c r="F291" s="34"/>
      <c r="G291" s="34"/>
      <c r="H291" s="34"/>
      <c r="I291" s="34"/>
      <c r="J291" s="34"/>
      <c r="K291" s="34"/>
      <c r="L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AA291" s="34"/>
      <c r="AB291" s="34"/>
      <c r="AC291" s="34"/>
      <c r="AD291" s="34"/>
      <c r="AE291" s="34"/>
      <c r="AF291" s="34"/>
      <c r="AG291" s="34"/>
      <c r="AH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I291" s="34"/>
      <c r="BJ291" s="34"/>
      <c r="BK291" s="34"/>
      <c r="BL291" s="34"/>
      <c r="BM291" s="34"/>
      <c r="BN291" s="34"/>
      <c r="BO291" s="34"/>
      <c r="BP291" s="34"/>
      <c r="BY291" s="34"/>
      <c r="BZ291" s="34"/>
      <c r="CA291" s="34"/>
      <c r="CB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</row>
    <row r="292" ht="15.75" customHeight="1">
      <c r="B292" s="34"/>
      <c r="E292" s="34"/>
      <c r="F292" s="34"/>
      <c r="G292" s="34"/>
      <c r="H292" s="34"/>
      <c r="I292" s="34"/>
      <c r="J292" s="34"/>
      <c r="K292" s="34"/>
      <c r="L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AA292" s="34"/>
      <c r="AB292" s="34"/>
      <c r="AC292" s="34"/>
      <c r="AD292" s="34"/>
      <c r="AE292" s="34"/>
      <c r="AF292" s="34"/>
      <c r="AG292" s="34"/>
      <c r="AH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I292" s="34"/>
      <c r="BJ292" s="34"/>
      <c r="BK292" s="34"/>
      <c r="BL292" s="34"/>
      <c r="BM292" s="34"/>
      <c r="BN292" s="34"/>
      <c r="BO292" s="34"/>
      <c r="BP292" s="34"/>
      <c r="BY292" s="34"/>
      <c r="BZ292" s="34"/>
      <c r="CA292" s="34"/>
      <c r="CB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</row>
    <row r="293" ht="15.75" customHeight="1">
      <c r="B293" s="34"/>
      <c r="E293" s="34"/>
      <c r="F293" s="34"/>
      <c r="G293" s="34"/>
      <c r="H293" s="34"/>
      <c r="I293" s="34"/>
      <c r="J293" s="34"/>
      <c r="K293" s="34"/>
      <c r="L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AA293" s="34"/>
      <c r="AB293" s="34"/>
      <c r="AC293" s="34"/>
      <c r="AD293" s="34"/>
      <c r="AE293" s="34"/>
      <c r="AF293" s="34"/>
      <c r="AG293" s="34"/>
      <c r="AH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I293" s="34"/>
      <c r="BJ293" s="34"/>
      <c r="BK293" s="34"/>
      <c r="BL293" s="34"/>
      <c r="BM293" s="34"/>
      <c r="BN293" s="34"/>
      <c r="BO293" s="34"/>
      <c r="BP293" s="34"/>
      <c r="BY293" s="34"/>
      <c r="BZ293" s="34"/>
      <c r="CA293" s="34"/>
      <c r="CB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</row>
    <row r="294" ht="15.75" customHeight="1">
      <c r="B294" s="34"/>
      <c r="E294" s="34"/>
      <c r="F294" s="34"/>
      <c r="G294" s="34"/>
      <c r="H294" s="34"/>
      <c r="I294" s="34"/>
      <c r="J294" s="34"/>
      <c r="K294" s="34"/>
      <c r="L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AA294" s="34"/>
      <c r="AB294" s="34"/>
      <c r="AC294" s="34"/>
      <c r="AD294" s="34"/>
      <c r="AE294" s="34"/>
      <c r="AF294" s="34"/>
      <c r="AG294" s="34"/>
      <c r="AH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I294" s="34"/>
      <c r="BJ294" s="34"/>
      <c r="BK294" s="34"/>
      <c r="BL294" s="34"/>
      <c r="BM294" s="34"/>
      <c r="BN294" s="34"/>
      <c r="BO294" s="34"/>
      <c r="BP294" s="34"/>
      <c r="BY294" s="34"/>
      <c r="BZ294" s="34"/>
      <c r="CA294" s="34"/>
      <c r="CB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</row>
    <row r="295" ht="15.75" customHeight="1">
      <c r="B295" s="34"/>
      <c r="E295" s="34"/>
      <c r="F295" s="34"/>
      <c r="G295" s="34"/>
      <c r="H295" s="34"/>
      <c r="I295" s="34"/>
      <c r="J295" s="34"/>
      <c r="K295" s="34"/>
      <c r="L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AA295" s="34"/>
      <c r="AB295" s="34"/>
      <c r="AC295" s="34"/>
      <c r="AD295" s="34"/>
      <c r="AE295" s="34"/>
      <c r="AF295" s="34"/>
      <c r="AG295" s="34"/>
      <c r="AH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I295" s="34"/>
      <c r="BJ295" s="34"/>
      <c r="BK295" s="34"/>
      <c r="BL295" s="34"/>
      <c r="BM295" s="34"/>
      <c r="BN295" s="34"/>
      <c r="BO295" s="34"/>
      <c r="BP295" s="34"/>
      <c r="BY295" s="34"/>
      <c r="BZ295" s="34"/>
      <c r="CA295" s="34"/>
      <c r="CB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</row>
    <row r="296" ht="15.75" customHeight="1">
      <c r="B296" s="34"/>
      <c r="E296" s="34"/>
      <c r="F296" s="34"/>
      <c r="G296" s="34"/>
      <c r="H296" s="34"/>
      <c r="I296" s="34"/>
      <c r="J296" s="34"/>
      <c r="K296" s="34"/>
      <c r="L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AA296" s="34"/>
      <c r="AB296" s="34"/>
      <c r="AC296" s="34"/>
      <c r="AD296" s="34"/>
      <c r="AE296" s="34"/>
      <c r="AF296" s="34"/>
      <c r="AG296" s="34"/>
      <c r="AH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I296" s="34"/>
      <c r="BJ296" s="34"/>
      <c r="BK296" s="34"/>
      <c r="BL296" s="34"/>
      <c r="BM296" s="34"/>
      <c r="BN296" s="34"/>
      <c r="BO296" s="34"/>
      <c r="BP296" s="34"/>
      <c r="BY296" s="34"/>
      <c r="BZ296" s="34"/>
      <c r="CA296" s="34"/>
      <c r="CB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</row>
    <row r="297" ht="15.75" customHeight="1">
      <c r="B297" s="34"/>
      <c r="E297" s="34"/>
      <c r="F297" s="34"/>
      <c r="G297" s="34"/>
      <c r="H297" s="34"/>
      <c r="I297" s="34"/>
      <c r="J297" s="34"/>
      <c r="K297" s="34"/>
      <c r="L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AA297" s="34"/>
      <c r="AB297" s="34"/>
      <c r="AC297" s="34"/>
      <c r="AD297" s="34"/>
      <c r="AE297" s="34"/>
      <c r="AF297" s="34"/>
      <c r="AG297" s="34"/>
      <c r="AH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I297" s="34"/>
      <c r="BJ297" s="34"/>
      <c r="BK297" s="34"/>
      <c r="BL297" s="34"/>
      <c r="BM297" s="34"/>
      <c r="BN297" s="34"/>
      <c r="BO297" s="34"/>
      <c r="BP297" s="34"/>
      <c r="BY297" s="34"/>
      <c r="BZ297" s="34"/>
      <c r="CA297" s="34"/>
      <c r="CB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</row>
    <row r="298" ht="15.75" customHeight="1">
      <c r="B298" s="34"/>
      <c r="E298" s="34"/>
      <c r="F298" s="34"/>
      <c r="G298" s="34"/>
      <c r="H298" s="34"/>
      <c r="I298" s="34"/>
      <c r="J298" s="34"/>
      <c r="K298" s="34"/>
      <c r="L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AA298" s="34"/>
      <c r="AB298" s="34"/>
      <c r="AC298" s="34"/>
      <c r="AD298" s="34"/>
      <c r="AE298" s="34"/>
      <c r="AF298" s="34"/>
      <c r="AG298" s="34"/>
      <c r="AH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I298" s="34"/>
      <c r="BJ298" s="34"/>
      <c r="BK298" s="34"/>
      <c r="BL298" s="34"/>
      <c r="BM298" s="34"/>
      <c r="BN298" s="34"/>
      <c r="BO298" s="34"/>
      <c r="BP298" s="34"/>
      <c r="BY298" s="34"/>
      <c r="BZ298" s="34"/>
      <c r="CA298" s="34"/>
      <c r="CB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</row>
    <row r="299" ht="15.75" customHeight="1">
      <c r="B299" s="34"/>
      <c r="E299" s="34"/>
      <c r="F299" s="34"/>
      <c r="G299" s="34"/>
      <c r="H299" s="34"/>
      <c r="I299" s="34"/>
      <c r="J299" s="34"/>
      <c r="K299" s="34"/>
      <c r="L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AA299" s="34"/>
      <c r="AB299" s="34"/>
      <c r="AC299" s="34"/>
      <c r="AD299" s="34"/>
      <c r="AE299" s="34"/>
      <c r="AF299" s="34"/>
      <c r="AG299" s="34"/>
      <c r="AH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I299" s="34"/>
      <c r="BJ299" s="34"/>
      <c r="BK299" s="34"/>
      <c r="BL299" s="34"/>
      <c r="BM299" s="34"/>
      <c r="BN299" s="34"/>
      <c r="BO299" s="34"/>
      <c r="BP299" s="34"/>
      <c r="BY299" s="34"/>
      <c r="BZ299" s="34"/>
      <c r="CA299" s="34"/>
      <c r="CB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</row>
    <row r="300" ht="15.75" customHeight="1">
      <c r="B300" s="34"/>
      <c r="E300" s="34"/>
      <c r="F300" s="34"/>
      <c r="G300" s="34"/>
      <c r="H300" s="34"/>
      <c r="I300" s="34"/>
      <c r="J300" s="34"/>
      <c r="K300" s="34"/>
      <c r="L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AA300" s="34"/>
      <c r="AB300" s="34"/>
      <c r="AC300" s="34"/>
      <c r="AD300" s="34"/>
      <c r="AE300" s="34"/>
      <c r="AF300" s="34"/>
      <c r="AG300" s="34"/>
      <c r="AH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I300" s="34"/>
      <c r="BJ300" s="34"/>
      <c r="BK300" s="34"/>
      <c r="BL300" s="34"/>
      <c r="BM300" s="34"/>
      <c r="BN300" s="34"/>
      <c r="BO300" s="34"/>
      <c r="BP300" s="34"/>
      <c r="BY300" s="34"/>
      <c r="BZ300" s="34"/>
      <c r="CA300" s="34"/>
      <c r="CB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</row>
    <row r="301" ht="15.75" customHeight="1">
      <c r="B301" s="34"/>
      <c r="E301" s="34"/>
      <c r="F301" s="34"/>
      <c r="G301" s="34"/>
      <c r="H301" s="34"/>
      <c r="I301" s="34"/>
      <c r="J301" s="34"/>
      <c r="K301" s="34"/>
      <c r="L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AA301" s="34"/>
      <c r="AB301" s="34"/>
      <c r="AC301" s="34"/>
      <c r="AD301" s="34"/>
      <c r="AE301" s="34"/>
      <c r="AF301" s="34"/>
      <c r="AG301" s="34"/>
      <c r="AH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I301" s="34"/>
      <c r="BJ301" s="34"/>
      <c r="BK301" s="34"/>
      <c r="BL301" s="34"/>
      <c r="BM301" s="34"/>
      <c r="BN301" s="34"/>
      <c r="BO301" s="34"/>
      <c r="BP301" s="34"/>
      <c r="BY301" s="34"/>
      <c r="BZ301" s="34"/>
      <c r="CA301" s="34"/>
      <c r="CB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</row>
    <row r="302" ht="15.75" customHeight="1">
      <c r="B302" s="34"/>
      <c r="E302" s="34"/>
      <c r="F302" s="34"/>
      <c r="G302" s="34"/>
      <c r="H302" s="34"/>
      <c r="I302" s="34"/>
      <c r="J302" s="34"/>
      <c r="K302" s="34"/>
      <c r="L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AA302" s="34"/>
      <c r="AB302" s="34"/>
      <c r="AC302" s="34"/>
      <c r="AD302" s="34"/>
      <c r="AE302" s="34"/>
      <c r="AF302" s="34"/>
      <c r="AG302" s="34"/>
      <c r="AH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I302" s="34"/>
      <c r="BJ302" s="34"/>
      <c r="BK302" s="34"/>
      <c r="BL302" s="34"/>
      <c r="BM302" s="34"/>
      <c r="BN302" s="34"/>
      <c r="BO302" s="34"/>
      <c r="BP302" s="34"/>
      <c r="BY302" s="34"/>
      <c r="BZ302" s="34"/>
      <c r="CA302" s="34"/>
      <c r="CB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</row>
    <row r="303" ht="15.75" customHeight="1">
      <c r="B303" s="34"/>
      <c r="E303" s="34"/>
      <c r="F303" s="34"/>
      <c r="G303" s="34"/>
      <c r="H303" s="34"/>
      <c r="I303" s="34"/>
      <c r="J303" s="34"/>
      <c r="K303" s="34"/>
      <c r="L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AA303" s="34"/>
      <c r="AB303" s="34"/>
      <c r="AC303" s="34"/>
      <c r="AD303" s="34"/>
      <c r="AE303" s="34"/>
      <c r="AF303" s="34"/>
      <c r="AG303" s="34"/>
      <c r="AH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I303" s="34"/>
      <c r="BJ303" s="34"/>
      <c r="BK303" s="34"/>
      <c r="BL303" s="34"/>
      <c r="BM303" s="34"/>
      <c r="BN303" s="34"/>
      <c r="BO303" s="34"/>
      <c r="BP303" s="34"/>
      <c r="BY303" s="34"/>
      <c r="BZ303" s="34"/>
      <c r="CA303" s="34"/>
      <c r="CB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</row>
    <row r="304" ht="15.75" customHeight="1">
      <c r="B304" s="34"/>
      <c r="E304" s="34"/>
      <c r="F304" s="34"/>
      <c r="G304" s="34"/>
      <c r="H304" s="34"/>
      <c r="I304" s="34"/>
      <c r="J304" s="34"/>
      <c r="K304" s="34"/>
      <c r="L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AA304" s="34"/>
      <c r="AB304" s="34"/>
      <c r="AC304" s="34"/>
      <c r="AD304" s="34"/>
      <c r="AE304" s="34"/>
      <c r="AF304" s="34"/>
      <c r="AG304" s="34"/>
      <c r="AH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I304" s="34"/>
      <c r="BJ304" s="34"/>
      <c r="BK304" s="34"/>
      <c r="BL304" s="34"/>
      <c r="BM304" s="34"/>
      <c r="BN304" s="34"/>
      <c r="BO304" s="34"/>
      <c r="BP304" s="34"/>
      <c r="BY304" s="34"/>
      <c r="BZ304" s="34"/>
      <c r="CA304" s="34"/>
      <c r="CB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</row>
    <row r="305" ht="15.75" customHeight="1">
      <c r="B305" s="34"/>
      <c r="E305" s="34"/>
      <c r="F305" s="34"/>
      <c r="G305" s="34"/>
      <c r="H305" s="34"/>
      <c r="I305" s="34"/>
      <c r="J305" s="34"/>
      <c r="K305" s="34"/>
      <c r="L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AA305" s="34"/>
      <c r="AB305" s="34"/>
      <c r="AC305" s="34"/>
      <c r="AD305" s="34"/>
      <c r="AE305" s="34"/>
      <c r="AF305" s="34"/>
      <c r="AG305" s="34"/>
      <c r="AH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I305" s="34"/>
      <c r="BJ305" s="34"/>
      <c r="BK305" s="34"/>
      <c r="BL305" s="34"/>
      <c r="BM305" s="34"/>
      <c r="BN305" s="34"/>
      <c r="BO305" s="34"/>
      <c r="BP305" s="34"/>
      <c r="BY305" s="34"/>
      <c r="BZ305" s="34"/>
      <c r="CA305" s="34"/>
      <c r="CB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</row>
    <row r="306" ht="15.75" customHeight="1">
      <c r="B306" s="34"/>
      <c r="E306" s="34"/>
      <c r="F306" s="34"/>
      <c r="G306" s="34"/>
      <c r="H306" s="34"/>
      <c r="I306" s="34"/>
      <c r="J306" s="34"/>
      <c r="K306" s="34"/>
      <c r="L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AA306" s="34"/>
      <c r="AB306" s="34"/>
      <c r="AC306" s="34"/>
      <c r="AD306" s="34"/>
      <c r="AE306" s="34"/>
      <c r="AF306" s="34"/>
      <c r="AG306" s="34"/>
      <c r="AH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I306" s="34"/>
      <c r="BJ306" s="34"/>
      <c r="BK306" s="34"/>
      <c r="BL306" s="34"/>
      <c r="BM306" s="34"/>
      <c r="BN306" s="34"/>
      <c r="BO306" s="34"/>
      <c r="BP306" s="34"/>
      <c r="BY306" s="34"/>
      <c r="BZ306" s="34"/>
      <c r="CA306" s="34"/>
      <c r="CB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</row>
    <row r="307" ht="15.75" customHeight="1">
      <c r="B307" s="34"/>
      <c r="E307" s="34"/>
      <c r="F307" s="34"/>
      <c r="G307" s="34"/>
      <c r="H307" s="34"/>
      <c r="I307" s="34"/>
      <c r="J307" s="34"/>
      <c r="K307" s="34"/>
      <c r="L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AA307" s="34"/>
      <c r="AB307" s="34"/>
      <c r="AC307" s="34"/>
      <c r="AD307" s="34"/>
      <c r="AE307" s="34"/>
      <c r="AF307" s="34"/>
      <c r="AG307" s="34"/>
      <c r="AH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I307" s="34"/>
      <c r="BJ307" s="34"/>
      <c r="BK307" s="34"/>
      <c r="BL307" s="34"/>
      <c r="BM307" s="34"/>
      <c r="BN307" s="34"/>
      <c r="BO307" s="34"/>
      <c r="BP307" s="34"/>
      <c r="BY307" s="34"/>
      <c r="BZ307" s="34"/>
      <c r="CA307" s="34"/>
      <c r="CB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</row>
    <row r="308" ht="15.75" customHeight="1">
      <c r="B308" s="34"/>
      <c r="E308" s="34"/>
      <c r="F308" s="34"/>
      <c r="G308" s="34"/>
      <c r="H308" s="34"/>
      <c r="I308" s="34"/>
      <c r="J308" s="34"/>
      <c r="K308" s="34"/>
      <c r="L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AA308" s="34"/>
      <c r="AB308" s="34"/>
      <c r="AC308" s="34"/>
      <c r="AD308" s="34"/>
      <c r="AE308" s="34"/>
      <c r="AF308" s="34"/>
      <c r="AG308" s="34"/>
      <c r="AH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I308" s="34"/>
      <c r="BJ308" s="34"/>
      <c r="BK308" s="34"/>
      <c r="BL308" s="34"/>
      <c r="BM308" s="34"/>
      <c r="BN308" s="34"/>
      <c r="BO308" s="34"/>
      <c r="BP308" s="34"/>
      <c r="BY308" s="34"/>
      <c r="BZ308" s="34"/>
      <c r="CA308" s="34"/>
      <c r="CB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</row>
    <row r="309" ht="15.75" customHeight="1">
      <c r="B309" s="34"/>
      <c r="E309" s="34"/>
      <c r="F309" s="34"/>
      <c r="G309" s="34"/>
      <c r="H309" s="34"/>
      <c r="I309" s="34"/>
      <c r="J309" s="34"/>
      <c r="K309" s="34"/>
      <c r="L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AA309" s="34"/>
      <c r="AB309" s="34"/>
      <c r="AC309" s="34"/>
      <c r="AD309" s="34"/>
      <c r="AE309" s="34"/>
      <c r="AF309" s="34"/>
      <c r="AG309" s="34"/>
      <c r="AH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I309" s="34"/>
      <c r="BJ309" s="34"/>
      <c r="BK309" s="34"/>
      <c r="BL309" s="34"/>
      <c r="BM309" s="34"/>
      <c r="BN309" s="34"/>
      <c r="BO309" s="34"/>
      <c r="BP309" s="34"/>
      <c r="BY309" s="34"/>
      <c r="BZ309" s="34"/>
      <c r="CA309" s="34"/>
      <c r="CB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</row>
    <row r="310" ht="15.75" customHeight="1">
      <c r="B310" s="34"/>
      <c r="E310" s="34"/>
      <c r="F310" s="34"/>
      <c r="G310" s="34"/>
      <c r="H310" s="34"/>
      <c r="I310" s="34"/>
      <c r="J310" s="34"/>
      <c r="K310" s="34"/>
      <c r="L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AA310" s="34"/>
      <c r="AB310" s="34"/>
      <c r="AC310" s="34"/>
      <c r="AD310" s="34"/>
      <c r="AE310" s="34"/>
      <c r="AF310" s="34"/>
      <c r="AG310" s="34"/>
      <c r="AH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I310" s="34"/>
      <c r="BJ310" s="34"/>
      <c r="BK310" s="34"/>
      <c r="BL310" s="34"/>
      <c r="BM310" s="34"/>
      <c r="BN310" s="34"/>
      <c r="BO310" s="34"/>
      <c r="BP310" s="34"/>
      <c r="BY310" s="34"/>
      <c r="BZ310" s="34"/>
      <c r="CA310" s="34"/>
      <c r="CB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</row>
    <row r="311" ht="15.75" customHeight="1">
      <c r="B311" s="34"/>
      <c r="E311" s="34"/>
      <c r="F311" s="34"/>
      <c r="G311" s="34"/>
      <c r="H311" s="34"/>
      <c r="I311" s="34"/>
      <c r="J311" s="34"/>
      <c r="K311" s="34"/>
      <c r="L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AA311" s="34"/>
      <c r="AB311" s="34"/>
      <c r="AC311" s="34"/>
      <c r="AD311" s="34"/>
      <c r="AE311" s="34"/>
      <c r="AF311" s="34"/>
      <c r="AG311" s="34"/>
      <c r="AH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I311" s="34"/>
      <c r="BJ311" s="34"/>
      <c r="BK311" s="34"/>
      <c r="BL311" s="34"/>
      <c r="BM311" s="34"/>
      <c r="BN311" s="34"/>
      <c r="BO311" s="34"/>
      <c r="BP311" s="34"/>
      <c r="BY311" s="34"/>
      <c r="BZ311" s="34"/>
      <c r="CA311" s="34"/>
      <c r="CB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</row>
    <row r="312" ht="15.75" customHeight="1">
      <c r="B312" s="34"/>
      <c r="E312" s="34"/>
      <c r="F312" s="34"/>
      <c r="G312" s="34"/>
      <c r="H312" s="34"/>
      <c r="I312" s="34"/>
      <c r="J312" s="34"/>
      <c r="K312" s="34"/>
      <c r="L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AA312" s="34"/>
      <c r="AB312" s="34"/>
      <c r="AC312" s="34"/>
      <c r="AD312" s="34"/>
      <c r="AE312" s="34"/>
      <c r="AF312" s="34"/>
      <c r="AG312" s="34"/>
      <c r="AH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I312" s="34"/>
      <c r="BJ312" s="34"/>
      <c r="BK312" s="34"/>
      <c r="BL312" s="34"/>
      <c r="BM312" s="34"/>
      <c r="BN312" s="34"/>
      <c r="BO312" s="34"/>
      <c r="BP312" s="34"/>
      <c r="BY312" s="34"/>
      <c r="BZ312" s="34"/>
      <c r="CA312" s="34"/>
      <c r="CB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</row>
    <row r="313" ht="15.75" customHeight="1">
      <c r="B313" s="34"/>
      <c r="E313" s="34"/>
      <c r="F313" s="34"/>
      <c r="G313" s="34"/>
      <c r="H313" s="34"/>
      <c r="I313" s="34"/>
      <c r="J313" s="34"/>
      <c r="K313" s="34"/>
      <c r="L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AA313" s="34"/>
      <c r="AB313" s="34"/>
      <c r="AC313" s="34"/>
      <c r="AD313" s="34"/>
      <c r="AE313" s="34"/>
      <c r="AF313" s="34"/>
      <c r="AG313" s="34"/>
      <c r="AH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I313" s="34"/>
      <c r="BJ313" s="34"/>
      <c r="BK313" s="34"/>
      <c r="BL313" s="34"/>
      <c r="BM313" s="34"/>
      <c r="BN313" s="34"/>
      <c r="BO313" s="34"/>
      <c r="BP313" s="34"/>
      <c r="BY313" s="34"/>
      <c r="BZ313" s="34"/>
      <c r="CA313" s="34"/>
      <c r="CB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</row>
    <row r="314" ht="15.75" customHeight="1">
      <c r="B314" s="34"/>
      <c r="E314" s="34"/>
      <c r="F314" s="34"/>
      <c r="G314" s="34"/>
      <c r="H314" s="34"/>
      <c r="I314" s="34"/>
      <c r="J314" s="34"/>
      <c r="K314" s="34"/>
      <c r="L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AA314" s="34"/>
      <c r="AB314" s="34"/>
      <c r="AC314" s="34"/>
      <c r="AD314" s="34"/>
      <c r="AE314" s="34"/>
      <c r="AF314" s="34"/>
      <c r="AG314" s="34"/>
      <c r="AH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I314" s="34"/>
      <c r="BJ314" s="34"/>
      <c r="BK314" s="34"/>
      <c r="BL314" s="34"/>
      <c r="BM314" s="34"/>
      <c r="BN314" s="34"/>
      <c r="BO314" s="34"/>
      <c r="BP314" s="34"/>
      <c r="BY314" s="34"/>
      <c r="BZ314" s="34"/>
      <c r="CA314" s="34"/>
      <c r="CB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</row>
    <row r="315" ht="15.75" customHeight="1">
      <c r="B315" s="34"/>
      <c r="E315" s="34"/>
      <c r="F315" s="34"/>
      <c r="G315" s="34"/>
      <c r="H315" s="34"/>
      <c r="I315" s="34"/>
      <c r="J315" s="34"/>
      <c r="K315" s="34"/>
      <c r="L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AA315" s="34"/>
      <c r="AB315" s="34"/>
      <c r="AC315" s="34"/>
      <c r="AD315" s="34"/>
      <c r="AE315" s="34"/>
      <c r="AF315" s="34"/>
      <c r="AG315" s="34"/>
      <c r="AH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I315" s="34"/>
      <c r="BJ315" s="34"/>
      <c r="BK315" s="34"/>
      <c r="BL315" s="34"/>
      <c r="BM315" s="34"/>
      <c r="BN315" s="34"/>
      <c r="BO315" s="34"/>
      <c r="BP315" s="34"/>
      <c r="BY315" s="34"/>
      <c r="BZ315" s="34"/>
      <c r="CA315" s="34"/>
      <c r="CB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</row>
    <row r="316" ht="15.75" customHeight="1">
      <c r="B316" s="34"/>
      <c r="E316" s="34"/>
      <c r="F316" s="34"/>
      <c r="G316" s="34"/>
      <c r="H316" s="34"/>
      <c r="I316" s="34"/>
      <c r="J316" s="34"/>
      <c r="K316" s="34"/>
      <c r="L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AA316" s="34"/>
      <c r="AB316" s="34"/>
      <c r="AC316" s="34"/>
      <c r="AD316" s="34"/>
      <c r="AE316" s="34"/>
      <c r="AF316" s="34"/>
      <c r="AG316" s="34"/>
      <c r="AH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I316" s="34"/>
      <c r="BJ316" s="34"/>
      <c r="BK316" s="34"/>
      <c r="BL316" s="34"/>
      <c r="BM316" s="34"/>
      <c r="BN316" s="34"/>
      <c r="BO316" s="34"/>
      <c r="BP316" s="34"/>
      <c r="BY316" s="34"/>
      <c r="BZ316" s="34"/>
      <c r="CA316" s="34"/>
      <c r="CB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</row>
    <row r="317" ht="15.75" customHeight="1">
      <c r="B317" s="34"/>
      <c r="E317" s="34"/>
      <c r="F317" s="34"/>
      <c r="G317" s="34"/>
      <c r="H317" s="34"/>
      <c r="I317" s="34"/>
      <c r="J317" s="34"/>
      <c r="K317" s="34"/>
      <c r="L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AA317" s="34"/>
      <c r="AB317" s="34"/>
      <c r="AC317" s="34"/>
      <c r="AD317" s="34"/>
      <c r="AE317" s="34"/>
      <c r="AF317" s="34"/>
      <c r="AG317" s="34"/>
      <c r="AH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I317" s="34"/>
      <c r="BJ317" s="34"/>
      <c r="BK317" s="34"/>
      <c r="BL317" s="34"/>
      <c r="BM317" s="34"/>
      <c r="BN317" s="34"/>
      <c r="BO317" s="34"/>
      <c r="BP317" s="34"/>
      <c r="BY317" s="34"/>
      <c r="BZ317" s="34"/>
      <c r="CA317" s="34"/>
      <c r="CB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</row>
    <row r="318" ht="15.75" customHeight="1">
      <c r="B318" s="34"/>
      <c r="E318" s="34"/>
      <c r="F318" s="34"/>
      <c r="G318" s="34"/>
      <c r="H318" s="34"/>
      <c r="I318" s="34"/>
      <c r="J318" s="34"/>
      <c r="K318" s="34"/>
      <c r="L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AA318" s="34"/>
      <c r="AB318" s="34"/>
      <c r="AC318" s="34"/>
      <c r="AD318" s="34"/>
      <c r="AE318" s="34"/>
      <c r="AF318" s="34"/>
      <c r="AG318" s="34"/>
      <c r="AH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I318" s="34"/>
      <c r="BJ318" s="34"/>
      <c r="BK318" s="34"/>
      <c r="BL318" s="34"/>
      <c r="BM318" s="34"/>
      <c r="BN318" s="34"/>
      <c r="BO318" s="34"/>
      <c r="BP318" s="34"/>
      <c r="BY318" s="34"/>
      <c r="BZ318" s="34"/>
      <c r="CA318" s="34"/>
      <c r="CB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</row>
    <row r="319" ht="15.75" customHeight="1">
      <c r="B319" s="34"/>
      <c r="E319" s="34"/>
      <c r="F319" s="34"/>
      <c r="G319" s="34"/>
      <c r="H319" s="34"/>
      <c r="I319" s="34"/>
      <c r="J319" s="34"/>
      <c r="K319" s="34"/>
      <c r="L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AA319" s="34"/>
      <c r="AB319" s="34"/>
      <c r="AC319" s="34"/>
      <c r="AD319" s="34"/>
      <c r="AE319" s="34"/>
      <c r="AF319" s="34"/>
      <c r="AG319" s="34"/>
      <c r="AH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I319" s="34"/>
      <c r="BJ319" s="34"/>
      <c r="BK319" s="34"/>
      <c r="BL319" s="34"/>
      <c r="BM319" s="34"/>
      <c r="BN319" s="34"/>
      <c r="BO319" s="34"/>
      <c r="BP319" s="34"/>
      <c r="BY319" s="34"/>
      <c r="BZ319" s="34"/>
      <c r="CA319" s="34"/>
      <c r="CB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</row>
    <row r="320" ht="15.75" customHeight="1">
      <c r="B320" s="34"/>
      <c r="E320" s="34"/>
      <c r="F320" s="34"/>
      <c r="G320" s="34"/>
      <c r="H320" s="34"/>
      <c r="I320" s="34"/>
      <c r="J320" s="34"/>
      <c r="K320" s="34"/>
      <c r="L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AA320" s="34"/>
      <c r="AB320" s="34"/>
      <c r="AC320" s="34"/>
      <c r="AD320" s="34"/>
      <c r="AE320" s="34"/>
      <c r="AF320" s="34"/>
      <c r="AG320" s="34"/>
      <c r="AH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I320" s="34"/>
      <c r="BJ320" s="34"/>
      <c r="BK320" s="34"/>
      <c r="BL320" s="34"/>
      <c r="BM320" s="34"/>
      <c r="BN320" s="34"/>
      <c r="BO320" s="34"/>
      <c r="BP320" s="34"/>
      <c r="BY320" s="34"/>
      <c r="BZ320" s="34"/>
      <c r="CA320" s="34"/>
      <c r="CB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</row>
    <row r="321" ht="15.75" customHeight="1">
      <c r="B321" s="34"/>
      <c r="E321" s="34"/>
      <c r="F321" s="34"/>
      <c r="G321" s="34"/>
      <c r="H321" s="34"/>
      <c r="I321" s="34"/>
      <c r="J321" s="34"/>
      <c r="K321" s="34"/>
      <c r="L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AA321" s="34"/>
      <c r="AB321" s="34"/>
      <c r="AC321" s="34"/>
      <c r="AD321" s="34"/>
      <c r="AE321" s="34"/>
      <c r="AF321" s="34"/>
      <c r="AG321" s="34"/>
      <c r="AH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I321" s="34"/>
      <c r="BJ321" s="34"/>
      <c r="BK321" s="34"/>
      <c r="BL321" s="34"/>
      <c r="BM321" s="34"/>
      <c r="BN321" s="34"/>
      <c r="BO321" s="34"/>
      <c r="BP321" s="34"/>
      <c r="BY321" s="34"/>
      <c r="BZ321" s="34"/>
      <c r="CA321" s="34"/>
      <c r="CB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</row>
    <row r="322" ht="15.75" customHeight="1">
      <c r="B322" s="34"/>
      <c r="E322" s="34"/>
      <c r="F322" s="34"/>
      <c r="G322" s="34"/>
      <c r="H322" s="34"/>
      <c r="I322" s="34"/>
      <c r="J322" s="34"/>
      <c r="K322" s="34"/>
      <c r="L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AA322" s="34"/>
      <c r="AB322" s="34"/>
      <c r="AC322" s="34"/>
      <c r="AD322" s="34"/>
      <c r="AE322" s="34"/>
      <c r="AF322" s="34"/>
      <c r="AG322" s="34"/>
      <c r="AH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I322" s="34"/>
      <c r="BJ322" s="34"/>
      <c r="BK322" s="34"/>
      <c r="BL322" s="34"/>
      <c r="BM322" s="34"/>
      <c r="BN322" s="34"/>
      <c r="BO322" s="34"/>
      <c r="BP322" s="34"/>
      <c r="BY322" s="34"/>
      <c r="BZ322" s="34"/>
      <c r="CA322" s="34"/>
      <c r="CB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</row>
    <row r="323" ht="15.75" customHeight="1">
      <c r="B323" s="34"/>
      <c r="E323" s="34"/>
      <c r="F323" s="34"/>
      <c r="G323" s="34"/>
      <c r="H323" s="34"/>
      <c r="I323" s="34"/>
      <c r="J323" s="34"/>
      <c r="K323" s="34"/>
      <c r="L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AA323" s="34"/>
      <c r="AB323" s="34"/>
      <c r="AC323" s="34"/>
      <c r="AD323" s="34"/>
      <c r="AE323" s="34"/>
      <c r="AF323" s="34"/>
      <c r="AG323" s="34"/>
      <c r="AH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I323" s="34"/>
      <c r="BJ323" s="34"/>
      <c r="BK323" s="34"/>
      <c r="BL323" s="34"/>
      <c r="BM323" s="34"/>
      <c r="BN323" s="34"/>
      <c r="BO323" s="34"/>
      <c r="BP323" s="34"/>
      <c r="BY323" s="34"/>
      <c r="BZ323" s="34"/>
      <c r="CA323" s="34"/>
      <c r="CB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</row>
    <row r="324" ht="15.75" customHeight="1">
      <c r="B324" s="34"/>
      <c r="E324" s="34"/>
      <c r="F324" s="34"/>
      <c r="G324" s="34"/>
      <c r="H324" s="34"/>
      <c r="I324" s="34"/>
      <c r="J324" s="34"/>
      <c r="K324" s="34"/>
      <c r="L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AA324" s="34"/>
      <c r="AB324" s="34"/>
      <c r="AC324" s="34"/>
      <c r="AD324" s="34"/>
      <c r="AE324" s="34"/>
      <c r="AF324" s="34"/>
      <c r="AG324" s="34"/>
      <c r="AH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I324" s="34"/>
      <c r="BJ324" s="34"/>
      <c r="BK324" s="34"/>
      <c r="BL324" s="34"/>
      <c r="BM324" s="34"/>
      <c r="BN324" s="34"/>
      <c r="BO324" s="34"/>
      <c r="BP324" s="34"/>
      <c r="BY324" s="34"/>
      <c r="BZ324" s="34"/>
      <c r="CA324" s="34"/>
      <c r="CB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</row>
    <row r="325" ht="15.75" customHeight="1">
      <c r="B325" s="34"/>
      <c r="E325" s="34"/>
      <c r="F325" s="34"/>
      <c r="G325" s="34"/>
      <c r="H325" s="34"/>
      <c r="I325" s="34"/>
      <c r="J325" s="34"/>
      <c r="K325" s="34"/>
      <c r="L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AA325" s="34"/>
      <c r="AB325" s="34"/>
      <c r="AC325" s="34"/>
      <c r="AD325" s="34"/>
      <c r="AE325" s="34"/>
      <c r="AF325" s="34"/>
      <c r="AG325" s="34"/>
      <c r="AH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I325" s="34"/>
      <c r="BJ325" s="34"/>
      <c r="BK325" s="34"/>
      <c r="BL325" s="34"/>
      <c r="BM325" s="34"/>
      <c r="BN325" s="34"/>
      <c r="BO325" s="34"/>
      <c r="BP325" s="34"/>
      <c r="BY325" s="34"/>
      <c r="BZ325" s="34"/>
      <c r="CA325" s="34"/>
      <c r="CB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</row>
    <row r="326" ht="15.75" customHeight="1">
      <c r="B326" s="34"/>
      <c r="E326" s="34"/>
      <c r="F326" s="34"/>
      <c r="G326" s="34"/>
      <c r="H326" s="34"/>
      <c r="I326" s="34"/>
      <c r="J326" s="34"/>
      <c r="K326" s="34"/>
      <c r="L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AA326" s="34"/>
      <c r="AB326" s="34"/>
      <c r="AC326" s="34"/>
      <c r="AD326" s="34"/>
      <c r="AE326" s="34"/>
      <c r="AF326" s="34"/>
      <c r="AG326" s="34"/>
      <c r="AH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I326" s="34"/>
      <c r="BJ326" s="34"/>
      <c r="BK326" s="34"/>
      <c r="BL326" s="34"/>
      <c r="BM326" s="34"/>
      <c r="BN326" s="34"/>
      <c r="BO326" s="34"/>
      <c r="BP326" s="34"/>
      <c r="BY326" s="34"/>
      <c r="BZ326" s="34"/>
      <c r="CA326" s="34"/>
      <c r="CB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</row>
    <row r="327" ht="15.75" customHeight="1">
      <c r="B327" s="34"/>
      <c r="E327" s="34"/>
      <c r="F327" s="34"/>
      <c r="G327" s="34"/>
      <c r="H327" s="34"/>
      <c r="I327" s="34"/>
      <c r="J327" s="34"/>
      <c r="K327" s="34"/>
      <c r="L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AA327" s="34"/>
      <c r="AB327" s="34"/>
      <c r="AC327" s="34"/>
      <c r="AD327" s="34"/>
      <c r="AE327" s="34"/>
      <c r="AF327" s="34"/>
      <c r="AG327" s="34"/>
      <c r="AH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I327" s="34"/>
      <c r="BJ327" s="34"/>
      <c r="BK327" s="34"/>
      <c r="BL327" s="34"/>
      <c r="BM327" s="34"/>
      <c r="BN327" s="34"/>
      <c r="BO327" s="34"/>
      <c r="BP327" s="34"/>
      <c r="BY327" s="34"/>
      <c r="BZ327" s="34"/>
      <c r="CA327" s="34"/>
      <c r="CB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</row>
    <row r="328" ht="15.75" customHeight="1">
      <c r="B328" s="34"/>
      <c r="E328" s="34"/>
      <c r="F328" s="34"/>
      <c r="G328" s="34"/>
      <c r="H328" s="34"/>
      <c r="I328" s="34"/>
      <c r="J328" s="34"/>
      <c r="K328" s="34"/>
      <c r="L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AA328" s="34"/>
      <c r="AB328" s="34"/>
      <c r="AC328" s="34"/>
      <c r="AD328" s="34"/>
      <c r="AE328" s="34"/>
      <c r="AF328" s="34"/>
      <c r="AG328" s="34"/>
      <c r="AH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I328" s="34"/>
      <c r="BJ328" s="34"/>
      <c r="BK328" s="34"/>
      <c r="BL328" s="34"/>
      <c r="BM328" s="34"/>
      <c r="BN328" s="34"/>
      <c r="BO328" s="34"/>
      <c r="BP328" s="34"/>
      <c r="BY328" s="34"/>
      <c r="BZ328" s="34"/>
      <c r="CA328" s="34"/>
      <c r="CB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</row>
    <row r="329" ht="15.75" customHeight="1">
      <c r="B329" s="34"/>
      <c r="E329" s="34"/>
      <c r="F329" s="34"/>
      <c r="G329" s="34"/>
      <c r="H329" s="34"/>
      <c r="I329" s="34"/>
      <c r="J329" s="34"/>
      <c r="K329" s="34"/>
      <c r="L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AA329" s="34"/>
      <c r="AB329" s="34"/>
      <c r="AC329" s="34"/>
      <c r="AD329" s="34"/>
      <c r="AE329" s="34"/>
      <c r="AF329" s="34"/>
      <c r="AG329" s="34"/>
      <c r="AH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I329" s="34"/>
      <c r="BJ329" s="34"/>
      <c r="BK329" s="34"/>
      <c r="BL329" s="34"/>
      <c r="BM329" s="34"/>
      <c r="BN329" s="34"/>
      <c r="BO329" s="34"/>
      <c r="BP329" s="34"/>
      <c r="BY329" s="34"/>
      <c r="BZ329" s="34"/>
      <c r="CA329" s="34"/>
      <c r="CB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</row>
    <row r="330" ht="15.75" customHeight="1">
      <c r="B330" s="34"/>
      <c r="E330" s="34"/>
      <c r="F330" s="34"/>
      <c r="G330" s="34"/>
      <c r="H330" s="34"/>
      <c r="I330" s="34"/>
      <c r="J330" s="34"/>
      <c r="K330" s="34"/>
      <c r="L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AA330" s="34"/>
      <c r="AB330" s="34"/>
      <c r="AC330" s="34"/>
      <c r="AD330" s="34"/>
      <c r="AE330" s="34"/>
      <c r="AF330" s="34"/>
      <c r="AG330" s="34"/>
      <c r="AH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I330" s="34"/>
      <c r="BJ330" s="34"/>
      <c r="BK330" s="34"/>
      <c r="BL330" s="34"/>
      <c r="BM330" s="34"/>
      <c r="BN330" s="34"/>
      <c r="BO330" s="34"/>
      <c r="BP330" s="34"/>
      <c r="BY330" s="34"/>
      <c r="BZ330" s="34"/>
      <c r="CA330" s="34"/>
      <c r="CB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</row>
    <row r="331" ht="15.75" customHeight="1">
      <c r="B331" s="34"/>
      <c r="E331" s="34"/>
      <c r="F331" s="34"/>
      <c r="G331" s="34"/>
      <c r="H331" s="34"/>
      <c r="I331" s="34"/>
      <c r="J331" s="34"/>
      <c r="K331" s="34"/>
      <c r="L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AA331" s="34"/>
      <c r="AB331" s="34"/>
      <c r="AC331" s="34"/>
      <c r="AD331" s="34"/>
      <c r="AE331" s="34"/>
      <c r="AF331" s="34"/>
      <c r="AG331" s="34"/>
      <c r="AH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I331" s="34"/>
      <c r="BJ331" s="34"/>
      <c r="BK331" s="34"/>
      <c r="BL331" s="34"/>
      <c r="BM331" s="34"/>
      <c r="BN331" s="34"/>
      <c r="BO331" s="34"/>
      <c r="BP331" s="34"/>
      <c r="BY331" s="34"/>
      <c r="BZ331" s="34"/>
      <c r="CA331" s="34"/>
      <c r="CB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</row>
    <row r="332" ht="15.75" customHeight="1">
      <c r="B332" s="34"/>
      <c r="E332" s="34"/>
      <c r="F332" s="34"/>
      <c r="G332" s="34"/>
      <c r="H332" s="34"/>
      <c r="I332" s="34"/>
      <c r="J332" s="34"/>
      <c r="K332" s="34"/>
      <c r="L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AA332" s="34"/>
      <c r="AB332" s="34"/>
      <c r="AC332" s="34"/>
      <c r="AD332" s="34"/>
      <c r="AE332" s="34"/>
      <c r="AF332" s="34"/>
      <c r="AG332" s="34"/>
      <c r="AH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I332" s="34"/>
      <c r="BJ332" s="34"/>
      <c r="BK332" s="34"/>
      <c r="BL332" s="34"/>
      <c r="BM332" s="34"/>
      <c r="BN332" s="34"/>
      <c r="BO332" s="34"/>
      <c r="BP332" s="34"/>
      <c r="BY332" s="34"/>
      <c r="BZ332" s="34"/>
      <c r="CA332" s="34"/>
      <c r="CB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</row>
    <row r="333" ht="15.75" customHeight="1">
      <c r="B333" s="34"/>
      <c r="E333" s="34"/>
      <c r="F333" s="34"/>
      <c r="G333" s="34"/>
      <c r="H333" s="34"/>
      <c r="I333" s="34"/>
      <c r="J333" s="34"/>
      <c r="K333" s="34"/>
      <c r="L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AA333" s="34"/>
      <c r="AB333" s="34"/>
      <c r="AC333" s="34"/>
      <c r="AD333" s="34"/>
      <c r="AE333" s="34"/>
      <c r="AF333" s="34"/>
      <c r="AG333" s="34"/>
      <c r="AH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I333" s="34"/>
      <c r="BJ333" s="34"/>
      <c r="BK333" s="34"/>
      <c r="BL333" s="34"/>
      <c r="BM333" s="34"/>
      <c r="BN333" s="34"/>
      <c r="BO333" s="34"/>
      <c r="BP333" s="34"/>
      <c r="BY333" s="34"/>
      <c r="BZ333" s="34"/>
      <c r="CA333" s="34"/>
      <c r="CB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</row>
    <row r="334" ht="15.75" customHeight="1">
      <c r="B334" s="34"/>
      <c r="E334" s="34"/>
      <c r="F334" s="34"/>
      <c r="G334" s="34"/>
      <c r="H334" s="34"/>
      <c r="I334" s="34"/>
      <c r="J334" s="34"/>
      <c r="K334" s="34"/>
      <c r="L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AA334" s="34"/>
      <c r="AB334" s="34"/>
      <c r="AC334" s="34"/>
      <c r="AD334" s="34"/>
      <c r="AE334" s="34"/>
      <c r="AF334" s="34"/>
      <c r="AG334" s="34"/>
      <c r="AH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I334" s="34"/>
      <c r="BJ334" s="34"/>
      <c r="BK334" s="34"/>
      <c r="BL334" s="34"/>
      <c r="BM334" s="34"/>
      <c r="BN334" s="34"/>
      <c r="BO334" s="34"/>
      <c r="BP334" s="34"/>
      <c r="BY334" s="34"/>
      <c r="BZ334" s="34"/>
      <c r="CA334" s="34"/>
      <c r="CB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</row>
    <row r="335" ht="15.75" customHeight="1">
      <c r="B335" s="34"/>
      <c r="E335" s="34"/>
      <c r="F335" s="34"/>
      <c r="G335" s="34"/>
      <c r="H335" s="34"/>
      <c r="I335" s="34"/>
      <c r="J335" s="34"/>
      <c r="K335" s="34"/>
      <c r="L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AA335" s="34"/>
      <c r="AB335" s="34"/>
      <c r="AC335" s="34"/>
      <c r="AD335" s="34"/>
      <c r="AE335" s="34"/>
      <c r="AF335" s="34"/>
      <c r="AG335" s="34"/>
      <c r="AH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I335" s="34"/>
      <c r="BJ335" s="34"/>
      <c r="BK335" s="34"/>
      <c r="BL335" s="34"/>
      <c r="BM335" s="34"/>
      <c r="BN335" s="34"/>
      <c r="BO335" s="34"/>
      <c r="BP335" s="34"/>
      <c r="BY335" s="34"/>
      <c r="BZ335" s="34"/>
      <c r="CA335" s="34"/>
      <c r="CB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</row>
    <row r="336" ht="15.75" customHeight="1">
      <c r="B336" s="34"/>
      <c r="E336" s="34"/>
      <c r="F336" s="34"/>
      <c r="G336" s="34"/>
      <c r="H336" s="34"/>
      <c r="I336" s="34"/>
      <c r="J336" s="34"/>
      <c r="K336" s="34"/>
      <c r="L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AA336" s="34"/>
      <c r="AB336" s="34"/>
      <c r="AC336" s="34"/>
      <c r="AD336" s="34"/>
      <c r="AE336" s="34"/>
      <c r="AF336" s="34"/>
      <c r="AG336" s="34"/>
      <c r="AH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I336" s="34"/>
      <c r="BJ336" s="34"/>
      <c r="BK336" s="34"/>
      <c r="BL336" s="34"/>
      <c r="BM336" s="34"/>
      <c r="BN336" s="34"/>
      <c r="BO336" s="34"/>
      <c r="BP336" s="34"/>
      <c r="BY336" s="34"/>
      <c r="BZ336" s="34"/>
      <c r="CA336" s="34"/>
      <c r="CB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</row>
    <row r="337" ht="15.75" customHeight="1">
      <c r="B337" s="34"/>
      <c r="E337" s="34"/>
      <c r="F337" s="34"/>
      <c r="G337" s="34"/>
      <c r="H337" s="34"/>
      <c r="I337" s="34"/>
      <c r="J337" s="34"/>
      <c r="K337" s="34"/>
      <c r="L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AA337" s="34"/>
      <c r="AB337" s="34"/>
      <c r="AC337" s="34"/>
      <c r="AD337" s="34"/>
      <c r="AE337" s="34"/>
      <c r="AF337" s="34"/>
      <c r="AG337" s="34"/>
      <c r="AH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I337" s="34"/>
      <c r="BJ337" s="34"/>
      <c r="BK337" s="34"/>
      <c r="BL337" s="34"/>
      <c r="BM337" s="34"/>
      <c r="BN337" s="34"/>
      <c r="BO337" s="34"/>
      <c r="BP337" s="34"/>
      <c r="BY337" s="34"/>
      <c r="BZ337" s="34"/>
      <c r="CA337" s="34"/>
      <c r="CB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</row>
    <row r="338" ht="15.75" customHeight="1">
      <c r="B338" s="34"/>
      <c r="E338" s="34"/>
      <c r="F338" s="34"/>
      <c r="G338" s="34"/>
      <c r="H338" s="34"/>
      <c r="I338" s="34"/>
      <c r="J338" s="34"/>
      <c r="K338" s="34"/>
      <c r="L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AA338" s="34"/>
      <c r="AB338" s="34"/>
      <c r="AC338" s="34"/>
      <c r="AD338" s="34"/>
      <c r="AE338" s="34"/>
      <c r="AF338" s="34"/>
      <c r="AG338" s="34"/>
      <c r="AH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I338" s="34"/>
      <c r="BJ338" s="34"/>
      <c r="BK338" s="34"/>
      <c r="BL338" s="34"/>
      <c r="BM338" s="34"/>
      <c r="BN338" s="34"/>
      <c r="BO338" s="34"/>
      <c r="BP338" s="34"/>
      <c r="BY338" s="34"/>
      <c r="BZ338" s="34"/>
      <c r="CA338" s="34"/>
      <c r="CB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</row>
    <row r="339" ht="15.75" customHeight="1">
      <c r="B339" s="34"/>
      <c r="E339" s="34"/>
      <c r="F339" s="34"/>
      <c r="G339" s="34"/>
      <c r="H339" s="34"/>
      <c r="I339" s="34"/>
      <c r="J339" s="34"/>
      <c r="K339" s="34"/>
      <c r="L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AA339" s="34"/>
      <c r="AB339" s="34"/>
      <c r="AC339" s="34"/>
      <c r="AD339" s="34"/>
      <c r="AE339" s="34"/>
      <c r="AF339" s="34"/>
      <c r="AG339" s="34"/>
      <c r="AH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I339" s="34"/>
      <c r="BJ339" s="34"/>
      <c r="BK339" s="34"/>
      <c r="BL339" s="34"/>
      <c r="BM339" s="34"/>
      <c r="BN339" s="34"/>
      <c r="BO339" s="34"/>
      <c r="BP339" s="34"/>
      <c r="BY339" s="34"/>
      <c r="BZ339" s="34"/>
      <c r="CA339" s="34"/>
      <c r="CB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</row>
    <row r="340" ht="15.75" customHeight="1">
      <c r="B340" s="34"/>
      <c r="E340" s="34"/>
      <c r="F340" s="34"/>
      <c r="G340" s="34"/>
      <c r="H340" s="34"/>
      <c r="I340" s="34"/>
      <c r="J340" s="34"/>
      <c r="K340" s="34"/>
      <c r="L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AA340" s="34"/>
      <c r="AB340" s="34"/>
      <c r="AC340" s="34"/>
      <c r="AD340" s="34"/>
      <c r="AE340" s="34"/>
      <c r="AF340" s="34"/>
      <c r="AG340" s="34"/>
      <c r="AH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I340" s="34"/>
      <c r="BJ340" s="34"/>
      <c r="BK340" s="34"/>
      <c r="BL340" s="34"/>
      <c r="BM340" s="34"/>
      <c r="BN340" s="34"/>
      <c r="BO340" s="34"/>
      <c r="BP340" s="34"/>
      <c r="BY340" s="34"/>
      <c r="BZ340" s="34"/>
      <c r="CA340" s="34"/>
      <c r="CB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</row>
    <row r="341" ht="15.75" customHeight="1">
      <c r="B341" s="34"/>
      <c r="E341" s="34"/>
      <c r="F341" s="34"/>
      <c r="G341" s="34"/>
      <c r="H341" s="34"/>
      <c r="I341" s="34"/>
      <c r="J341" s="34"/>
      <c r="K341" s="34"/>
      <c r="L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AA341" s="34"/>
      <c r="AB341" s="34"/>
      <c r="AC341" s="34"/>
      <c r="AD341" s="34"/>
      <c r="AE341" s="34"/>
      <c r="AF341" s="34"/>
      <c r="AG341" s="34"/>
      <c r="AH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I341" s="34"/>
      <c r="BJ341" s="34"/>
      <c r="BK341" s="34"/>
      <c r="BL341" s="34"/>
      <c r="BM341" s="34"/>
      <c r="BN341" s="34"/>
      <c r="BO341" s="34"/>
      <c r="BP341" s="34"/>
      <c r="BY341" s="34"/>
      <c r="BZ341" s="34"/>
      <c r="CA341" s="34"/>
      <c r="CB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</row>
    <row r="342" ht="15.75" customHeight="1">
      <c r="B342" s="34"/>
      <c r="E342" s="34"/>
      <c r="F342" s="34"/>
      <c r="G342" s="34"/>
      <c r="H342" s="34"/>
      <c r="I342" s="34"/>
      <c r="J342" s="34"/>
      <c r="K342" s="34"/>
      <c r="L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AA342" s="34"/>
      <c r="AB342" s="34"/>
      <c r="AC342" s="34"/>
      <c r="AD342" s="34"/>
      <c r="AE342" s="34"/>
      <c r="AF342" s="34"/>
      <c r="AG342" s="34"/>
      <c r="AH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I342" s="34"/>
      <c r="BJ342" s="34"/>
      <c r="BK342" s="34"/>
      <c r="BL342" s="34"/>
      <c r="BM342" s="34"/>
      <c r="BN342" s="34"/>
      <c r="BO342" s="34"/>
      <c r="BP342" s="34"/>
      <c r="BY342" s="34"/>
      <c r="BZ342" s="34"/>
      <c r="CA342" s="34"/>
      <c r="CB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</row>
    <row r="343" ht="15.75" customHeight="1">
      <c r="B343" s="34"/>
      <c r="E343" s="34"/>
      <c r="F343" s="34"/>
      <c r="G343" s="34"/>
      <c r="H343" s="34"/>
      <c r="I343" s="34"/>
      <c r="J343" s="34"/>
      <c r="K343" s="34"/>
      <c r="L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AA343" s="34"/>
      <c r="AB343" s="34"/>
      <c r="AC343" s="34"/>
      <c r="AD343" s="34"/>
      <c r="AE343" s="34"/>
      <c r="AF343" s="34"/>
      <c r="AG343" s="34"/>
      <c r="AH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I343" s="34"/>
      <c r="BJ343" s="34"/>
      <c r="BK343" s="34"/>
      <c r="BL343" s="34"/>
      <c r="BM343" s="34"/>
      <c r="BN343" s="34"/>
      <c r="BO343" s="34"/>
      <c r="BP343" s="34"/>
      <c r="BY343" s="34"/>
      <c r="BZ343" s="34"/>
      <c r="CA343" s="34"/>
      <c r="CB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</row>
    <row r="344" ht="15.75" customHeight="1">
      <c r="B344" s="34"/>
      <c r="E344" s="34"/>
      <c r="F344" s="34"/>
      <c r="G344" s="34"/>
      <c r="H344" s="34"/>
      <c r="I344" s="34"/>
      <c r="J344" s="34"/>
      <c r="K344" s="34"/>
      <c r="L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AA344" s="34"/>
      <c r="AB344" s="34"/>
      <c r="AC344" s="34"/>
      <c r="AD344" s="34"/>
      <c r="AE344" s="34"/>
      <c r="AF344" s="34"/>
      <c r="AG344" s="34"/>
      <c r="AH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I344" s="34"/>
      <c r="BJ344" s="34"/>
      <c r="BK344" s="34"/>
      <c r="BL344" s="34"/>
      <c r="BM344" s="34"/>
      <c r="BN344" s="34"/>
      <c r="BO344" s="34"/>
      <c r="BP344" s="34"/>
      <c r="BY344" s="34"/>
      <c r="BZ344" s="34"/>
      <c r="CA344" s="34"/>
      <c r="CB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</row>
    <row r="345" ht="15.75" customHeight="1">
      <c r="B345" s="34"/>
      <c r="E345" s="34"/>
      <c r="F345" s="34"/>
      <c r="G345" s="34"/>
      <c r="H345" s="34"/>
      <c r="I345" s="34"/>
      <c r="J345" s="34"/>
      <c r="K345" s="34"/>
      <c r="L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AA345" s="34"/>
      <c r="AB345" s="34"/>
      <c r="AC345" s="34"/>
      <c r="AD345" s="34"/>
      <c r="AE345" s="34"/>
      <c r="AF345" s="34"/>
      <c r="AG345" s="34"/>
      <c r="AH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I345" s="34"/>
      <c r="BJ345" s="34"/>
      <c r="BK345" s="34"/>
      <c r="BL345" s="34"/>
      <c r="BM345" s="34"/>
      <c r="BN345" s="34"/>
      <c r="BO345" s="34"/>
      <c r="BP345" s="34"/>
      <c r="BY345" s="34"/>
      <c r="BZ345" s="34"/>
      <c r="CA345" s="34"/>
      <c r="CB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</row>
    <row r="346" ht="15.75" customHeight="1">
      <c r="B346" s="34"/>
      <c r="E346" s="34"/>
      <c r="F346" s="34"/>
      <c r="G346" s="34"/>
      <c r="H346" s="34"/>
      <c r="I346" s="34"/>
      <c r="J346" s="34"/>
      <c r="K346" s="34"/>
      <c r="L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AA346" s="34"/>
      <c r="AB346" s="34"/>
      <c r="AC346" s="34"/>
      <c r="AD346" s="34"/>
      <c r="AE346" s="34"/>
      <c r="AF346" s="34"/>
      <c r="AG346" s="34"/>
      <c r="AH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I346" s="34"/>
      <c r="BJ346" s="34"/>
      <c r="BK346" s="34"/>
      <c r="BL346" s="34"/>
      <c r="BM346" s="34"/>
      <c r="BN346" s="34"/>
      <c r="BO346" s="34"/>
      <c r="BP346" s="34"/>
      <c r="BY346" s="34"/>
      <c r="BZ346" s="34"/>
      <c r="CA346" s="34"/>
      <c r="CB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</row>
    <row r="347" ht="15.75" customHeight="1">
      <c r="B347" s="34"/>
      <c r="E347" s="34"/>
      <c r="F347" s="34"/>
      <c r="G347" s="34"/>
      <c r="H347" s="34"/>
      <c r="I347" s="34"/>
      <c r="J347" s="34"/>
      <c r="K347" s="34"/>
      <c r="L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AA347" s="34"/>
      <c r="AB347" s="34"/>
      <c r="AC347" s="34"/>
      <c r="AD347" s="34"/>
      <c r="AE347" s="34"/>
      <c r="AF347" s="34"/>
      <c r="AG347" s="34"/>
      <c r="AH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I347" s="34"/>
      <c r="BJ347" s="34"/>
      <c r="BK347" s="34"/>
      <c r="BL347" s="34"/>
      <c r="BM347" s="34"/>
      <c r="BN347" s="34"/>
      <c r="BO347" s="34"/>
      <c r="BP347" s="34"/>
      <c r="BY347" s="34"/>
      <c r="BZ347" s="34"/>
      <c r="CA347" s="34"/>
      <c r="CB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</row>
    <row r="348" ht="15.75" customHeight="1">
      <c r="B348" s="34"/>
      <c r="E348" s="34"/>
      <c r="F348" s="34"/>
      <c r="G348" s="34"/>
      <c r="H348" s="34"/>
      <c r="I348" s="34"/>
      <c r="J348" s="34"/>
      <c r="K348" s="34"/>
      <c r="L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AA348" s="34"/>
      <c r="AB348" s="34"/>
      <c r="AC348" s="34"/>
      <c r="AD348" s="34"/>
      <c r="AE348" s="34"/>
      <c r="AF348" s="34"/>
      <c r="AG348" s="34"/>
      <c r="AH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I348" s="34"/>
      <c r="BJ348" s="34"/>
      <c r="BK348" s="34"/>
      <c r="BL348" s="34"/>
      <c r="BM348" s="34"/>
      <c r="BN348" s="34"/>
      <c r="BO348" s="34"/>
      <c r="BP348" s="34"/>
      <c r="BY348" s="34"/>
      <c r="BZ348" s="34"/>
      <c r="CA348" s="34"/>
      <c r="CB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</row>
    <row r="349" ht="15.75" customHeight="1">
      <c r="B349" s="34"/>
      <c r="E349" s="34"/>
      <c r="F349" s="34"/>
      <c r="G349" s="34"/>
      <c r="H349" s="34"/>
      <c r="I349" s="34"/>
      <c r="J349" s="34"/>
      <c r="K349" s="34"/>
      <c r="L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AA349" s="34"/>
      <c r="AB349" s="34"/>
      <c r="AC349" s="34"/>
      <c r="AD349" s="34"/>
      <c r="AE349" s="34"/>
      <c r="AF349" s="34"/>
      <c r="AG349" s="34"/>
      <c r="AH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I349" s="34"/>
      <c r="BJ349" s="34"/>
      <c r="BK349" s="34"/>
      <c r="BL349" s="34"/>
      <c r="BM349" s="34"/>
      <c r="BN349" s="34"/>
      <c r="BO349" s="34"/>
      <c r="BP349" s="34"/>
      <c r="BY349" s="34"/>
      <c r="BZ349" s="34"/>
      <c r="CA349" s="34"/>
      <c r="CB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</row>
    <row r="350" ht="15.75" customHeight="1">
      <c r="B350" s="34"/>
      <c r="E350" s="34"/>
      <c r="F350" s="34"/>
      <c r="G350" s="34"/>
      <c r="H350" s="34"/>
      <c r="I350" s="34"/>
      <c r="J350" s="34"/>
      <c r="K350" s="34"/>
      <c r="L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AA350" s="34"/>
      <c r="AB350" s="34"/>
      <c r="AC350" s="34"/>
      <c r="AD350" s="34"/>
      <c r="AE350" s="34"/>
      <c r="AF350" s="34"/>
      <c r="AG350" s="34"/>
      <c r="AH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I350" s="34"/>
      <c r="BJ350" s="34"/>
      <c r="BK350" s="34"/>
      <c r="BL350" s="34"/>
      <c r="BM350" s="34"/>
      <c r="BN350" s="34"/>
      <c r="BO350" s="34"/>
      <c r="BP350" s="34"/>
      <c r="BY350" s="34"/>
      <c r="BZ350" s="34"/>
      <c r="CA350" s="34"/>
      <c r="CB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</row>
    <row r="351" ht="15.75" customHeight="1">
      <c r="B351" s="34"/>
      <c r="E351" s="34"/>
      <c r="F351" s="34"/>
      <c r="G351" s="34"/>
      <c r="H351" s="34"/>
      <c r="I351" s="34"/>
      <c r="J351" s="34"/>
      <c r="K351" s="34"/>
      <c r="L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AA351" s="34"/>
      <c r="AB351" s="34"/>
      <c r="AC351" s="34"/>
      <c r="AD351" s="34"/>
      <c r="AE351" s="34"/>
      <c r="AF351" s="34"/>
      <c r="AG351" s="34"/>
      <c r="AH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I351" s="34"/>
      <c r="BJ351" s="34"/>
      <c r="BK351" s="34"/>
      <c r="BL351" s="34"/>
      <c r="BM351" s="34"/>
      <c r="BN351" s="34"/>
      <c r="BO351" s="34"/>
      <c r="BP351" s="34"/>
      <c r="BY351" s="34"/>
      <c r="BZ351" s="34"/>
      <c r="CA351" s="34"/>
      <c r="CB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</row>
    <row r="352" ht="15.75" customHeight="1">
      <c r="B352" s="34"/>
      <c r="E352" s="34"/>
      <c r="F352" s="34"/>
      <c r="G352" s="34"/>
      <c r="H352" s="34"/>
      <c r="I352" s="34"/>
      <c r="J352" s="34"/>
      <c r="K352" s="34"/>
      <c r="L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AA352" s="34"/>
      <c r="AB352" s="34"/>
      <c r="AC352" s="34"/>
      <c r="AD352" s="34"/>
      <c r="AE352" s="34"/>
      <c r="AF352" s="34"/>
      <c r="AG352" s="34"/>
      <c r="AH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I352" s="34"/>
      <c r="BJ352" s="34"/>
      <c r="BK352" s="34"/>
      <c r="BL352" s="34"/>
      <c r="BM352" s="34"/>
      <c r="BN352" s="34"/>
      <c r="BO352" s="34"/>
      <c r="BP352" s="34"/>
      <c r="BY352" s="34"/>
      <c r="BZ352" s="34"/>
      <c r="CA352" s="34"/>
      <c r="CB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</row>
    <row r="353" ht="15.75" customHeight="1">
      <c r="B353" s="34"/>
      <c r="E353" s="34"/>
      <c r="F353" s="34"/>
      <c r="G353" s="34"/>
      <c r="H353" s="34"/>
      <c r="I353" s="34"/>
      <c r="J353" s="34"/>
      <c r="K353" s="34"/>
      <c r="L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AA353" s="34"/>
      <c r="AB353" s="34"/>
      <c r="AC353" s="34"/>
      <c r="AD353" s="34"/>
      <c r="AE353" s="34"/>
      <c r="AF353" s="34"/>
      <c r="AG353" s="34"/>
      <c r="AH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I353" s="34"/>
      <c r="BJ353" s="34"/>
      <c r="BK353" s="34"/>
      <c r="BL353" s="34"/>
      <c r="BM353" s="34"/>
      <c r="BN353" s="34"/>
      <c r="BO353" s="34"/>
      <c r="BP353" s="34"/>
      <c r="BY353" s="34"/>
      <c r="BZ353" s="34"/>
      <c r="CA353" s="34"/>
      <c r="CB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</row>
    <row r="354" ht="15.75" customHeight="1">
      <c r="B354" s="34"/>
      <c r="E354" s="34"/>
      <c r="F354" s="34"/>
      <c r="G354" s="34"/>
      <c r="H354" s="34"/>
      <c r="I354" s="34"/>
      <c r="J354" s="34"/>
      <c r="K354" s="34"/>
      <c r="L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AA354" s="34"/>
      <c r="AB354" s="34"/>
      <c r="AC354" s="34"/>
      <c r="AD354" s="34"/>
      <c r="AE354" s="34"/>
      <c r="AF354" s="34"/>
      <c r="AG354" s="34"/>
      <c r="AH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I354" s="34"/>
      <c r="BJ354" s="34"/>
      <c r="BK354" s="34"/>
      <c r="BL354" s="34"/>
      <c r="BM354" s="34"/>
      <c r="BN354" s="34"/>
      <c r="BO354" s="34"/>
      <c r="BP354" s="34"/>
      <c r="BY354" s="34"/>
      <c r="BZ354" s="34"/>
      <c r="CA354" s="34"/>
      <c r="CB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</row>
    <row r="355" ht="15.75" customHeight="1">
      <c r="B355" s="34"/>
      <c r="E355" s="34"/>
      <c r="F355" s="34"/>
      <c r="G355" s="34"/>
      <c r="H355" s="34"/>
      <c r="I355" s="34"/>
      <c r="J355" s="34"/>
      <c r="K355" s="34"/>
      <c r="L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AA355" s="34"/>
      <c r="AB355" s="34"/>
      <c r="AC355" s="34"/>
      <c r="AD355" s="34"/>
      <c r="AE355" s="34"/>
      <c r="AF355" s="34"/>
      <c r="AG355" s="34"/>
      <c r="AH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I355" s="34"/>
      <c r="BJ355" s="34"/>
      <c r="BK355" s="34"/>
      <c r="BL355" s="34"/>
      <c r="BM355" s="34"/>
      <c r="BN355" s="34"/>
      <c r="BO355" s="34"/>
      <c r="BP355" s="34"/>
      <c r="BY355" s="34"/>
      <c r="BZ355" s="34"/>
      <c r="CA355" s="34"/>
      <c r="CB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</row>
    <row r="356" ht="15.75" customHeight="1">
      <c r="B356" s="34"/>
      <c r="E356" s="34"/>
      <c r="F356" s="34"/>
      <c r="G356" s="34"/>
      <c r="H356" s="34"/>
      <c r="I356" s="34"/>
      <c r="J356" s="34"/>
      <c r="K356" s="34"/>
      <c r="L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AA356" s="34"/>
      <c r="AB356" s="34"/>
      <c r="AC356" s="34"/>
      <c r="AD356" s="34"/>
      <c r="AE356" s="34"/>
      <c r="AF356" s="34"/>
      <c r="AG356" s="34"/>
      <c r="AH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I356" s="34"/>
      <c r="BJ356" s="34"/>
      <c r="BK356" s="34"/>
      <c r="BL356" s="34"/>
      <c r="BM356" s="34"/>
      <c r="BN356" s="34"/>
      <c r="BO356" s="34"/>
      <c r="BP356" s="34"/>
      <c r="BY356" s="34"/>
      <c r="BZ356" s="34"/>
      <c r="CA356" s="34"/>
      <c r="CB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</row>
    <row r="357" ht="15.75" customHeight="1">
      <c r="B357" s="34"/>
      <c r="E357" s="34"/>
      <c r="F357" s="34"/>
      <c r="G357" s="34"/>
      <c r="H357" s="34"/>
      <c r="I357" s="34"/>
      <c r="J357" s="34"/>
      <c r="K357" s="34"/>
      <c r="L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AA357" s="34"/>
      <c r="AB357" s="34"/>
      <c r="AC357" s="34"/>
      <c r="AD357" s="34"/>
      <c r="AE357" s="34"/>
      <c r="AF357" s="34"/>
      <c r="AG357" s="34"/>
      <c r="AH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I357" s="34"/>
      <c r="BJ357" s="34"/>
      <c r="BK357" s="34"/>
      <c r="BL357" s="34"/>
      <c r="BM357" s="34"/>
      <c r="BN357" s="34"/>
      <c r="BO357" s="34"/>
      <c r="BP357" s="34"/>
      <c r="BY357" s="34"/>
      <c r="BZ357" s="34"/>
      <c r="CA357" s="34"/>
      <c r="CB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</row>
    <row r="358" ht="15.75" customHeight="1">
      <c r="B358" s="34"/>
      <c r="E358" s="34"/>
      <c r="F358" s="34"/>
      <c r="G358" s="34"/>
      <c r="H358" s="34"/>
      <c r="I358" s="34"/>
      <c r="J358" s="34"/>
      <c r="K358" s="34"/>
      <c r="L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AA358" s="34"/>
      <c r="AB358" s="34"/>
      <c r="AC358" s="34"/>
      <c r="AD358" s="34"/>
      <c r="AE358" s="34"/>
      <c r="AF358" s="34"/>
      <c r="AG358" s="34"/>
      <c r="AH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I358" s="34"/>
      <c r="BJ358" s="34"/>
      <c r="BK358" s="34"/>
      <c r="BL358" s="34"/>
      <c r="BM358" s="34"/>
      <c r="BN358" s="34"/>
      <c r="BO358" s="34"/>
      <c r="BP358" s="34"/>
      <c r="BY358" s="34"/>
      <c r="BZ358" s="34"/>
      <c r="CA358" s="34"/>
      <c r="CB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</row>
    <row r="359" ht="15.75" customHeight="1">
      <c r="B359" s="34"/>
      <c r="E359" s="34"/>
      <c r="F359" s="34"/>
      <c r="G359" s="34"/>
      <c r="H359" s="34"/>
      <c r="I359" s="34"/>
      <c r="J359" s="34"/>
      <c r="K359" s="34"/>
      <c r="L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AA359" s="34"/>
      <c r="AB359" s="34"/>
      <c r="AC359" s="34"/>
      <c r="AD359" s="34"/>
      <c r="AE359" s="34"/>
      <c r="AF359" s="34"/>
      <c r="AG359" s="34"/>
      <c r="AH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I359" s="34"/>
      <c r="BJ359" s="34"/>
      <c r="BK359" s="34"/>
      <c r="BL359" s="34"/>
      <c r="BM359" s="34"/>
      <c r="BN359" s="34"/>
      <c r="BO359" s="34"/>
      <c r="BP359" s="34"/>
      <c r="BY359" s="34"/>
      <c r="BZ359" s="34"/>
      <c r="CA359" s="34"/>
      <c r="CB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</row>
    <row r="360" ht="15.75" customHeight="1">
      <c r="B360" s="34"/>
      <c r="E360" s="34"/>
      <c r="F360" s="34"/>
      <c r="G360" s="34"/>
      <c r="H360" s="34"/>
      <c r="I360" s="34"/>
      <c r="J360" s="34"/>
      <c r="K360" s="34"/>
      <c r="L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AA360" s="34"/>
      <c r="AB360" s="34"/>
      <c r="AC360" s="34"/>
      <c r="AD360" s="34"/>
      <c r="AE360" s="34"/>
      <c r="AF360" s="34"/>
      <c r="AG360" s="34"/>
      <c r="AH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I360" s="34"/>
      <c r="BJ360" s="34"/>
      <c r="BK360" s="34"/>
      <c r="BL360" s="34"/>
      <c r="BM360" s="34"/>
      <c r="BN360" s="34"/>
      <c r="BO360" s="34"/>
      <c r="BP360" s="34"/>
      <c r="BY360" s="34"/>
      <c r="BZ360" s="34"/>
      <c r="CA360" s="34"/>
      <c r="CB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</row>
    <row r="361" ht="15.75" customHeight="1">
      <c r="B361" s="34"/>
      <c r="E361" s="34"/>
      <c r="F361" s="34"/>
      <c r="G361" s="34"/>
      <c r="H361" s="34"/>
      <c r="I361" s="34"/>
      <c r="J361" s="34"/>
      <c r="K361" s="34"/>
      <c r="L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AA361" s="34"/>
      <c r="AB361" s="34"/>
      <c r="AC361" s="34"/>
      <c r="AD361" s="34"/>
      <c r="AE361" s="34"/>
      <c r="AF361" s="34"/>
      <c r="AG361" s="34"/>
      <c r="AH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I361" s="34"/>
      <c r="BJ361" s="34"/>
      <c r="BK361" s="34"/>
      <c r="BL361" s="34"/>
      <c r="BM361" s="34"/>
      <c r="BN361" s="34"/>
      <c r="BO361" s="34"/>
      <c r="BP361" s="34"/>
      <c r="BY361" s="34"/>
      <c r="BZ361" s="34"/>
      <c r="CA361" s="34"/>
      <c r="CB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</row>
    <row r="362" ht="15.75" customHeight="1">
      <c r="B362" s="34"/>
      <c r="E362" s="34"/>
      <c r="F362" s="34"/>
      <c r="G362" s="34"/>
      <c r="H362" s="34"/>
      <c r="I362" s="34"/>
      <c r="J362" s="34"/>
      <c r="K362" s="34"/>
      <c r="L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AA362" s="34"/>
      <c r="AB362" s="34"/>
      <c r="AC362" s="34"/>
      <c r="AD362" s="34"/>
      <c r="AE362" s="34"/>
      <c r="AF362" s="34"/>
      <c r="AG362" s="34"/>
      <c r="AH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I362" s="34"/>
      <c r="BJ362" s="34"/>
      <c r="BK362" s="34"/>
      <c r="BL362" s="34"/>
      <c r="BM362" s="34"/>
      <c r="BN362" s="34"/>
      <c r="BO362" s="34"/>
      <c r="BP362" s="34"/>
      <c r="BY362" s="34"/>
      <c r="BZ362" s="34"/>
      <c r="CA362" s="34"/>
      <c r="CB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</row>
    <row r="363" ht="15.75" customHeight="1">
      <c r="B363" s="34"/>
      <c r="E363" s="34"/>
      <c r="F363" s="34"/>
      <c r="G363" s="34"/>
      <c r="H363" s="34"/>
      <c r="I363" s="34"/>
      <c r="J363" s="34"/>
      <c r="K363" s="34"/>
      <c r="L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AA363" s="34"/>
      <c r="AB363" s="34"/>
      <c r="AC363" s="34"/>
      <c r="AD363" s="34"/>
      <c r="AE363" s="34"/>
      <c r="AF363" s="34"/>
      <c r="AG363" s="34"/>
      <c r="AH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I363" s="34"/>
      <c r="BJ363" s="34"/>
      <c r="BK363" s="34"/>
      <c r="BL363" s="34"/>
      <c r="BM363" s="34"/>
      <c r="BN363" s="34"/>
      <c r="BO363" s="34"/>
      <c r="BP363" s="34"/>
      <c r="BY363" s="34"/>
      <c r="BZ363" s="34"/>
      <c r="CA363" s="34"/>
      <c r="CB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</row>
    <row r="364" ht="15.75" customHeight="1">
      <c r="B364" s="34"/>
      <c r="E364" s="34"/>
      <c r="F364" s="34"/>
      <c r="G364" s="34"/>
      <c r="H364" s="34"/>
      <c r="I364" s="34"/>
      <c r="J364" s="34"/>
      <c r="K364" s="34"/>
      <c r="L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AA364" s="34"/>
      <c r="AB364" s="34"/>
      <c r="AC364" s="34"/>
      <c r="AD364" s="34"/>
      <c r="AE364" s="34"/>
      <c r="AF364" s="34"/>
      <c r="AG364" s="34"/>
      <c r="AH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I364" s="34"/>
      <c r="BJ364" s="34"/>
      <c r="BK364" s="34"/>
      <c r="BL364" s="34"/>
      <c r="BM364" s="34"/>
      <c r="BN364" s="34"/>
      <c r="BO364" s="34"/>
      <c r="BP364" s="34"/>
      <c r="BY364" s="34"/>
      <c r="BZ364" s="34"/>
      <c r="CA364" s="34"/>
      <c r="CB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</row>
    <row r="365" ht="15.75" customHeight="1">
      <c r="B365" s="34"/>
      <c r="E365" s="34"/>
      <c r="F365" s="34"/>
      <c r="G365" s="34"/>
      <c r="H365" s="34"/>
      <c r="I365" s="34"/>
      <c r="J365" s="34"/>
      <c r="K365" s="34"/>
      <c r="L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AA365" s="34"/>
      <c r="AB365" s="34"/>
      <c r="AC365" s="34"/>
      <c r="AD365" s="34"/>
      <c r="AE365" s="34"/>
      <c r="AF365" s="34"/>
      <c r="AG365" s="34"/>
      <c r="AH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I365" s="34"/>
      <c r="BJ365" s="34"/>
      <c r="BK365" s="34"/>
      <c r="BL365" s="34"/>
      <c r="BM365" s="34"/>
      <c r="BN365" s="34"/>
      <c r="BO365" s="34"/>
      <c r="BP365" s="34"/>
      <c r="BY365" s="34"/>
      <c r="BZ365" s="34"/>
      <c r="CA365" s="34"/>
      <c r="CB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</row>
    <row r="366" ht="15.75" customHeight="1">
      <c r="B366" s="34"/>
      <c r="E366" s="34"/>
      <c r="F366" s="34"/>
      <c r="G366" s="34"/>
      <c r="H366" s="34"/>
      <c r="I366" s="34"/>
      <c r="J366" s="34"/>
      <c r="K366" s="34"/>
      <c r="L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AA366" s="34"/>
      <c r="AB366" s="34"/>
      <c r="AC366" s="34"/>
      <c r="AD366" s="34"/>
      <c r="AE366" s="34"/>
      <c r="AF366" s="34"/>
      <c r="AG366" s="34"/>
      <c r="AH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I366" s="34"/>
      <c r="BJ366" s="34"/>
      <c r="BK366" s="34"/>
      <c r="BL366" s="34"/>
      <c r="BM366" s="34"/>
      <c r="BN366" s="34"/>
      <c r="BO366" s="34"/>
      <c r="BP366" s="34"/>
      <c r="BY366" s="34"/>
      <c r="BZ366" s="34"/>
      <c r="CA366" s="34"/>
      <c r="CB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</row>
    <row r="367" ht="15.75" customHeight="1">
      <c r="B367" s="34"/>
      <c r="E367" s="34"/>
      <c r="F367" s="34"/>
      <c r="G367" s="34"/>
      <c r="H367" s="34"/>
      <c r="I367" s="34"/>
      <c r="J367" s="34"/>
      <c r="K367" s="34"/>
      <c r="L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AA367" s="34"/>
      <c r="AB367" s="34"/>
      <c r="AC367" s="34"/>
      <c r="AD367" s="34"/>
      <c r="AE367" s="34"/>
      <c r="AF367" s="34"/>
      <c r="AG367" s="34"/>
      <c r="AH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I367" s="34"/>
      <c r="BJ367" s="34"/>
      <c r="BK367" s="34"/>
      <c r="BL367" s="34"/>
      <c r="BM367" s="34"/>
      <c r="BN367" s="34"/>
      <c r="BO367" s="34"/>
      <c r="BP367" s="34"/>
      <c r="BY367" s="34"/>
      <c r="BZ367" s="34"/>
      <c r="CA367" s="34"/>
      <c r="CB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</row>
    <row r="368" ht="15.75" customHeight="1">
      <c r="B368" s="34"/>
      <c r="E368" s="34"/>
      <c r="F368" s="34"/>
      <c r="G368" s="34"/>
      <c r="H368" s="34"/>
      <c r="I368" s="34"/>
      <c r="J368" s="34"/>
      <c r="K368" s="34"/>
      <c r="L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AA368" s="34"/>
      <c r="AB368" s="34"/>
      <c r="AC368" s="34"/>
      <c r="AD368" s="34"/>
      <c r="AE368" s="34"/>
      <c r="AF368" s="34"/>
      <c r="AG368" s="34"/>
      <c r="AH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I368" s="34"/>
      <c r="BJ368" s="34"/>
      <c r="BK368" s="34"/>
      <c r="BL368" s="34"/>
      <c r="BM368" s="34"/>
      <c r="BN368" s="34"/>
      <c r="BO368" s="34"/>
      <c r="BP368" s="34"/>
      <c r="BY368" s="34"/>
      <c r="BZ368" s="34"/>
      <c r="CA368" s="34"/>
      <c r="CB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</row>
    <row r="369" ht="15.75" customHeight="1">
      <c r="B369" s="34"/>
      <c r="E369" s="34"/>
      <c r="F369" s="34"/>
      <c r="G369" s="34"/>
      <c r="H369" s="34"/>
      <c r="I369" s="34"/>
      <c r="J369" s="34"/>
      <c r="K369" s="34"/>
      <c r="L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AA369" s="34"/>
      <c r="AB369" s="34"/>
      <c r="AC369" s="34"/>
      <c r="AD369" s="34"/>
      <c r="AE369" s="34"/>
      <c r="AF369" s="34"/>
      <c r="AG369" s="34"/>
      <c r="AH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I369" s="34"/>
      <c r="BJ369" s="34"/>
      <c r="BK369" s="34"/>
      <c r="BL369" s="34"/>
      <c r="BM369" s="34"/>
      <c r="BN369" s="34"/>
      <c r="BO369" s="34"/>
      <c r="BP369" s="34"/>
      <c r="BY369" s="34"/>
      <c r="BZ369" s="34"/>
      <c r="CA369" s="34"/>
      <c r="CB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</row>
    <row r="370" ht="15.75" customHeight="1">
      <c r="B370" s="34"/>
      <c r="E370" s="34"/>
      <c r="F370" s="34"/>
      <c r="G370" s="34"/>
      <c r="H370" s="34"/>
      <c r="I370" s="34"/>
      <c r="J370" s="34"/>
      <c r="K370" s="34"/>
      <c r="L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AA370" s="34"/>
      <c r="AB370" s="34"/>
      <c r="AC370" s="34"/>
      <c r="AD370" s="34"/>
      <c r="AE370" s="34"/>
      <c r="AF370" s="34"/>
      <c r="AG370" s="34"/>
      <c r="AH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I370" s="34"/>
      <c r="BJ370" s="34"/>
      <c r="BK370" s="34"/>
      <c r="BL370" s="34"/>
      <c r="BM370" s="34"/>
      <c r="BN370" s="34"/>
      <c r="BO370" s="34"/>
      <c r="BP370" s="34"/>
      <c r="BY370" s="34"/>
      <c r="BZ370" s="34"/>
      <c r="CA370" s="34"/>
      <c r="CB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</row>
    <row r="371" ht="15.75" customHeight="1">
      <c r="B371" s="34"/>
      <c r="E371" s="34"/>
      <c r="F371" s="34"/>
      <c r="G371" s="34"/>
      <c r="H371" s="34"/>
      <c r="I371" s="34"/>
      <c r="J371" s="34"/>
      <c r="K371" s="34"/>
      <c r="L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AA371" s="34"/>
      <c r="AB371" s="34"/>
      <c r="AC371" s="34"/>
      <c r="AD371" s="34"/>
      <c r="AE371" s="34"/>
      <c r="AF371" s="34"/>
      <c r="AG371" s="34"/>
      <c r="AH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I371" s="34"/>
      <c r="BJ371" s="34"/>
      <c r="BK371" s="34"/>
      <c r="BL371" s="34"/>
      <c r="BM371" s="34"/>
      <c r="BN371" s="34"/>
      <c r="BO371" s="34"/>
      <c r="BP371" s="34"/>
      <c r="BY371" s="34"/>
      <c r="BZ371" s="34"/>
      <c r="CA371" s="34"/>
      <c r="CB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</row>
    <row r="372" ht="15.75" customHeight="1">
      <c r="B372" s="34"/>
      <c r="E372" s="34"/>
      <c r="F372" s="34"/>
      <c r="G372" s="34"/>
      <c r="H372" s="34"/>
      <c r="I372" s="34"/>
      <c r="J372" s="34"/>
      <c r="K372" s="34"/>
      <c r="L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AA372" s="34"/>
      <c r="AB372" s="34"/>
      <c r="AC372" s="34"/>
      <c r="AD372" s="34"/>
      <c r="AE372" s="34"/>
      <c r="AF372" s="34"/>
      <c r="AG372" s="34"/>
      <c r="AH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I372" s="34"/>
      <c r="BJ372" s="34"/>
      <c r="BK372" s="34"/>
      <c r="BL372" s="34"/>
      <c r="BM372" s="34"/>
      <c r="BN372" s="34"/>
      <c r="BO372" s="34"/>
      <c r="BP372" s="34"/>
      <c r="BY372" s="34"/>
      <c r="BZ372" s="34"/>
      <c r="CA372" s="34"/>
      <c r="CB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</row>
    <row r="373" ht="15.75" customHeight="1">
      <c r="B373" s="34"/>
      <c r="E373" s="34"/>
      <c r="F373" s="34"/>
      <c r="G373" s="34"/>
      <c r="H373" s="34"/>
      <c r="I373" s="34"/>
      <c r="J373" s="34"/>
      <c r="K373" s="34"/>
      <c r="L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AA373" s="34"/>
      <c r="AB373" s="34"/>
      <c r="AC373" s="34"/>
      <c r="AD373" s="34"/>
      <c r="AE373" s="34"/>
      <c r="AF373" s="34"/>
      <c r="AG373" s="34"/>
      <c r="AH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I373" s="34"/>
      <c r="BJ373" s="34"/>
      <c r="BK373" s="34"/>
      <c r="BL373" s="34"/>
      <c r="BM373" s="34"/>
      <c r="BN373" s="34"/>
      <c r="BO373" s="34"/>
      <c r="BP373" s="34"/>
      <c r="BY373" s="34"/>
      <c r="BZ373" s="34"/>
      <c r="CA373" s="34"/>
      <c r="CB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</row>
    <row r="374" ht="15.75" customHeight="1">
      <c r="B374" s="34"/>
      <c r="E374" s="34"/>
      <c r="F374" s="34"/>
      <c r="G374" s="34"/>
      <c r="H374" s="34"/>
      <c r="I374" s="34"/>
      <c r="J374" s="34"/>
      <c r="K374" s="34"/>
      <c r="L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AA374" s="34"/>
      <c r="AB374" s="34"/>
      <c r="AC374" s="34"/>
      <c r="AD374" s="34"/>
      <c r="AE374" s="34"/>
      <c r="AF374" s="34"/>
      <c r="AG374" s="34"/>
      <c r="AH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I374" s="34"/>
      <c r="BJ374" s="34"/>
      <c r="BK374" s="34"/>
      <c r="BL374" s="34"/>
      <c r="BM374" s="34"/>
      <c r="BN374" s="34"/>
      <c r="BO374" s="34"/>
      <c r="BP374" s="34"/>
      <c r="BY374" s="34"/>
      <c r="BZ374" s="34"/>
      <c r="CA374" s="34"/>
      <c r="CB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</row>
    <row r="375" ht="15.75" customHeight="1">
      <c r="B375" s="34"/>
      <c r="E375" s="34"/>
      <c r="F375" s="34"/>
      <c r="G375" s="34"/>
      <c r="H375" s="34"/>
      <c r="I375" s="34"/>
      <c r="J375" s="34"/>
      <c r="K375" s="34"/>
      <c r="L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AA375" s="34"/>
      <c r="AB375" s="34"/>
      <c r="AC375" s="34"/>
      <c r="AD375" s="34"/>
      <c r="AE375" s="34"/>
      <c r="AF375" s="34"/>
      <c r="AG375" s="34"/>
      <c r="AH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I375" s="34"/>
      <c r="BJ375" s="34"/>
      <c r="BK375" s="34"/>
      <c r="BL375" s="34"/>
      <c r="BM375" s="34"/>
      <c r="BN375" s="34"/>
      <c r="BO375" s="34"/>
      <c r="BP375" s="34"/>
      <c r="BY375" s="34"/>
      <c r="BZ375" s="34"/>
      <c r="CA375" s="34"/>
      <c r="CB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</row>
    <row r="376" ht="15.75" customHeight="1">
      <c r="B376" s="34"/>
      <c r="E376" s="34"/>
      <c r="F376" s="34"/>
      <c r="G376" s="34"/>
      <c r="H376" s="34"/>
      <c r="I376" s="34"/>
      <c r="J376" s="34"/>
      <c r="K376" s="34"/>
      <c r="L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AA376" s="34"/>
      <c r="AB376" s="34"/>
      <c r="AC376" s="34"/>
      <c r="AD376" s="34"/>
      <c r="AE376" s="34"/>
      <c r="AF376" s="34"/>
      <c r="AG376" s="34"/>
      <c r="AH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I376" s="34"/>
      <c r="BJ376" s="34"/>
      <c r="BK376" s="34"/>
      <c r="BL376" s="34"/>
      <c r="BM376" s="34"/>
      <c r="BN376" s="34"/>
      <c r="BO376" s="34"/>
      <c r="BP376" s="34"/>
      <c r="BY376" s="34"/>
      <c r="BZ376" s="34"/>
      <c r="CA376" s="34"/>
      <c r="CB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</row>
    <row r="377" ht="15.75" customHeight="1">
      <c r="B377" s="34"/>
      <c r="E377" s="34"/>
      <c r="F377" s="34"/>
      <c r="G377" s="34"/>
      <c r="H377" s="34"/>
      <c r="I377" s="34"/>
      <c r="J377" s="34"/>
      <c r="K377" s="34"/>
      <c r="L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AA377" s="34"/>
      <c r="AB377" s="34"/>
      <c r="AC377" s="34"/>
      <c r="AD377" s="34"/>
      <c r="AE377" s="34"/>
      <c r="AF377" s="34"/>
      <c r="AG377" s="34"/>
      <c r="AH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I377" s="34"/>
      <c r="BJ377" s="34"/>
      <c r="BK377" s="34"/>
      <c r="BL377" s="34"/>
      <c r="BM377" s="34"/>
      <c r="BN377" s="34"/>
      <c r="BO377" s="34"/>
      <c r="BP377" s="34"/>
      <c r="BY377" s="34"/>
      <c r="BZ377" s="34"/>
      <c r="CA377" s="34"/>
      <c r="CB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</row>
    <row r="378" ht="15.75" customHeight="1">
      <c r="B378" s="34"/>
      <c r="E378" s="34"/>
      <c r="F378" s="34"/>
      <c r="G378" s="34"/>
      <c r="H378" s="34"/>
      <c r="I378" s="34"/>
      <c r="J378" s="34"/>
      <c r="K378" s="34"/>
      <c r="L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AA378" s="34"/>
      <c r="AB378" s="34"/>
      <c r="AC378" s="34"/>
      <c r="AD378" s="34"/>
      <c r="AE378" s="34"/>
      <c r="AF378" s="34"/>
      <c r="AG378" s="34"/>
      <c r="AH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I378" s="34"/>
      <c r="BJ378" s="34"/>
      <c r="BK378" s="34"/>
      <c r="BL378" s="34"/>
      <c r="BM378" s="34"/>
      <c r="BN378" s="34"/>
      <c r="BO378" s="34"/>
      <c r="BP378" s="34"/>
      <c r="BY378" s="34"/>
      <c r="BZ378" s="34"/>
      <c r="CA378" s="34"/>
      <c r="CB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</row>
    <row r="379" ht="15.75" customHeight="1">
      <c r="B379" s="34"/>
      <c r="E379" s="34"/>
      <c r="F379" s="34"/>
      <c r="G379" s="34"/>
      <c r="H379" s="34"/>
      <c r="I379" s="34"/>
      <c r="J379" s="34"/>
      <c r="K379" s="34"/>
      <c r="L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AA379" s="34"/>
      <c r="AB379" s="34"/>
      <c r="AC379" s="34"/>
      <c r="AD379" s="34"/>
      <c r="AE379" s="34"/>
      <c r="AF379" s="34"/>
      <c r="AG379" s="34"/>
      <c r="AH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I379" s="34"/>
      <c r="BJ379" s="34"/>
      <c r="BK379" s="34"/>
      <c r="BL379" s="34"/>
      <c r="BM379" s="34"/>
      <c r="BN379" s="34"/>
      <c r="BO379" s="34"/>
      <c r="BP379" s="34"/>
      <c r="BY379" s="34"/>
      <c r="BZ379" s="34"/>
      <c r="CA379" s="34"/>
      <c r="CB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</row>
    <row r="380" ht="15.75" customHeight="1">
      <c r="B380" s="34"/>
      <c r="E380" s="34"/>
      <c r="F380" s="34"/>
      <c r="G380" s="34"/>
      <c r="H380" s="34"/>
      <c r="I380" s="34"/>
      <c r="J380" s="34"/>
      <c r="K380" s="34"/>
      <c r="L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AA380" s="34"/>
      <c r="AB380" s="34"/>
      <c r="AC380" s="34"/>
      <c r="AD380" s="34"/>
      <c r="AE380" s="34"/>
      <c r="AF380" s="34"/>
      <c r="AG380" s="34"/>
      <c r="AH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I380" s="34"/>
      <c r="BJ380" s="34"/>
      <c r="BK380" s="34"/>
      <c r="BL380" s="34"/>
      <c r="BM380" s="34"/>
      <c r="BN380" s="34"/>
      <c r="BO380" s="34"/>
      <c r="BP380" s="34"/>
      <c r="BY380" s="34"/>
      <c r="BZ380" s="34"/>
      <c r="CA380" s="34"/>
      <c r="CB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</row>
    <row r="381" ht="15.75" customHeight="1">
      <c r="B381" s="34"/>
      <c r="E381" s="34"/>
      <c r="F381" s="34"/>
      <c r="G381" s="34"/>
      <c r="H381" s="34"/>
      <c r="I381" s="34"/>
      <c r="J381" s="34"/>
      <c r="K381" s="34"/>
      <c r="L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AA381" s="34"/>
      <c r="AB381" s="34"/>
      <c r="AC381" s="34"/>
      <c r="AD381" s="34"/>
      <c r="AE381" s="34"/>
      <c r="AF381" s="34"/>
      <c r="AG381" s="34"/>
      <c r="AH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I381" s="34"/>
      <c r="BJ381" s="34"/>
      <c r="BK381" s="34"/>
      <c r="BL381" s="34"/>
      <c r="BM381" s="34"/>
      <c r="BN381" s="34"/>
      <c r="BO381" s="34"/>
      <c r="BP381" s="34"/>
      <c r="BY381" s="34"/>
      <c r="BZ381" s="34"/>
      <c r="CA381" s="34"/>
      <c r="CB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</row>
    <row r="382" ht="15.75" customHeight="1">
      <c r="B382" s="34"/>
      <c r="E382" s="34"/>
      <c r="F382" s="34"/>
      <c r="G382" s="34"/>
      <c r="H382" s="34"/>
      <c r="I382" s="34"/>
      <c r="J382" s="34"/>
      <c r="K382" s="34"/>
      <c r="L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AA382" s="34"/>
      <c r="AB382" s="34"/>
      <c r="AC382" s="34"/>
      <c r="AD382" s="34"/>
      <c r="AE382" s="34"/>
      <c r="AF382" s="34"/>
      <c r="AG382" s="34"/>
      <c r="AH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I382" s="34"/>
      <c r="BJ382" s="34"/>
      <c r="BK382" s="34"/>
      <c r="BL382" s="34"/>
      <c r="BM382" s="34"/>
      <c r="BN382" s="34"/>
      <c r="BO382" s="34"/>
      <c r="BP382" s="34"/>
      <c r="BY382" s="34"/>
      <c r="BZ382" s="34"/>
      <c r="CA382" s="34"/>
      <c r="CB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</row>
    <row r="383" ht="15.75" customHeight="1">
      <c r="B383" s="34"/>
      <c r="E383" s="34"/>
      <c r="F383" s="34"/>
      <c r="G383" s="34"/>
      <c r="H383" s="34"/>
      <c r="I383" s="34"/>
      <c r="J383" s="34"/>
      <c r="K383" s="34"/>
      <c r="L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AA383" s="34"/>
      <c r="AB383" s="34"/>
      <c r="AC383" s="34"/>
      <c r="AD383" s="34"/>
      <c r="AE383" s="34"/>
      <c r="AF383" s="34"/>
      <c r="AG383" s="34"/>
      <c r="AH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I383" s="34"/>
      <c r="BJ383" s="34"/>
      <c r="BK383" s="34"/>
      <c r="BL383" s="34"/>
      <c r="BM383" s="34"/>
      <c r="BN383" s="34"/>
      <c r="BO383" s="34"/>
      <c r="BP383" s="34"/>
      <c r="BY383" s="34"/>
      <c r="BZ383" s="34"/>
      <c r="CA383" s="34"/>
      <c r="CB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</row>
    <row r="384" ht="15.75" customHeight="1">
      <c r="B384" s="34"/>
      <c r="E384" s="34"/>
      <c r="F384" s="34"/>
      <c r="G384" s="34"/>
      <c r="H384" s="34"/>
      <c r="I384" s="34"/>
      <c r="J384" s="34"/>
      <c r="K384" s="34"/>
      <c r="L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AA384" s="34"/>
      <c r="AB384" s="34"/>
      <c r="AC384" s="34"/>
      <c r="AD384" s="34"/>
      <c r="AE384" s="34"/>
      <c r="AF384" s="34"/>
      <c r="AG384" s="34"/>
      <c r="AH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I384" s="34"/>
      <c r="BJ384" s="34"/>
      <c r="BK384" s="34"/>
      <c r="BL384" s="34"/>
      <c r="BM384" s="34"/>
      <c r="BN384" s="34"/>
      <c r="BO384" s="34"/>
      <c r="BP384" s="34"/>
      <c r="BY384" s="34"/>
      <c r="BZ384" s="34"/>
      <c r="CA384" s="34"/>
      <c r="CB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</row>
    <row r="385" ht="15.75" customHeight="1">
      <c r="B385" s="34"/>
      <c r="E385" s="34"/>
      <c r="F385" s="34"/>
      <c r="G385" s="34"/>
      <c r="H385" s="34"/>
      <c r="I385" s="34"/>
      <c r="J385" s="34"/>
      <c r="K385" s="34"/>
      <c r="L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AA385" s="34"/>
      <c r="AB385" s="34"/>
      <c r="AC385" s="34"/>
      <c r="AD385" s="34"/>
      <c r="AE385" s="34"/>
      <c r="AF385" s="34"/>
      <c r="AG385" s="34"/>
      <c r="AH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I385" s="34"/>
      <c r="BJ385" s="34"/>
      <c r="BK385" s="34"/>
      <c r="BL385" s="34"/>
      <c r="BM385" s="34"/>
      <c r="BN385" s="34"/>
      <c r="BO385" s="34"/>
      <c r="BP385" s="34"/>
      <c r="BY385" s="34"/>
      <c r="BZ385" s="34"/>
      <c r="CA385" s="34"/>
      <c r="CB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</row>
    <row r="386" ht="15.75" customHeight="1">
      <c r="B386" s="34"/>
      <c r="E386" s="34"/>
      <c r="F386" s="34"/>
      <c r="G386" s="34"/>
      <c r="H386" s="34"/>
      <c r="I386" s="34"/>
      <c r="J386" s="34"/>
      <c r="K386" s="34"/>
      <c r="L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AA386" s="34"/>
      <c r="AB386" s="34"/>
      <c r="AC386" s="34"/>
      <c r="AD386" s="34"/>
      <c r="AE386" s="34"/>
      <c r="AF386" s="34"/>
      <c r="AG386" s="34"/>
      <c r="AH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I386" s="34"/>
      <c r="BJ386" s="34"/>
      <c r="BK386" s="34"/>
      <c r="BL386" s="34"/>
      <c r="BM386" s="34"/>
      <c r="BN386" s="34"/>
      <c r="BO386" s="34"/>
      <c r="BP386" s="34"/>
      <c r="BY386" s="34"/>
      <c r="BZ386" s="34"/>
      <c r="CA386" s="34"/>
      <c r="CB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</row>
    <row r="387" ht="15.75" customHeight="1">
      <c r="B387" s="34"/>
      <c r="E387" s="34"/>
      <c r="F387" s="34"/>
      <c r="G387" s="34"/>
      <c r="H387" s="34"/>
      <c r="I387" s="34"/>
      <c r="J387" s="34"/>
      <c r="K387" s="34"/>
      <c r="L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AA387" s="34"/>
      <c r="AB387" s="34"/>
      <c r="AC387" s="34"/>
      <c r="AD387" s="34"/>
      <c r="AE387" s="34"/>
      <c r="AF387" s="34"/>
      <c r="AG387" s="34"/>
      <c r="AH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I387" s="34"/>
      <c r="BJ387" s="34"/>
      <c r="BK387" s="34"/>
      <c r="BL387" s="34"/>
      <c r="BM387" s="34"/>
      <c r="BN387" s="34"/>
      <c r="BO387" s="34"/>
      <c r="BP387" s="34"/>
      <c r="BY387" s="34"/>
      <c r="BZ387" s="34"/>
      <c r="CA387" s="34"/>
      <c r="CB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</row>
    <row r="388" ht="15.75" customHeight="1">
      <c r="B388" s="34"/>
      <c r="E388" s="34"/>
      <c r="F388" s="34"/>
      <c r="G388" s="34"/>
      <c r="H388" s="34"/>
      <c r="I388" s="34"/>
      <c r="J388" s="34"/>
      <c r="K388" s="34"/>
      <c r="L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AA388" s="34"/>
      <c r="AB388" s="34"/>
      <c r="AC388" s="34"/>
      <c r="AD388" s="34"/>
      <c r="AE388" s="34"/>
      <c r="AF388" s="34"/>
      <c r="AG388" s="34"/>
      <c r="AH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I388" s="34"/>
      <c r="BJ388" s="34"/>
      <c r="BK388" s="34"/>
      <c r="BL388" s="34"/>
      <c r="BM388" s="34"/>
      <c r="BN388" s="34"/>
      <c r="BO388" s="34"/>
      <c r="BP388" s="34"/>
      <c r="BY388" s="34"/>
      <c r="BZ388" s="34"/>
      <c r="CA388" s="34"/>
      <c r="CB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</row>
    <row r="389" ht="15.75" customHeight="1">
      <c r="B389" s="34"/>
      <c r="E389" s="34"/>
      <c r="F389" s="34"/>
      <c r="G389" s="34"/>
      <c r="H389" s="34"/>
      <c r="I389" s="34"/>
      <c r="J389" s="34"/>
      <c r="K389" s="34"/>
      <c r="L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AA389" s="34"/>
      <c r="AB389" s="34"/>
      <c r="AC389" s="34"/>
      <c r="AD389" s="34"/>
      <c r="AE389" s="34"/>
      <c r="AF389" s="34"/>
      <c r="AG389" s="34"/>
      <c r="AH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I389" s="34"/>
      <c r="BJ389" s="34"/>
      <c r="BK389" s="34"/>
      <c r="BL389" s="34"/>
      <c r="BM389" s="34"/>
      <c r="BN389" s="34"/>
      <c r="BO389" s="34"/>
      <c r="BP389" s="34"/>
      <c r="BY389" s="34"/>
      <c r="BZ389" s="34"/>
      <c r="CA389" s="34"/>
      <c r="CB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</row>
    <row r="390" ht="15.75" customHeight="1">
      <c r="B390" s="34"/>
      <c r="E390" s="34"/>
      <c r="F390" s="34"/>
      <c r="G390" s="34"/>
      <c r="H390" s="34"/>
      <c r="I390" s="34"/>
      <c r="J390" s="34"/>
      <c r="K390" s="34"/>
      <c r="L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AA390" s="34"/>
      <c r="AB390" s="34"/>
      <c r="AC390" s="34"/>
      <c r="AD390" s="34"/>
      <c r="AE390" s="34"/>
      <c r="AF390" s="34"/>
      <c r="AG390" s="34"/>
      <c r="AH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I390" s="34"/>
      <c r="BJ390" s="34"/>
      <c r="BK390" s="34"/>
      <c r="BL390" s="34"/>
      <c r="BM390" s="34"/>
      <c r="BN390" s="34"/>
      <c r="BO390" s="34"/>
      <c r="BP390" s="34"/>
      <c r="BY390" s="34"/>
      <c r="BZ390" s="34"/>
      <c r="CA390" s="34"/>
      <c r="CB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</row>
    <row r="391" ht="15.75" customHeight="1">
      <c r="B391" s="34"/>
      <c r="E391" s="34"/>
      <c r="F391" s="34"/>
      <c r="G391" s="34"/>
      <c r="H391" s="34"/>
      <c r="I391" s="34"/>
      <c r="J391" s="34"/>
      <c r="K391" s="34"/>
      <c r="L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AA391" s="34"/>
      <c r="AB391" s="34"/>
      <c r="AC391" s="34"/>
      <c r="AD391" s="34"/>
      <c r="AE391" s="34"/>
      <c r="AF391" s="34"/>
      <c r="AG391" s="34"/>
      <c r="AH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I391" s="34"/>
      <c r="BJ391" s="34"/>
      <c r="BK391" s="34"/>
      <c r="BL391" s="34"/>
      <c r="BM391" s="34"/>
      <c r="BN391" s="34"/>
      <c r="BO391" s="34"/>
      <c r="BP391" s="34"/>
      <c r="BY391" s="34"/>
      <c r="BZ391" s="34"/>
      <c r="CA391" s="34"/>
      <c r="CB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</row>
    <row r="392" ht="15.75" customHeight="1">
      <c r="B392" s="34"/>
      <c r="E392" s="34"/>
      <c r="F392" s="34"/>
      <c r="G392" s="34"/>
      <c r="H392" s="34"/>
      <c r="I392" s="34"/>
      <c r="J392" s="34"/>
      <c r="K392" s="34"/>
      <c r="L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AA392" s="34"/>
      <c r="AB392" s="34"/>
      <c r="AC392" s="34"/>
      <c r="AD392" s="34"/>
      <c r="AE392" s="34"/>
      <c r="AF392" s="34"/>
      <c r="AG392" s="34"/>
      <c r="AH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I392" s="34"/>
      <c r="BJ392" s="34"/>
      <c r="BK392" s="34"/>
      <c r="BL392" s="34"/>
      <c r="BM392" s="34"/>
      <c r="BN392" s="34"/>
      <c r="BO392" s="34"/>
      <c r="BP392" s="34"/>
      <c r="BY392" s="34"/>
      <c r="BZ392" s="34"/>
      <c r="CA392" s="34"/>
      <c r="CB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</row>
    <row r="393" ht="15.75" customHeight="1">
      <c r="B393" s="34"/>
      <c r="E393" s="34"/>
      <c r="F393" s="34"/>
      <c r="G393" s="34"/>
      <c r="H393" s="34"/>
      <c r="I393" s="34"/>
      <c r="J393" s="34"/>
      <c r="K393" s="34"/>
      <c r="L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AA393" s="34"/>
      <c r="AB393" s="34"/>
      <c r="AC393" s="34"/>
      <c r="AD393" s="34"/>
      <c r="AE393" s="34"/>
      <c r="AF393" s="34"/>
      <c r="AG393" s="34"/>
      <c r="AH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I393" s="34"/>
      <c r="BJ393" s="34"/>
      <c r="BK393" s="34"/>
      <c r="BL393" s="34"/>
      <c r="BM393" s="34"/>
      <c r="BN393" s="34"/>
      <c r="BO393" s="34"/>
      <c r="BP393" s="34"/>
      <c r="BY393" s="34"/>
      <c r="BZ393" s="34"/>
      <c r="CA393" s="34"/>
      <c r="CB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</row>
    <row r="394" ht="15.75" customHeight="1">
      <c r="B394" s="34"/>
      <c r="E394" s="34"/>
      <c r="F394" s="34"/>
      <c r="G394" s="34"/>
      <c r="H394" s="34"/>
      <c r="I394" s="34"/>
      <c r="J394" s="34"/>
      <c r="K394" s="34"/>
      <c r="L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AA394" s="34"/>
      <c r="AB394" s="34"/>
      <c r="AC394" s="34"/>
      <c r="AD394" s="34"/>
      <c r="AE394" s="34"/>
      <c r="AF394" s="34"/>
      <c r="AG394" s="34"/>
      <c r="AH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I394" s="34"/>
      <c r="BJ394" s="34"/>
      <c r="BK394" s="34"/>
      <c r="BL394" s="34"/>
      <c r="BM394" s="34"/>
      <c r="BN394" s="34"/>
      <c r="BO394" s="34"/>
      <c r="BP394" s="34"/>
      <c r="BY394" s="34"/>
      <c r="BZ394" s="34"/>
      <c r="CA394" s="34"/>
      <c r="CB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</row>
    <row r="395" ht="15.75" customHeight="1">
      <c r="B395" s="34"/>
      <c r="E395" s="34"/>
      <c r="F395" s="34"/>
      <c r="G395" s="34"/>
      <c r="H395" s="34"/>
      <c r="I395" s="34"/>
      <c r="J395" s="34"/>
      <c r="K395" s="34"/>
      <c r="L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AA395" s="34"/>
      <c r="AB395" s="34"/>
      <c r="AC395" s="34"/>
      <c r="AD395" s="34"/>
      <c r="AE395" s="34"/>
      <c r="AF395" s="34"/>
      <c r="AG395" s="34"/>
      <c r="AH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I395" s="34"/>
      <c r="BJ395" s="34"/>
      <c r="BK395" s="34"/>
      <c r="BL395" s="34"/>
      <c r="BM395" s="34"/>
      <c r="BN395" s="34"/>
      <c r="BO395" s="34"/>
      <c r="BP395" s="34"/>
      <c r="BY395" s="34"/>
      <c r="BZ395" s="34"/>
      <c r="CA395" s="34"/>
      <c r="CB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</row>
    <row r="396" ht="15.75" customHeight="1">
      <c r="B396" s="34"/>
      <c r="E396" s="34"/>
      <c r="F396" s="34"/>
      <c r="G396" s="34"/>
      <c r="H396" s="34"/>
      <c r="I396" s="34"/>
      <c r="J396" s="34"/>
      <c r="K396" s="34"/>
      <c r="L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AA396" s="34"/>
      <c r="AB396" s="34"/>
      <c r="AC396" s="34"/>
      <c r="AD396" s="34"/>
      <c r="AE396" s="34"/>
      <c r="AF396" s="34"/>
      <c r="AG396" s="34"/>
      <c r="AH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I396" s="34"/>
      <c r="BJ396" s="34"/>
      <c r="BK396" s="34"/>
      <c r="BL396" s="34"/>
      <c r="BM396" s="34"/>
      <c r="BN396" s="34"/>
      <c r="BO396" s="34"/>
      <c r="BP396" s="34"/>
      <c r="BY396" s="34"/>
      <c r="BZ396" s="34"/>
      <c r="CA396" s="34"/>
      <c r="CB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</row>
    <row r="397" ht="15.75" customHeight="1">
      <c r="B397" s="34"/>
      <c r="E397" s="34"/>
      <c r="F397" s="34"/>
      <c r="G397" s="34"/>
      <c r="H397" s="34"/>
      <c r="I397" s="34"/>
      <c r="J397" s="34"/>
      <c r="K397" s="34"/>
      <c r="L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AA397" s="34"/>
      <c r="AB397" s="34"/>
      <c r="AC397" s="34"/>
      <c r="AD397" s="34"/>
      <c r="AE397" s="34"/>
      <c r="AF397" s="34"/>
      <c r="AG397" s="34"/>
      <c r="AH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I397" s="34"/>
      <c r="BJ397" s="34"/>
      <c r="BK397" s="34"/>
      <c r="BL397" s="34"/>
      <c r="BM397" s="34"/>
      <c r="BN397" s="34"/>
      <c r="BO397" s="34"/>
      <c r="BP397" s="34"/>
      <c r="BY397" s="34"/>
      <c r="BZ397" s="34"/>
      <c r="CA397" s="34"/>
      <c r="CB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</row>
    <row r="398" ht="15.75" customHeight="1">
      <c r="B398" s="34"/>
      <c r="E398" s="34"/>
      <c r="F398" s="34"/>
      <c r="G398" s="34"/>
      <c r="H398" s="34"/>
      <c r="I398" s="34"/>
      <c r="J398" s="34"/>
      <c r="K398" s="34"/>
      <c r="L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AA398" s="34"/>
      <c r="AB398" s="34"/>
      <c r="AC398" s="34"/>
      <c r="AD398" s="34"/>
      <c r="AE398" s="34"/>
      <c r="AF398" s="34"/>
      <c r="AG398" s="34"/>
      <c r="AH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I398" s="34"/>
      <c r="BJ398" s="34"/>
      <c r="BK398" s="34"/>
      <c r="BL398" s="34"/>
      <c r="BM398" s="34"/>
      <c r="BN398" s="34"/>
      <c r="BO398" s="34"/>
      <c r="BP398" s="34"/>
      <c r="BY398" s="34"/>
      <c r="BZ398" s="34"/>
      <c r="CA398" s="34"/>
      <c r="CB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</row>
    <row r="399" ht="15.75" customHeight="1">
      <c r="B399" s="34"/>
      <c r="E399" s="34"/>
      <c r="F399" s="34"/>
      <c r="G399" s="34"/>
      <c r="H399" s="34"/>
      <c r="I399" s="34"/>
      <c r="J399" s="34"/>
      <c r="K399" s="34"/>
      <c r="L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AA399" s="34"/>
      <c r="AB399" s="34"/>
      <c r="AC399" s="34"/>
      <c r="AD399" s="34"/>
      <c r="AE399" s="34"/>
      <c r="AF399" s="34"/>
      <c r="AG399" s="34"/>
      <c r="AH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I399" s="34"/>
      <c r="BJ399" s="34"/>
      <c r="BK399" s="34"/>
      <c r="BL399" s="34"/>
      <c r="BM399" s="34"/>
      <c r="BN399" s="34"/>
      <c r="BO399" s="34"/>
      <c r="BP399" s="34"/>
      <c r="BY399" s="34"/>
      <c r="BZ399" s="34"/>
      <c r="CA399" s="34"/>
      <c r="CB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</row>
    <row r="400" ht="15.75" customHeight="1">
      <c r="B400" s="34"/>
      <c r="E400" s="34"/>
      <c r="F400" s="34"/>
      <c r="G400" s="34"/>
      <c r="H400" s="34"/>
      <c r="I400" s="34"/>
      <c r="J400" s="34"/>
      <c r="K400" s="34"/>
      <c r="L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AA400" s="34"/>
      <c r="AB400" s="34"/>
      <c r="AC400" s="34"/>
      <c r="AD400" s="34"/>
      <c r="AE400" s="34"/>
      <c r="AF400" s="34"/>
      <c r="AG400" s="34"/>
      <c r="AH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I400" s="34"/>
      <c r="BJ400" s="34"/>
      <c r="BK400" s="34"/>
      <c r="BL400" s="34"/>
      <c r="BM400" s="34"/>
      <c r="BN400" s="34"/>
      <c r="BO400" s="34"/>
      <c r="BP400" s="34"/>
      <c r="BY400" s="34"/>
      <c r="BZ400" s="34"/>
      <c r="CA400" s="34"/>
      <c r="CB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</row>
    <row r="401" ht="15.75" customHeight="1">
      <c r="B401" s="34"/>
      <c r="E401" s="34"/>
      <c r="F401" s="34"/>
      <c r="G401" s="34"/>
      <c r="H401" s="34"/>
      <c r="I401" s="34"/>
      <c r="J401" s="34"/>
      <c r="K401" s="34"/>
      <c r="L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AA401" s="34"/>
      <c r="AB401" s="34"/>
      <c r="AC401" s="34"/>
      <c r="AD401" s="34"/>
      <c r="AE401" s="34"/>
      <c r="AF401" s="34"/>
      <c r="AG401" s="34"/>
      <c r="AH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I401" s="34"/>
      <c r="BJ401" s="34"/>
      <c r="BK401" s="34"/>
      <c r="BL401" s="34"/>
      <c r="BM401" s="34"/>
      <c r="BN401" s="34"/>
      <c r="BO401" s="34"/>
      <c r="BP401" s="34"/>
      <c r="BY401" s="34"/>
      <c r="BZ401" s="34"/>
      <c r="CA401" s="34"/>
      <c r="CB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</row>
    <row r="402" ht="15.75" customHeight="1">
      <c r="B402" s="34"/>
      <c r="E402" s="34"/>
      <c r="F402" s="34"/>
      <c r="G402" s="34"/>
      <c r="H402" s="34"/>
      <c r="I402" s="34"/>
      <c r="J402" s="34"/>
      <c r="K402" s="34"/>
      <c r="L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AA402" s="34"/>
      <c r="AB402" s="34"/>
      <c r="AC402" s="34"/>
      <c r="AD402" s="34"/>
      <c r="AE402" s="34"/>
      <c r="AF402" s="34"/>
      <c r="AG402" s="34"/>
      <c r="AH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I402" s="34"/>
      <c r="BJ402" s="34"/>
      <c r="BK402" s="34"/>
      <c r="BL402" s="34"/>
      <c r="BM402" s="34"/>
      <c r="BN402" s="34"/>
      <c r="BO402" s="34"/>
      <c r="BP402" s="34"/>
      <c r="BY402" s="34"/>
      <c r="BZ402" s="34"/>
      <c r="CA402" s="34"/>
      <c r="CB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</row>
    <row r="403" ht="15.75" customHeight="1">
      <c r="B403" s="34"/>
      <c r="E403" s="34"/>
      <c r="F403" s="34"/>
      <c r="G403" s="34"/>
      <c r="H403" s="34"/>
      <c r="I403" s="34"/>
      <c r="J403" s="34"/>
      <c r="K403" s="34"/>
      <c r="L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AA403" s="34"/>
      <c r="AB403" s="34"/>
      <c r="AC403" s="34"/>
      <c r="AD403" s="34"/>
      <c r="AE403" s="34"/>
      <c r="AF403" s="34"/>
      <c r="AG403" s="34"/>
      <c r="AH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I403" s="34"/>
      <c r="BJ403" s="34"/>
      <c r="BK403" s="34"/>
      <c r="BL403" s="34"/>
      <c r="BM403" s="34"/>
      <c r="BN403" s="34"/>
      <c r="BO403" s="34"/>
      <c r="BP403" s="34"/>
      <c r="BY403" s="34"/>
      <c r="BZ403" s="34"/>
      <c r="CA403" s="34"/>
      <c r="CB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</row>
    <row r="404" ht="15.75" customHeight="1">
      <c r="B404" s="34"/>
      <c r="E404" s="34"/>
      <c r="F404" s="34"/>
      <c r="G404" s="34"/>
      <c r="H404" s="34"/>
      <c r="I404" s="34"/>
      <c r="J404" s="34"/>
      <c r="K404" s="34"/>
      <c r="L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AA404" s="34"/>
      <c r="AB404" s="34"/>
      <c r="AC404" s="34"/>
      <c r="AD404" s="34"/>
      <c r="AE404" s="34"/>
      <c r="AF404" s="34"/>
      <c r="AG404" s="34"/>
      <c r="AH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I404" s="34"/>
      <c r="BJ404" s="34"/>
      <c r="BK404" s="34"/>
      <c r="BL404" s="34"/>
      <c r="BM404" s="34"/>
      <c r="BN404" s="34"/>
      <c r="BO404" s="34"/>
      <c r="BP404" s="34"/>
      <c r="BY404" s="34"/>
      <c r="BZ404" s="34"/>
      <c r="CA404" s="34"/>
      <c r="CB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</row>
    <row r="405" ht="15.75" customHeight="1">
      <c r="B405" s="34"/>
      <c r="E405" s="34"/>
      <c r="F405" s="34"/>
      <c r="G405" s="34"/>
      <c r="H405" s="34"/>
      <c r="I405" s="34"/>
      <c r="J405" s="34"/>
      <c r="K405" s="34"/>
      <c r="L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AA405" s="34"/>
      <c r="AB405" s="34"/>
      <c r="AC405" s="34"/>
      <c r="AD405" s="34"/>
      <c r="AE405" s="34"/>
      <c r="AF405" s="34"/>
      <c r="AG405" s="34"/>
      <c r="AH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I405" s="34"/>
      <c r="BJ405" s="34"/>
      <c r="BK405" s="34"/>
      <c r="BL405" s="34"/>
      <c r="BM405" s="34"/>
      <c r="BN405" s="34"/>
      <c r="BO405" s="34"/>
      <c r="BP405" s="34"/>
      <c r="BY405" s="34"/>
      <c r="BZ405" s="34"/>
      <c r="CA405" s="34"/>
      <c r="CB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</row>
    <row r="406" ht="15.75" customHeight="1">
      <c r="B406" s="34"/>
      <c r="E406" s="34"/>
      <c r="F406" s="34"/>
      <c r="G406" s="34"/>
      <c r="H406" s="34"/>
      <c r="I406" s="34"/>
      <c r="J406" s="34"/>
      <c r="K406" s="34"/>
      <c r="L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AA406" s="34"/>
      <c r="AB406" s="34"/>
      <c r="AC406" s="34"/>
      <c r="AD406" s="34"/>
      <c r="AE406" s="34"/>
      <c r="AF406" s="34"/>
      <c r="AG406" s="34"/>
      <c r="AH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I406" s="34"/>
      <c r="BJ406" s="34"/>
      <c r="BK406" s="34"/>
      <c r="BL406" s="34"/>
      <c r="BM406" s="34"/>
      <c r="BN406" s="34"/>
      <c r="BO406" s="34"/>
      <c r="BP406" s="34"/>
      <c r="BY406" s="34"/>
      <c r="BZ406" s="34"/>
      <c r="CA406" s="34"/>
      <c r="CB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</row>
    <row r="407" ht="15.75" customHeight="1">
      <c r="B407" s="34"/>
      <c r="E407" s="34"/>
      <c r="F407" s="34"/>
      <c r="G407" s="34"/>
      <c r="H407" s="34"/>
      <c r="I407" s="34"/>
      <c r="J407" s="34"/>
      <c r="K407" s="34"/>
      <c r="L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AA407" s="34"/>
      <c r="AB407" s="34"/>
      <c r="AC407" s="34"/>
      <c r="AD407" s="34"/>
      <c r="AE407" s="34"/>
      <c r="AF407" s="34"/>
      <c r="AG407" s="34"/>
      <c r="AH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I407" s="34"/>
      <c r="BJ407" s="34"/>
      <c r="BK407" s="34"/>
      <c r="BL407" s="34"/>
      <c r="BM407" s="34"/>
      <c r="BN407" s="34"/>
      <c r="BO407" s="34"/>
      <c r="BP407" s="34"/>
      <c r="BY407" s="34"/>
      <c r="BZ407" s="34"/>
      <c r="CA407" s="34"/>
      <c r="CB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</row>
    <row r="408" ht="15.75" customHeight="1">
      <c r="B408" s="34"/>
      <c r="E408" s="34"/>
      <c r="F408" s="34"/>
      <c r="G408" s="34"/>
      <c r="H408" s="34"/>
      <c r="I408" s="34"/>
      <c r="J408" s="34"/>
      <c r="K408" s="34"/>
      <c r="L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AA408" s="34"/>
      <c r="AB408" s="34"/>
      <c r="AC408" s="34"/>
      <c r="AD408" s="34"/>
      <c r="AE408" s="34"/>
      <c r="AF408" s="34"/>
      <c r="AG408" s="34"/>
      <c r="AH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I408" s="34"/>
      <c r="BJ408" s="34"/>
      <c r="BK408" s="34"/>
      <c r="BL408" s="34"/>
      <c r="BM408" s="34"/>
      <c r="BN408" s="34"/>
      <c r="BO408" s="34"/>
      <c r="BP408" s="34"/>
      <c r="BY408" s="34"/>
      <c r="BZ408" s="34"/>
      <c r="CA408" s="34"/>
      <c r="CB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</row>
    <row r="409" ht="15.75" customHeight="1">
      <c r="B409" s="34"/>
      <c r="E409" s="34"/>
      <c r="F409" s="34"/>
      <c r="G409" s="34"/>
      <c r="H409" s="34"/>
      <c r="I409" s="34"/>
      <c r="J409" s="34"/>
      <c r="K409" s="34"/>
      <c r="L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AA409" s="34"/>
      <c r="AB409" s="34"/>
      <c r="AC409" s="34"/>
      <c r="AD409" s="34"/>
      <c r="AE409" s="34"/>
      <c r="AF409" s="34"/>
      <c r="AG409" s="34"/>
      <c r="AH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I409" s="34"/>
      <c r="BJ409" s="34"/>
      <c r="BK409" s="34"/>
      <c r="BL409" s="34"/>
      <c r="BM409" s="34"/>
      <c r="BN409" s="34"/>
      <c r="BO409" s="34"/>
      <c r="BP409" s="34"/>
      <c r="BY409" s="34"/>
      <c r="BZ409" s="34"/>
      <c r="CA409" s="34"/>
      <c r="CB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</row>
    <row r="410" ht="15.75" customHeight="1">
      <c r="B410" s="34"/>
      <c r="E410" s="34"/>
      <c r="F410" s="34"/>
      <c r="G410" s="34"/>
      <c r="H410" s="34"/>
      <c r="I410" s="34"/>
      <c r="J410" s="34"/>
      <c r="K410" s="34"/>
      <c r="L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AA410" s="34"/>
      <c r="AB410" s="34"/>
      <c r="AC410" s="34"/>
      <c r="AD410" s="34"/>
      <c r="AE410" s="34"/>
      <c r="AF410" s="34"/>
      <c r="AG410" s="34"/>
      <c r="AH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I410" s="34"/>
      <c r="BJ410" s="34"/>
      <c r="BK410" s="34"/>
      <c r="BL410" s="34"/>
      <c r="BM410" s="34"/>
      <c r="BN410" s="34"/>
      <c r="BO410" s="34"/>
      <c r="BP410" s="34"/>
      <c r="BY410" s="34"/>
      <c r="BZ410" s="34"/>
      <c r="CA410" s="34"/>
      <c r="CB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</row>
    <row r="411" ht="15.75" customHeight="1">
      <c r="B411" s="34"/>
      <c r="E411" s="34"/>
      <c r="F411" s="34"/>
      <c r="G411" s="34"/>
      <c r="H411" s="34"/>
      <c r="I411" s="34"/>
      <c r="J411" s="34"/>
      <c r="K411" s="34"/>
      <c r="L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AA411" s="34"/>
      <c r="AB411" s="34"/>
      <c r="AC411" s="34"/>
      <c r="AD411" s="34"/>
      <c r="AE411" s="34"/>
      <c r="AF411" s="34"/>
      <c r="AG411" s="34"/>
      <c r="AH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I411" s="34"/>
      <c r="BJ411" s="34"/>
      <c r="BK411" s="34"/>
      <c r="BL411" s="34"/>
      <c r="BM411" s="34"/>
      <c r="BN411" s="34"/>
      <c r="BO411" s="34"/>
      <c r="BP411" s="34"/>
      <c r="BY411" s="34"/>
      <c r="BZ411" s="34"/>
      <c r="CA411" s="34"/>
      <c r="CB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</row>
    <row r="412" ht="15.75" customHeight="1">
      <c r="B412" s="34"/>
      <c r="E412" s="34"/>
      <c r="F412" s="34"/>
      <c r="G412" s="34"/>
      <c r="H412" s="34"/>
      <c r="I412" s="34"/>
      <c r="J412" s="34"/>
      <c r="K412" s="34"/>
      <c r="L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AA412" s="34"/>
      <c r="AB412" s="34"/>
      <c r="AC412" s="34"/>
      <c r="AD412" s="34"/>
      <c r="AE412" s="34"/>
      <c r="AF412" s="34"/>
      <c r="AG412" s="34"/>
      <c r="AH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I412" s="34"/>
      <c r="BJ412" s="34"/>
      <c r="BK412" s="34"/>
      <c r="BL412" s="34"/>
      <c r="BM412" s="34"/>
      <c r="BN412" s="34"/>
      <c r="BO412" s="34"/>
      <c r="BP412" s="34"/>
      <c r="BY412" s="34"/>
      <c r="BZ412" s="34"/>
      <c r="CA412" s="34"/>
      <c r="CB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</row>
    <row r="413" ht="15.75" customHeight="1">
      <c r="B413" s="34"/>
      <c r="E413" s="34"/>
      <c r="F413" s="34"/>
      <c r="G413" s="34"/>
      <c r="H413" s="34"/>
      <c r="I413" s="34"/>
      <c r="J413" s="34"/>
      <c r="K413" s="34"/>
      <c r="L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AA413" s="34"/>
      <c r="AB413" s="34"/>
      <c r="AC413" s="34"/>
      <c r="AD413" s="34"/>
      <c r="AE413" s="34"/>
      <c r="AF413" s="34"/>
      <c r="AG413" s="34"/>
      <c r="AH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I413" s="34"/>
      <c r="BJ413" s="34"/>
      <c r="BK413" s="34"/>
      <c r="BL413" s="34"/>
      <c r="BM413" s="34"/>
      <c r="BN413" s="34"/>
      <c r="BO413" s="34"/>
      <c r="BP413" s="34"/>
      <c r="BY413" s="34"/>
      <c r="BZ413" s="34"/>
      <c r="CA413" s="34"/>
      <c r="CB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</row>
    <row r="414" ht="15.75" customHeight="1">
      <c r="B414" s="34"/>
      <c r="E414" s="34"/>
      <c r="F414" s="34"/>
      <c r="G414" s="34"/>
      <c r="H414" s="34"/>
      <c r="I414" s="34"/>
      <c r="J414" s="34"/>
      <c r="K414" s="34"/>
      <c r="L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AA414" s="34"/>
      <c r="AB414" s="34"/>
      <c r="AC414" s="34"/>
      <c r="AD414" s="34"/>
      <c r="AE414" s="34"/>
      <c r="AF414" s="34"/>
      <c r="AG414" s="34"/>
      <c r="AH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I414" s="34"/>
      <c r="BJ414" s="34"/>
      <c r="BK414" s="34"/>
      <c r="BL414" s="34"/>
      <c r="BM414" s="34"/>
      <c r="BN414" s="34"/>
      <c r="BO414" s="34"/>
      <c r="BP414" s="34"/>
      <c r="BY414" s="34"/>
      <c r="BZ414" s="34"/>
      <c r="CA414" s="34"/>
      <c r="CB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</row>
    <row r="415" ht="15.75" customHeight="1">
      <c r="B415" s="34"/>
      <c r="E415" s="34"/>
      <c r="F415" s="34"/>
      <c r="G415" s="34"/>
      <c r="H415" s="34"/>
      <c r="I415" s="34"/>
      <c r="J415" s="34"/>
      <c r="K415" s="34"/>
      <c r="L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AA415" s="34"/>
      <c r="AB415" s="34"/>
      <c r="AC415" s="34"/>
      <c r="AD415" s="34"/>
      <c r="AE415" s="34"/>
      <c r="AF415" s="34"/>
      <c r="AG415" s="34"/>
      <c r="AH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I415" s="34"/>
      <c r="BJ415" s="34"/>
      <c r="BK415" s="34"/>
      <c r="BL415" s="34"/>
      <c r="BM415" s="34"/>
      <c r="BN415" s="34"/>
      <c r="BO415" s="34"/>
      <c r="BP415" s="34"/>
      <c r="BY415" s="34"/>
      <c r="BZ415" s="34"/>
      <c r="CA415" s="34"/>
      <c r="CB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</row>
    <row r="416" ht="15.75" customHeight="1">
      <c r="B416" s="34"/>
      <c r="E416" s="34"/>
      <c r="F416" s="34"/>
      <c r="G416" s="34"/>
      <c r="H416" s="34"/>
      <c r="I416" s="34"/>
      <c r="J416" s="34"/>
      <c r="K416" s="34"/>
      <c r="L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AA416" s="34"/>
      <c r="AB416" s="34"/>
      <c r="AC416" s="34"/>
      <c r="AD416" s="34"/>
      <c r="AE416" s="34"/>
      <c r="AF416" s="34"/>
      <c r="AG416" s="34"/>
      <c r="AH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I416" s="34"/>
      <c r="BJ416" s="34"/>
      <c r="BK416" s="34"/>
      <c r="BL416" s="34"/>
      <c r="BM416" s="34"/>
      <c r="BN416" s="34"/>
      <c r="BO416" s="34"/>
      <c r="BP416" s="34"/>
      <c r="BY416" s="34"/>
      <c r="BZ416" s="34"/>
      <c r="CA416" s="34"/>
      <c r="CB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</row>
    <row r="417" ht="15.75" customHeight="1">
      <c r="B417" s="34"/>
      <c r="E417" s="34"/>
      <c r="F417" s="34"/>
      <c r="G417" s="34"/>
      <c r="H417" s="34"/>
      <c r="I417" s="34"/>
      <c r="J417" s="34"/>
      <c r="K417" s="34"/>
      <c r="L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AA417" s="34"/>
      <c r="AB417" s="34"/>
      <c r="AC417" s="34"/>
      <c r="AD417" s="34"/>
      <c r="AE417" s="34"/>
      <c r="AF417" s="34"/>
      <c r="AG417" s="34"/>
      <c r="AH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I417" s="34"/>
      <c r="BJ417" s="34"/>
      <c r="BK417" s="34"/>
      <c r="BL417" s="34"/>
      <c r="BM417" s="34"/>
      <c r="BN417" s="34"/>
      <c r="BO417" s="34"/>
      <c r="BP417" s="34"/>
      <c r="BY417" s="34"/>
      <c r="BZ417" s="34"/>
      <c r="CA417" s="34"/>
      <c r="CB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</row>
    <row r="418" ht="15.75" customHeight="1">
      <c r="B418" s="34"/>
      <c r="E418" s="34"/>
      <c r="F418" s="34"/>
      <c r="G418" s="34"/>
      <c r="H418" s="34"/>
      <c r="I418" s="34"/>
      <c r="J418" s="34"/>
      <c r="K418" s="34"/>
      <c r="L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AA418" s="34"/>
      <c r="AB418" s="34"/>
      <c r="AC418" s="34"/>
      <c r="AD418" s="34"/>
      <c r="AE418" s="34"/>
      <c r="AF418" s="34"/>
      <c r="AG418" s="34"/>
      <c r="AH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I418" s="34"/>
      <c r="BJ418" s="34"/>
      <c r="BK418" s="34"/>
      <c r="BL418" s="34"/>
      <c r="BM418" s="34"/>
      <c r="BN418" s="34"/>
      <c r="BO418" s="34"/>
      <c r="BP418" s="34"/>
      <c r="BY418" s="34"/>
      <c r="BZ418" s="34"/>
      <c r="CA418" s="34"/>
      <c r="CB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</row>
    <row r="419" ht="15.75" customHeight="1">
      <c r="B419" s="34"/>
      <c r="E419" s="34"/>
      <c r="F419" s="34"/>
      <c r="G419" s="34"/>
      <c r="H419" s="34"/>
      <c r="I419" s="34"/>
      <c r="J419" s="34"/>
      <c r="K419" s="34"/>
      <c r="L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AA419" s="34"/>
      <c r="AB419" s="34"/>
      <c r="AC419" s="34"/>
      <c r="AD419" s="34"/>
      <c r="AE419" s="34"/>
      <c r="AF419" s="34"/>
      <c r="AG419" s="34"/>
      <c r="AH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I419" s="34"/>
      <c r="BJ419" s="34"/>
      <c r="BK419" s="34"/>
      <c r="BL419" s="34"/>
      <c r="BM419" s="34"/>
      <c r="BN419" s="34"/>
      <c r="BO419" s="34"/>
      <c r="BP419" s="34"/>
      <c r="BY419" s="34"/>
      <c r="BZ419" s="34"/>
      <c r="CA419" s="34"/>
      <c r="CB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</row>
    <row r="420" ht="15.75" customHeight="1">
      <c r="B420" s="34"/>
      <c r="E420" s="34"/>
      <c r="F420" s="34"/>
      <c r="G420" s="34"/>
      <c r="H420" s="34"/>
      <c r="I420" s="34"/>
      <c r="J420" s="34"/>
      <c r="K420" s="34"/>
      <c r="L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AA420" s="34"/>
      <c r="AB420" s="34"/>
      <c r="AC420" s="34"/>
      <c r="AD420" s="34"/>
      <c r="AE420" s="34"/>
      <c r="AF420" s="34"/>
      <c r="AG420" s="34"/>
      <c r="AH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I420" s="34"/>
      <c r="BJ420" s="34"/>
      <c r="BK420" s="34"/>
      <c r="BL420" s="34"/>
      <c r="BM420" s="34"/>
      <c r="BN420" s="34"/>
      <c r="BO420" s="34"/>
      <c r="BP420" s="34"/>
      <c r="BY420" s="34"/>
      <c r="BZ420" s="34"/>
      <c r="CA420" s="34"/>
      <c r="CB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</row>
    <row r="421" ht="15.75" customHeight="1">
      <c r="B421" s="34"/>
      <c r="E421" s="34"/>
      <c r="F421" s="34"/>
      <c r="G421" s="34"/>
      <c r="H421" s="34"/>
      <c r="I421" s="34"/>
      <c r="J421" s="34"/>
      <c r="K421" s="34"/>
      <c r="L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AA421" s="34"/>
      <c r="AB421" s="34"/>
      <c r="AC421" s="34"/>
      <c r="AD421" s="34"/>
      <c r="AE421" s="34"/>
      <c r="AF421" s="34"/>
      <c r="AG421" s="34"/>
      <c r="AH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I421" s="34"/>
      <c r="BJ421" s="34"/>
      <c r="BK421" s="34"/>
      <c r="BL421" s="34"/>
      <c r="BM421" s="34"/>
      <c r="BN421" s="34"/>
      <c r="BO421" s="34"/>
      <c r="BP421" s="34"/>
      <c r="BY421" s="34"/>
      <c r="BZ421" s="34"/>
      <c r="CA421" s="34"/>
      <c r="CB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</row>
    <row r="422" ht="15.75" customHeight="1">
      <c r="B422" s="34"/>
      <c r="E422" s="34"/>
      <c r="F422" s="34"/>
      <c r="G422" s="34"/>
      <c r="H422" s="34"/>
      <c r="I422" s="34"/>
      <c r="J422" s="34"/>
      <c r="K422" s="34"/>
      <c r="L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AA422" s="34"/>
      <c r="AB422" s="34"/>
      <c r="AC422" s="34"/>
      <c r="AD422" s="34"/>
      <c r="AE422" s="34"/>
      <c r="AF422" s="34"/>
      <c r="AG422" s="34"/>
      <c r="AH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I422" s="34"/>
      <c r="BJ422" s="34"/>
      <c r="BK422" s="34"/>
      <c r="BL422" s="34"/>
      <c r="BM422" s="34"/>
      <c r="BN422" s="34"/>
      <c r="BO422" s="34"/>
      <c r="BP422" s="34"/>
      <c r="BY422" s="34"/>
      <c r="BZ422" s="34"/>
      <c r="CA422" s="34"/>
      <c r="CB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</row>
    <row r="423" ht="15.75" customHeight="1">
      <c r="B423" s="34"/>
      <c r="E423" s="34"/>
      <c r="F423" s="34"/>
      <c r="G423" s="34"/>
      <c r="H423" s="34"/>
      <c r="I423" s="34"/>
      <c r="J423" s="34"/>
      <c r="K423" s="34"/>
      <c r="L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AA423" s="34"/>
      <c r="AB423" s="34"/>
      <c r="AC423" s="34"/>
      <c r="AD423" s="34"/>
      <c r="AE423" s="34"/>
      <c r="AF423" s="34"/>
      <c r="AG423" s="34"/>
      <c r="AH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I423" s="34"/>
      <c r="BJ423" s="34"/>
      <c r="BK423" s="34"/>
      <c r="BL423" s="34"/>
      <c r="BM423" s="34"/>
      <c r="BN423" s="34"/>
      <c r="BO423" s="34"/>
      <c r="BP423" s="34"/>
      <c r="BY423" s="34"/>
      <c r="BZ423" s="34"/>
      <c r="CA423" s="34"/>
      <c r="CB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</row>
    <row r="424" ht="15.75" customHeight="1">
      <c r="B424" s="34"/>
      <c r="E424" s="34"/>
      <c r="F424" s="34"/>
      <c r="G424" s="34"/>
      <c r="H424" s="34"/>
      <c r="I424" s="34"/>
      <c r="J424" s="34"/>
      <c r="K424" s="34"/>
      <c r="L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AA424" s="34"/>
      <c r="AB424" s="34"/>
      <c r="AC424" s="34"/>
      <c r="AD424" s="34"/>
      <c r="AE424" s="34"/>
      <c r="AF424" s="34"/>
      <c r="AG424" s="34"/>
      <c r="AH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I424" s="34"/>
      <c r="BJ424" s="34"/>
      <c r="BK424" s="34"/>
      <c r="BL424" s="34"/>
      <c r="BM424" s="34"/>
      <c r="BN424" s="34"/>
      <c r="BO424" s="34"/>
      <c r="BP424" s="34"/>
      <c r="BY424" s="34"/>
      <c r="BZ424" s="34"/>
      <c r="CA424" s="34"/>
      <c r="CB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</row>
    <row r="425" ht="15.75" customHeight="1">
      <c r="B425" s="34"/>
      <c r="E425" s="34"/>
      <c r="F425" s="34"/>
      <c r="G425" s="34"/>
      <c r="H425" s="34"/>
      <c r="I425" s="34"/>
      <c r="J425" s="34"/>
      <c r="K425" s="34"/>
      <c r="L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AA425" s="34"/>
      <c r="AB425" s="34"/>
      <c r="AC425" s="34"/>
      <c r="AD425" s="34"/>
      <c r="AE425" s="34"/>
      <c r="AF425" s="34"/>
      <c r="AG425" s="34"/>
      <c r="AH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I425" s="34"/>
      <c r="BJ425" s="34"/>
      <c r="BK425" s="34"/>
      <c r="BL425" s="34"/>
      <c r="BM425" s="34"/>
      <c r="BN425" s="34"/>
      <c r="BO425" s="34"/>
      <c r="BP425" s="34"/>
      <c r="BY425" s="34"/>
      <c r="BZ425" s="34"/>
      <c r="CA425" s="34"/>
      <c r="CB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</row>
    <row r="426" ht="15.75" customHeight="1">
      <c r="B426" s="34"/>
      <c r="E426" s="34"/>
      <c r="F426" s="34"/>
      <c r="G426" s="34"/>
      <c r="H426" s="34"/>
      <c r="I426" s="34"/>
      <c r="J426" s="34"/>
      <c r="K426" s="34"/>
      <c r="L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AA426" s="34"/>
      <c r="AB426" s="34"/>
      <c r="AC426" s="34"/>
      <c r="AD426" s="34"/>
      <c r="AE426" s="34"/>
      <c r="AF426" s="34"/>
      <c r="AG426" s="34"/>
      <c r="AH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I426" s="34"/>
      <c r="BJ426" s="34"/>
      <c r="BK426" s="34"/>
      <c r="BL426" s="34"/>
      <c r="BM426" s="34"/>
      <c r="BN426" s="34"/>
      <c r="BO426" s="34"/>
      <c r="BP426" s="34"/>
      <c r="BY426" s="34"/>
      <c r="BZ426" s="34"/>
      <c r="CA426" s="34"/>
      <c r="CB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</row>
    <row r="427" ht="15.75" customHeight="1">
      <c r="B427" s="34"/>
      <c r="E427" s="34"/>
      <c r="F427" s="34"/>
      <c r="G427" s="34"/>
      <c r="H427" s="34"/>
      <c r="I427" s="34"/>
      <c r="J427" s="34"/>
      <c r="K427" s="34"/>
      <c r="L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AA427" s="34"/>
      <c r="AB427" s="34"/>
      <c r="AC427" s="34"/>
      <c r="AD427" s="34"/>
      <c r="AE427" s="34"/>
      <c r="AF427" s="34"/>
      <c r="AG427" s="34"/>
      <c r="AH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I427" s="34"/>
      <c r="BJ427" s="34"/>
      <c r="BK427" s="34"/>
      <c r="BL427" s="34"/>
      <c r="BM427" s="34"/>
      <c r="BN427" s="34"/>
      <c r="BO427" s="34"/>
      <c r="BP427" s="34"/>
      <c r="BY427" s="34"/>
      <c r="BZ427" s="34"/>
      <c r="CA427" s="34"/>
      <c r="CB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</row>
    <row r="428" ht="15.75" customHeight="1">
      <c r="B428" s="34"/>
      <c r="E428" s="34"/>
      <c r="F428" s="34"/>
      <c r="G428" s="34"/>
      <c r="H428" s="34"/>
      <c r="I428" s="34"/>
      <c r="J428" s="34"/>
      <c r="K428" s="34"/>
      <c r="L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AA428" s="34"/>
      <c r="AB428" s="34"/>
      <c r="AC428" s="34"/>
      <c r="AD428" s="34"/>
      <c r="AE428" s="34"/>
      <c r="AF428" s="34"/>
      <c r="AG428" s="34"/>
      <c r="AH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I428" s="34"/>
      <c r="BJ428" s="34"/>
      <c r="BK428" s="34"/>
      <c r="BL428" s="34"/>
      <c r="BM428" s="34"/>
      <c r="BN428" s="34"/>
      <c r="BO428" s="34"/>
      <c r="BP428" s="34"/>
      <c r="BY428" s="34"/>
      <c r="BZ428" s="34"/>
      <c r="CA428" s="34"/>
      <c r="CB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</row>
    <row r="429" ht="15.75" customHeight="1">
      <c r="B429" s="34"/>
      <c r="E429" s="34"/>
      <c r="F429" s="34"/>
      <c r="G429" s="34"/>
      <c r="H429" s="34"/>
      <c r="I429" s="34"/>
      <c r="J429" s="34"/>
      <c r="K429" s="34"/>
      <c r="L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AA429" s="34"/>
      <c r="AB429" s="34"/>
      <c r="AC429" s="34"/>
      <c r="AD429" s="34"/>
      <c r="AE429" s="34"/>
      <c r="AF429" s="34"/>
      <c r="AG429" s="34"/>
      <c r="AH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I429" s="34"/>
      <c r="BJ429" s="34"/>
      <c r="BK429" s="34"/>
      <c r="BL429" s="34"/>
      <c r="BM429" s="34"/>
      <c r="BN429" s="34"/>
      <c r="BO429" s="34"/>
      <c r="BP429" s="34"/>
      <c r="BY429" s="34"/>
      <c r="BZ429" s="34"/>
      <c r="CA429" s="34"/>
      <c r="CB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</row>
    <row r="430" ht="15.75" customHeight="1">
      <c r="B430" s="34"/>
      <c r="E430" s="34"/>
      <c r="F430" s="34"/>
      <c r="G430" s="34"/>
      <c r="H430" s="34"/>
      <c r="I430" s="34"/>
      <c r="J430" s="34"/>
      <c r="K430" s="34"/>
      <c r="L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AA430" s="34"/>
      <c r="AB430" s="34"/>
      <c r="AC430" s="34"/>
      <c r="AD430" s="34"/>
      <c r="AE430" s="34"/>
      <c r="AF430" s="34"/>
      <c r="AG430" s="34"/>
      <c r="AH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I430" s="34"/>
      <c r="BJ430" s="34"/>
      <c r="BK430" s="34"/>
      <c r="BL430" s="34"/>
      <c r="BM430" s="34"/>
      <c r="BN430" s="34"/>
      <c r="BO430" s="34"/>
      <c r="BP430" s="34"/>
      <c r="BY430" s="34"/>
      <c r="BZ430" s="34"/>
      <c r="CA430" s="34"/>
      <c r="CB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</row>
    <row r="431" ht="15.75" customHeight="1">
      <c r="B431" s="34"/>
      <c r="E431" s="34"/>
      <c r="F431" s="34"/>
      <c r="G431" s="34"/>
      <c r="H431" s="34"/>
      <c r="I431" s="34"/>
      <c r="J431" s="34"/>
      <c r="K431" s="34"/>
      <c r="L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AA431" s="34"/>
      <c r="AB431" s="34"/>
      <c r="AC431" s="34"/>
      <c r="AD431" s="34"/>
      <c r="AE431" s="34"/>
      <c r="AF431" s="34"/>
      <c r="AG431" s="34"/>
      <c r="AH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I431" s="34"/>
      <c r="BJ431" s="34"/>
      <c r="BK431" s="34"/>
      <c r="BL431" s="34"/>
      <c r="BM431" s="34"/>
      <c r="BN431" s="34"/>
      <c r="BO431" s="34"/>
      <c r="BP431" s="34"/>
      <c r="BY431" s="34"/>
      <c r="BZ431" s="34"/>
      <c r="CA431" s="34"/>
      <c r="CB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</row>
    <row r="432" ht="15.75" customHeight="1">
      <c r="B432" s="34"/>
      <c r="E432" s="34"/>
      <c r="F432" s="34"/>
      <c r="G432" s="34"/>
      <c r="H432" s="34"/>
      <c r="I432" s="34"/>
      <c r="J432" s="34"/>
      <c r="K432" s="34"/>
      <c r="L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AA432" s="34"/>
      <c r="AB432" s="34"/>
      <c r="AC432" s="34"/>
      <c r="AD432" s="34"/>
      <c r="AE432" s="34"/>
      <c r="AF432" s="34"/>
      <c r="AG432" s="34"/>
      <c r="AH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I432" s="34"/>
      <c r="BJ432" s="34"/>
      <c r="BK432" s="34"/>
      <c r="BL432" s="34"/>
      <c r="BM432" s="34"/>
      <c r="BN432" s="34"/>
      <c r="BO432" s="34"/>
      <c r="BP432" s="34"/>
      <c r="BY432" s="34"/>
      <c r="BZ432" s="34"/>
      <c r="CA432" s="34"/>
      <c r="CB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</row>
    <row r="433" ht="15.75" customHeight="1">
      <c r="B433" s="34"/>
      <c r="E433" s="34"/>
      <c r="F433" s="34"/>
      <c r="G433" s="34"/>
      <c r="H433" s="34"/>
      <c r="I433" s="34"/>
      <c r="J433" s="34"/>
      <c r="K433" s="34"/>
      <c r="L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AA433" s="34"/>
      <c r="AB433" s="34"/>
      <c r="AC433" s="34"/>
      <c r="AD433" s="34"/>
      <c r="AE433" s="34"/>
      <c r="AF433" s="34"/>
      <c r="AG433" s="34"/>
      <c r="AH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I433" s="34"/>
      <c r="BJ433" s="34"/>
      <c r="BK433" s="34"/>
      <c r="BL433" s="34"/>
      <c r="BM433" s="34"/>
      <c r="BN433" s="34"/>
      <c r="BO433" s="34"/>
      <c r="BP433" s="34"/>
      <c r="BY433" s="34"/>
      <c r="BZ433" s="34"/>
      <c r="CA433" s="34"/>
      <c r="CB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</row>
    <row r="434" ht="15.75" customHeight="1">
      <c r="B434" s="34"/>
      <c r="E434" s="34"/>
      <c r="F434" s="34"/>
      <c r="G434" s="34"/>
      <c r="H434" s="34"/>
      <c r="I434" s="34"/>
      <c r="J434" s="34"/>
      <c r="K434" s="34"/>
      <c r="L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AA434" s="34"/>
      <c r="AB434" s="34"/>
      <c r="AC434" s="34"/>
      <c r="AD434" s="34"/>
      <c r="AE434" s="34"/>
      <c r="AF434" s="34"/>
      <c r="AG434" s="34"/>
      <c r="AH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I434" s="34"/>
      <c r="BJ434" s="34"/>
      <c r="BK434" s="34"/>
      <c r="BL434" s="34"/>
      <c r="BM434" s="34"/>
      <c r="BN434" s="34"/>
      <c r="BO434" s="34"/>
      <c r="BP434" s="34"/>
      <c r="BY434" s="34"/>
      <c r="BZ434" s="34"/>
      <c r="CA434" s="34"/>
      <c r="CB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</row>
    <row r="435" ht="15.75" customHeight="1">
      <c r="B435" s="34"/>
      <c r="E435" s="34"/>
      <c r="F435" s="34"/>
      <c r="G435" s="34"/>
      <c r="H435" s="34"/>
      <c r="I435" s="34"/>
      <c r="J435" s="34"/>
      <c r="K435" s="34"/>
      <c r="L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AA435" s="34"/>
      <c r="AB435" s="34"/>
      <c r="AC435" s="34"/>
      <c r="AD435" s="34"/>
      <c r="AE435" s="34"/>
      <c r="AF435" s="34"/>
      <c r="AG435" s="34"/>
      <c r="AH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I435" s="34"/>
      <c r="BJ435" s="34"/>
      <c r="BK435" s="34"/>
      <c r="BL435" s="34"/>
      <c r="BM435" s="34"/>
      <c r="BN435" s="34"/>
      <c r="BO435" s="34"/>
      <c r="BP435" s="34"/>
      <c r="BY435" s="34"/>
      <c r="BZ435" s="34"/>
      <c r="CA435" s="34"/>
      <c r="CB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</row>
    <row r="436" ht="15.75" customHeight="1">
      <c r="B436" s="34"/>
      <c r="E436" s="34"/>
      <c r="F436" s="34"/>
      <c r="G436" s="34"/>
      <c r="H436" s="34"/>
      <c r="I436" s="34"/>
      <c r="J436" s="34"/>
      <c r="K436" s="34"/>
      <c r="L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AA436" s="34"/>
      <c r="AB436" s="34"/>
      <c r="AC436" s="34"/>
      <c r="AD436" s="34"/>
      <c r="AE436" s="34"/>
      <c r="AF436" s="34"/>
      <c r="AG436" s="34"/>
      <c r="AH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I436" s="34"/>
      <c r="BJ436" s="34"/>
      <c r="BK436" s="34"/>
      <c r="BL436" s="34"/>
      <c r="BM436" s="34"/>
      <c r="BN436" s="34"/>
      <c r="BO436" s="34"/>
      <c r="BP436" s="34"/>
      <c r="BY436" s="34"/>
      <c r="BZ436" s="34"/>
      <c r="CA436" s="34"/>
      <c r="CB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</row>
    <row r="437" ht="15.75" customHeight="1">
      <c r="B437" s="34"/>
      <c r="E437" s="34"/>
      <c r="F437" s="34"/>
      <c r="G437" s="34"/>
      <c r="H437" s="34"/>
      <c r="I437" s="34"/>
      <c r="J437" s="34"/>
      <c r="K437" s="34"/>
      <c r="L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AA437" s="34"/>
      <c r="AB437" s="34"/>
      <c r="AC437" s="34"/>
      <c r="AD437" s="34"/>
      <c r="AE437" s="34"/>
      <c r="AF437" s="34"/>
      <c r="AG437" s="34"/>
      <c r="AH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I437" s="34"/>
      <c r="BJ437" s="34"/>
      <c r="BK437" s="34"/>
      <c r="BL437" s="34"/>
      <c r="BM437" s="34"/>
      <c r="BN437" s="34"/>
      <c r="BO437" s="34"/>
      <c r="BP437" s="34"/>
      <c r="BY437" s="34"/>
      <c r="BZ437" s="34"/>
      <c r="CA437" s="34"/>
      <c r="CB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</row>
    <row r="438" ht="15.75" customHeight="1">
      <c r="B438" s="34"/>
      <c r="E438" s="34"/>
      <c r="F438" s="34"/>
      <c r="G438" s="34"/>
      <c r="H438" s="34"/>
      <c r="I438" s="34"/>
      <c r="J438" s="34"/>
      <c r="K438" s="34"/>
      <c r="L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AA438" s="34"/>
      <c r="AB438" s="34"/>
      <c r="AC438" s="34"/>
      <c r="AD438" s="34"/>
      <c r="AE438" s="34"/>
      <c r="AF438" s="34"/>
      <c r="AG438" s="34"/>
      <c r="AH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I438" s="34"/>
      <c r="BJ438" s="34"/>
      <c r="BK438" s="34"/>
      <c r="BL438" s="34"/>
      <c r="BM438" s="34"/>
      <c r="BN438" s="34"/>
      <c r="BO438" s="34"/>
      <c r="BP438" s="34"/>
      <c r="BY438" s="34"/>
      <c r="BZ438" s="34"/>
      <c r="CA438" s="34"/>
      <c r="CB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</row>
    <row r="439" ht="15.75" customHeight="1">
      <c r="B439" s="34"/>
      <c r="E439" s="34"/>
      <c r="F439" s="34"/>
      <c r="G439" s="34"/>
      <c r="H439" s="34"/>
      <c r="I439" s="34"/>
      <c r="J439" s="34"/>
      <c r="K439" s="34"/>
      <c r="L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AA439" s="34"/>
      <c r="AB439" s="34"/>
      <c r="AC439" s="34"/>
      <c r="AD439" s="34"/>
      <c r="AE439" s="34"/>
      <c r="AF439" s="34"/>
      <c r="AG439" s="34"/>
      <c r="AH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I439" s="34"/>
      <c r="BJ439" s="34"/>
      <c r="BK439" s="34"/>
      <c r="BL439" s="34"/>
      <c r="BM439" s="34"/>
      <c r="BN439" s="34"/>
      <c r="BO439" s="34"/>
      <c r="BP439" s="34"/>
      <c r="BY439" s="34"/>
      <c r="BZ439" s="34"/>
      <c r="CA439" s="34"/>
      <c r="CB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</row>
    <row r="440" ht="15.75" customHeight="1">
      <c r="B440" s="34"/>
      <c r="E440" s="34"/>
      <c r="F440" s="34"/>
      <c r="G440" s="34"/>
      <c r="H440" s="34"/>
      <c r="I440" s="34"/>
      <c r="J440" s="34"/>
      <c r="K440" s="34"/>
      <c r="L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AA440" s="34"/>
      <c r="AB440" s="34"/>
      <c r="AC440" s="34"/>
      <c r="AD440" s="34"/>
      <c r="AE440" s="34"/>
      <c r="AF440" s="34"/>
      <c r="AG440" s="34"/>
      <c r="AH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I440" s="34"/>
      <c r="BJ440" s="34"/>
      <c r="BK440" s="34"/>
      <c r="BL440" s="34"/>
      <c r="BM440" s="34"/>
      <c r="BN440" s="34"/>
      <c r="BO440" s="34"/>
      <c r="BP440" s="34"/>
      <c r="BY440" s="34"/>
      <c r="BZ440" s="34"/>
      <c r="CA440" s="34"/>
      <c r="CB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</row>
    <row r="441" ht="15.75" customHeight="1">
      <c r="B441" s="34"/>
      <c r="E441" s="34"/>
      <c r="F441" s="34"/>
      <c r="G441" s="34"/>
      <c r="H441" s="34"/>
      <c r="I441" s="34"/>
      <c r="J441" s="34"/>
      <c r="K441" s="34"/>
      <c r="L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AA441" s="34"/>
      <c r="AB441" s="34"/>
      <c r="AC441" s="34"/>
      <c r="AD441" s="34"/>
      <c r="AE441" s="34"/>
      <c r="AF441" s="34"/>
      <c r="AG441" s="34"/>
      <c r="AH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I441" s="34"/>
      <c r="BJ441" s="34"/>
      <c r="BK441" s="34"/>
      <c r="BL441" s="34"/>
      <c r="BM441" s="34"/>
      <c r="BN441" s="34"/>
      <c r="BO441" s="34"/>
      <c r="BP441" s="34"/>
      <c r="BY441" s="34"/>
      <c r="BZ441" s="34"/>
      <c r="CA441" s="34"/>
      <c r="CB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</row>
    <row r="442" ht="15.75" customHeight="1">
      <c r="B442" s="34"/>
      <c r="E442" s="34"/>
      <c r="F442" s="34"/>
      <c r="G442" s="34"/>
      <c r="H442" s="34"/>
      <c r="I442" s="34"/>
      <c r="J442" s="34"/>
      <c r="K442" s="34"/>
      <c r="L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AA442" s="34"/>
      <c r="AB442" s="34"/>
      <c r="AC442" s="34"/>
      <c r="AD442" s="34"/>
      <c r="AE442" s="34"/>
      <c r="AF442" s="34"/>
      <c r="AG442" s="34"/>
      <c r="AH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I442" s="34"/>
      <c r="BJ442" s="34"/>
      <c r="BK442" s="34"/>
      <c r="BL442" s="34"/>
      <c r="BM442" s="34"/>
      <c r="BN442" s="34"/>
      <c r="BO442" s="34"/>
      <c r="BP442" s="34"/>
      <c r="BY442" s="34"/>
      <c r="BZ442" s="34"/>
      <c r="CA442" s="34"/>
      <c r="CB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</row>
    <row r="443" ht="15.75" customHeight="1">
      <c r="B443" s="34"/>
      <c r="E443" s="34"/>
      <c r="F443" s="34"/>
      <c r="G443" s="34"/>
      <c r="H443" s="34"/>
      <c r="I443" s="34"/>
      <c r="J443" s="34"/>
      <c r="K443" s="34"/>
      <c r="L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AA443" s="34"/>
      <c r="AB443" s="34"/>
      <c r="AC443" s="34"/>
      <c r="AD443" s="34"/>
      <c r="AE443" s="34"/>
      <c r="AF443" s="34"/>
      <c r="AG443" s="34"/>
      <c r="AH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I443" s="34"/>
      <c r="BJ443" s="34"/>
      <c r="BK443" s="34"/>
      <c r="BL443" s="34"/>
      <c r="BM443" s="34"/>
      <c r="BN443" s="34"/>
      <c r="BO443" s="34"/>
      <c r="BP443" s="34"/>
      <c r="BY443" s="34"/>
      <c r="BZ443" s="34"/>
      <c r="CA443" s="34"/>
      <c r="CB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</row>
    <row r="444" ht="15.75" customHeight="1">
      <c r="B444" s="34"/>
      <c r="E444" s="34"/>
      <c r="F444" s="34"/>
      <c r="G444" s="34"/>
      <c r="H444" s="34"/>
      <c r="I444" s="34"/>
      <c r="J444" s="34"/>
      <c r="K444" s="34"/>
      <c r="L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AA444" s="34"/>
      <c r="AB444" s="34"/>
      <c r="AC444" s="34"/>
      <c r="AD444" s="34"/>
      <c r="AE444" s="34"/>
      <c r="AF444" s="34"/>
      <c r="AG444" s="34"/>
      <c r="AH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I444" s="34"/>
      <c r="BJ444" s="34"/>
      <c r="BK444" s="34"/>
      <c r="BL444" s="34"/>
      <c r="BM444" s="34"/>
      <c r="BN444" s="34"/>
      <c r="BO444" s="34"/>
      <c r="BP444" s="34"/>
      <c r="BY444" s="34"/>
      <c r="BZ444" s="34"/>
      <c r="CA444" s="34"/>
      <c r="CB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</row>
    <row r="445" ht="15.75" customHeight="1">
      <c r="B445" s="34"/>
      <c r="E445" s="34"/>
      <c r="F445" s="34"/>
      <c r="G445" s="34"/>
      <c r="H445" s="34"/>
      <c r="I445" s="34"/>
      <c r="J445" s="34"/>
      <c r="K445" s="34"/>
      <c r="L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AA445" s="34"/>
      <c r="AB445" s="34"/>
      <c r="AC445" s="34"/>
      <c r="AD445" s="34"/>
      <c r="AE445" s="34"/>
      <c r="AF445" s="34"/>
      <c r="AG445" s="34"/>
      <c r="AH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I445" s="34"/>
      <c r="BJ445" s="34"/>
      <c r="BK445" s="34"/>
      <c r="BL445" s="34"/>
      <c r="BM445" s="34"/>
      <c r="BN445" s="34"/>
      <c r="BO445" s="34"/>
      <c r="BP445" s="34"/>
      <c r="BY445" s="34"/>
      <c r="BZ445" s="34"/>
      <c r="CA445" s="34"/>
      <c r="CB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</row>
    <row r="446" ht="15.75" customHeight="1">
      <c r="B446" s="34"/>
      <c r="E446" s="34"/>
      <c r="F446" s="34"/>
      <c r="G446" s="34"/>
      <c r="H446" s="34"/>
      <c r="I446" s="34"/>
      <c r="J446" s="34"/>
      <c r="K446" s="34"/>
      <c r="L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AA446" s="34"/>
      <c r="AB446" s="34"/>
      <c r="AC446" s="34"/>
      <c r="AD446" s="34"/>
      <c r="AE446" s="34"/>
      <c r="AF446" s="34"/>
      <c r="AG446" s="34"/>
      <c r="AH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I446" s="34"/>
      <c r="BJ446" s="34"/>
      <c r="BK446" s="34"/>
      <c r="BL446" s="34"/>
      <c r="BM446" s="34"/>
      <c r="BN446" s="34"/>
      <c r="BO446" s="34"/>
      <c r="BP446" s="34"/>
      <c r="BY446" s="34"/>
      <c r="BZ446" s="34"/>
      <c r="CA446" s="34"/>
      <c r="CB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</row>
    <row r="447" ht="15.75" customHeight="1">
      <c r="B447" s="34"/>
      <c r="E447" s="34"/>
      <c r="F447" s="34"/>
      <c r="G447" s="34"/>
      <c r="H447" s="34"/>
      <c r="I447" s="34"/>
      <c r="J447" s="34"/>
      <c r="K447" s="34"/>
      <c r="L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AA447" s="34"/>
      <c r="AB447" s="34"/>
      <c r="AC447" s="34"/>
      <c r="AD447" s="34"/>
      <c r="AE447" s="34"/>
      <c r="AF447" s="34"/>
      <c r="AG447" s="34"/>
      <c r="AH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I447" s="34"/>
      <c r="BJ447" s="34"/>
      <c r="BK447" s="34"/>
      <c r="BL447" s="34"/>
      <c r="BM447" s="34"/>
      <c r="BN447" s="34"/>
      <c r="BO447" s="34"/>
      <c r="BP447" s="34"/>
      <c r="BY447" s="34"/>
      <c r="BZ447" s="34"/>
      <c r="CA447" s="34"/>
      <c r="CB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</row>
    <row r="448" ht="15.75" customHeight="1">
      <c r="B448" s="34"/>
      <c r="E448" s="34"/>
      <c r="F448" s="34"/>
      <c r="G448" s="34"/>
      <c r="H448" s="34"/>
      <c r="I448" s="34"/>
      <c r="J448" s="34"/>
      <c r="K448" s="34"/>
      <c r="L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AA448" s="34"/>
      <c r="AB448" s="34"/>
      <c r="AC448" s="34"/>
      <c r="AD448" s="34"/>
      <c r="AE448" s="34"/>
      <c r="AF448" s="34"/>
      <c r="AG448" s="34"/>
      <c r="AH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I448" s="34"/>
      <c r="BJ448" s="34"/>
      <c r="BK448" s="34"/>
      <c r="BL448" s="34"/>
      <c r="BM448" s="34"/>
      <c r="BN448" s="34"/>
      <c r="BO448" s="34"/>
      <c r="BP448" s="34"/>
      <c r="BY448" s="34"/>
      <c r="BZ448" s="34"/>
      <c r="CA448" s="34"/>
      <c r="CB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</row>
    <row r="449" ht="15.75" customHeight="1">
      <c r="B449" s="34"/>
      <c r="E449" s="34"/>
      <c r="F449" s="34"/>
      <c r="G449" s="34"/>
      <c r="H449" s="34"/>
      <c r="I449" s="34"/>
      <c r="J449" s="34"/>
      <c r="K449" s="34"/>
      <c r="L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AA449" s="34"/>
      <c r="AB449" s="34"/>
      <c r="AC449" s="34"/>
      <c r="AD449" s="34"/>
      <c r="AE449" s="34"/>
      <c r="AF449" s="34"/>
      <c r="AG449" s="34"/>
      <c r="AH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I449" s="34"/>
      <c r="BJ449" s="34"/>
      <c r="BK449" s="34"/>
      <c r="BL449" s="34"/>
      <c r="BM449" s="34"/>
      <c r="BN449" s="34"/>
      <c r="BO449" s="34"/>
      <c r="BP449" s="34"/>
      <c r="BY449" s="34"/>
      <c r="BZ449" s="34"/>
      <c r="CA449" s="34"/>
      <c r="CB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</row>
    <row r="450" ht="15.75" customHeight="1">
      <c r="B450" s="34"/>
      <c r="E450" s="34"/>
      <c r="F450" s="34"/>
      <c r="G450" s="34"/>
      <c r="H450" s="34"/>
      <c r="I450" s="34"/>
      <c r="J450" s="34"/>
      <c r="K450" s="34"/>
      <c r="L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AA450" s="34"/>
      <c r="AB450" s="34"/>
      <c r="AC450" s="34"/>
      <c r="AD450" s="34"/>
      <c r="AE450" s="34"/>
      <c r="AF450" s="34"/>
      <c r="AG450" s="34"/>
      <c r="AH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I450" s="34"/>
      <c r="BJ450" s="34"/>
      <c r="BK450" s="34"/>
      <c r="BL450" s="34"/>
      <c r="BM450" s="34"/>
      <c r="BN450" s="34"/>
      <c r="BO450" s="34"/>
      <c r="BP450" s="34"/>
      <c r="BY450" s="34"/>
      <c r="BZ450" s="34"/>
      <c r="CA450" s="34"/>
      <c r="CB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</row>
    <row r="451" ht="15.75" customHeight="1">
      <c r="B451" s="34"/>
      <c r="E451" s="34"/>
      <c r="F451" s="34"/>
      <c r="G451" s="34"/>
      <c r="H451" s="34"/>
      <c r="I451" s="34"/>
      <c r="J451" s="34"/>
      <c r="K451" s="34"/>
      <c r="L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AA451" s="34"/>
      <c r="AB451" s="34"/>
      <c r="AC451" s="34"/>
      <c r="AD451" s="34"/>
      <c r="AE451" s="34"/>
      <c r="AF451" s="34"/>
      <c r="AG451" s="34"/>
      <c r="AH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I451" s="34"/>
      <c r="BJ451" s="34"/>
      <c r="BK451" s="34"/>
      <c r="BL451" s="34"/>
      <c r="BM451" s="34"/>
      <c r="BN451" s="34"/>
      <c r="BO451" s="34"/>
      <c r="BP451" s="34"/>
      <c r="BY451" s="34"/>
      <c r="BZ451" s="34"/>
      <c r="CA451" s="34"/>
      <c r="CB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</row>
    <row r="452" ht="15.75" customHeight="1">
      <c r="B452" s="34"/>
      <c r="E452" s="34"/>
      <c r="F452" s="34"/>
      <c r="G452" s="34"/>
      <c r="H452" s="34"/>
      <c r="I452" s="34"/>
      <c r="J452" s="34"/>
      <c r="K452" s="34"/>
      <c r="L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AA452" s="34"/>
      <c r="AB452" s="34"/>
      <c r="AC452" s="34"/>
      <c r="AD452" s="34"/>
      <c r="AE452" s="34"/>
      <c r="AF452" s="34"/>
      <c r="AG452" s="34"/>
      <c r="AH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I452" s="34"/>
      <c r="BJ452" s="34"/>
      <c r="BK452" s="34"/>
      <c r="BL452" s="34"/>
      <c r="BM452" s="34"/>
      <c r="BN452" s="34"/>
      <c r="BO452" s="34"/>
      <c r="BP452" s="34"/>
      <c r="BY452" s="34"/>
      <c r="BZ452" s="34"/>
      <c r="CA452" s="34"/>
      <c r="CB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</row>
    <row r="453" ht="15.75" customHeight="1">
      <c r="B453" s="34"/>
      <c r="E453" s="34"/>
      <c r="F453" s="34"/>
      <c r="G453" s="34"/>
      <c r="H453" s="34"/>
      <c r="I453" s="34"/>
      <c r="J453" s="34"/>
      <c r="K453" s="34"/>
      <c r="L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AA453" s="34"/>
      <c r="AB453" s="34"/>
      <c r="AC453" s="34"/>
      <c r="AD453" s="34"/>
      <c r="AE453" s="34"/>
      <c r="AF453" s="34"/>
      <c r="AG453" s="34"/>
      <c r="AH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I453" s="34"/>
      <c r="BJ453" s="34"/>
      <c r="BK453" s="34"/>
      <c r="BL453" s="34"/>
      <c r="BM453" s="34"/>
      <c r="BN453" s="34"/>
      <c r="BO453" s="34"/>
      <c r="BP453" s="34"/>
      <c r="BY453" s="34"/>
      <c r="BZ453" s="34"/>
      <c r="CA453" s="34"/>
      <c r="CB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</row>
    <row r="454" ht="15.75" customHeight="1">
      <c r="B454" s="34"/>
      <c r="E454" s="34"/>
      <c r="F454" s="34"/>
      <c r="G454" s="34"/>
      <c r="H454" s="34"/>
      <c r="I454" s="34"/>
      <c r="J454" s="34"/>
      <c r="K454" s="34"/>
      <c r="L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AA454" s="34"/>
      <c r="AB454" s="34"/>
      <c r="AC454" s="34"/>
      <c r="AD454" s="34"/>
      <c r="AE454" s="34"/>
      <c r="AF454" s="34"/>
      <c r="AG454" s="34"/>
      <c r="AH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I454" s="34"/>
      <c r="BJ454" s="34"/>
      <c r="BK454" s="34"/>
      <c r="BL454" s="34"/>
      <c r="BM454" s="34"/>
      <c r="BN454" s="34"/>
      <c r="BO454" s="34"/>
      <c r="BP454" s="34"/>
      <c r="BY454" s="34"/>
      <c r="BZ454" s="34"/>
      <c r="CA454" s="34"/>
      <c r="CB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</row>
    <row r="455" ht="15.75" customHeight="1">
      <c r="B455" s="34"/>
      <c r="E455" s="34"/>
      <c r="F455" s="34"/>
      <c r="G455" s="34"/>
      <c r="H455" s="34"/>
      <c r="I455" s="34"/>
      <c r="J455" s="34"/>
      <c r="K455" s="34"/>
      <c r="L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AA455" s="34"/>
      <c r="AB455" s="34"/>
      <c r="AC455" s="34"/>
      <c r="AD455" s="34"/>
      <c r="AE455" s="34"/>
      <c r="AF455" s="34"/>
      <c r="AG455" s="34"/>
      <c r="AH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I455" s="34"/>
      <c r="BJ455" s="34"/>
      <c r="BK455" s="34"/>
      <c r="BL455" s="34"/>
      <c r="BM455" s="34"/>
      <c r="BN455" s="34"/>
      <c r="BO455" s="34"/>
      <c r="BP455" s="34"/>
      <c r="BY455" s="34"/>
      <c r="BZ455" s="34"/>
      <c r="CA455" s="34"/>
      <c r="CB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</row>
    <row r="456" ht="15.75" customHeight="1">
      <c r="B456" s="34"/>
      <c r="E456" s="34"/>
      <c r="F456" s="34"/>
      <c r="G456" s="34"/>
      <c r="H456" s="34"/>
      <c r="I456" s="34"/>
      <c r="J456" s="34"/>
      <c r="K456" s="34"/>
      <c r="L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AA456" s="34"/>
      <c r="AB456" s="34"/>
      <c r="AC456" s="34"/>
      <c r="AD456" s="34"/>
      <c r="AE456" s="34"/>
      <c r="AF456" s="34"/>
      <c r="AG456" s="34"/>
      <c r="AH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I456" s="34"/>
      <c r="BJ456" s="34"/>
      <c r="BK456" s="34"/>
      <c r="BL456" s="34"/>
      <c r="BM456" s="34"/>
      <c r="BN456" s="34"/>
      <c r="BO456" s="34"/>
      <c r="BP456" s="34"/>
      <c r="BY456" s="34"/>
      <c r="BZ456" s="34"/>
      <c r="CA456" s="34"/>
      <c r="CB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</row>
    <row r="457" ht="15.75" customHeight="1">
      <c r="B457" s="34"/>
      <c r="E457" s="34"/>
      <c r="F457" s="34"/>
      <c r="G457" s="34"/>
      <c r="H457" s="34"/>
      <c r="I457" s="34"/>
      <c r="J457" s="34"/>
      <c r="K457" s="34"/>
      <c r="L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AA457" s="34"/>
      <c r="AB457" s="34"/>
      <c r="AC457" s="34"/>
      <c r="AD457" s="34"/>
      <c r="AE457" s="34"/>
      <c r="AF457" s="34"/>
      <c r="AG457" s="34"/>
      <c r="AH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I457" s="34"/>
      <c r="BJ457" s="34"/>
      <c r="BK457" s="34"/>
      <c r="BL457" s="34"/>
      <c r="BM457" s="34"/>
      <c r="BN457" s="34"/>
      <c r="BO457" s="34"/>
      <c r="BP457" s="34"/>
      <c r="BY457" s="34"/>
      <c r="BZ457" s="34"/>
      <c r="CA457" s="34"/>
      <c r="CB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</row>
    <row r="458" ht="15.75" customHeight="1">
      <c r="B458" s="34"/>
      <c r="E458" s="34"/>
      <c r="F458" s="34"/>
      <c r="G458" s="34"/>
      <c r="H458" s="34"/>
      <c r="I458" s="34"/>
      <c r="J458" s="34"/>
      <c r="K458" s="34"/>
      <c r="L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AA458" s="34"/>
      <c r="AB458" s="34"/>
      <c r="AC458" s="34"/>
      <c r="AD458" s="34"/>
      <c r="AE458" s="34"/>
      <c r="AF458" s="34"/>
      <c r="AG458" s="34"/>
      <c r="AH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I458" s="34"/>
      <c r="BJ458" s="34"/>
      <c r="BK458" s="34"/>
      <c r="BL458" s="34"/>
      <c r="BM458" s="34"/>
      <c r="BN458" s="34"/>
      <c r="BO458" s="34"/>
      <c r="BP458" s="34"/>
      <c r="BY458" s="34"/>
      <c r="BZ458" s="34"/>
      <c r="CA458" s="34"/>
      <c r="CB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</row>
    <row r="459" ht="15.75" customHeight="1">
      <c r="B459" s="34"/>
      <c r="E459" s="34"/>
      <c r="F459" s="34"/>
      <c r="G459" s="34"/>
      <c r="H459" s="34"/>
      <c r="I459" s="34"/>
      <c r="J459" s="34"/>
      <c r="K459" s="34"/>
      <c r="L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AA459" s="34"/>
      <c r="AB459" s="34"/>
      <c r="AC459" s="34"/>
      <c r="AD459" s="34"/>
      <c r="AE459" s="34"/>
      <c r="AF459" s="34"/>
      <c r="AG459" s="34"/>
      <c r="AH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I459" s="34"/>
      <c r="BJ459" s="34"/>
      <c r="BK459" s="34"/>
      <c r="BL459" s="34"/>
      <c r="BM459" s="34"/>
      <c r="BN459" s="34"/>
      <c r="BO459" s="34"/>
      <c r="BP459" s="34"/>
      <c r="BY459" s="34"/>
      <c r="BZ459" s="34"/>
      <c r="CA459" s="34"/>
      <c r="CB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</row>
    <row r="460" ht="15.75" customHeight="1">
      <c r="B460" s="34"/>
      <c r="E460" s="34"/>
      <c r="F460" s="34"/>
      <c r="G460" s="34"/>
      <c r="H460" s="34"/>
      <c r="I460" s="34"/>
      <c r="J460" s="34"/>
      <c r="K460" s="34"/>
      <c r="L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AA460" s="34"/>
      <c r="AB460" s="34"/>
      <c r="AC460" s="34"/>
      <c r="AD460" s="34"/>
      <c r="AE460" s="34"/>
      <c r="AF460" s="34"/>
      <c r="AG460" s="34"/>
      <c r="AH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I460" s="34"/>
      <c r="BJ460" s="34"/>
      <c r="BK460" s="34"/>
      <c r="BL460" s="34"/>
      <c r="BM460" s="34"/>
      <c r="BN460" s="34"/>
      <c r="BO460" s="34"/>
      <c r="BP460" s="34"/>
      <c r="BY460" s="34"/>
      <c r="BZ460" s="34"/>
      <c r="CA460" s="34"/>
      <c r="CB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</row>
    <row r="461" ht="15.75" customHeight="1">
      <c r="B461" s="34"/>
      <c r="E461" s="34"/>
      <c r="F461" s="34"/>
      <c r="G461" s="34"/>
      <c r="H461" s="34"/>
      <c r="I461" s="34"/>
      <c r="J461" s="34"/>
      <c r="K461" s="34"/>
      <c r="L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AA461" s="34"/>
      <c r="AB461" s="34"/>
      <c r="AC461" s="34"/>
      <c r="AD461" s="34"/>
      <c r="AE461" s="34"/>
      <c r="AF461" s="34"/>
      <c r="AG461" s="34"/>
      <c r="AH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I461" s="34"/>
      <c r="BJ461" s="34"/>
      <c r="BK461" s="34"/>
      <c r="BL461" s="34"/>
      <c r="BM461" s="34"/>
      <c r="BN461" s="34"/>
      <c r="BO461" s="34"/>
      <c r="BP461" s="34"/>
      <c r="BY461" s="34"/>
      <c r="BZ461" s="34"/>
      <c r="CA461" s="34"/>
      <c r="CB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</row>
    <row r="462" ht="15.75" customHeight="1">
      <c r="B462" s="34"/>
      <c r="E462" s="34"/>
      <c r="F462" s="34"/>
      <c r="G462" s="34"/>
      <c r="H462" s="34"/>
      <c r="I462" s="34"/>
      <c r="J462" s="34"/>
      <c r="K462" s="34"/>
      <c r="L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AA462" s="34"/>
      <c r="AB462" s="34"/>
      <c r="AC462" s="34"/>
      <c r="AD462" s="34"/>
      <c r="AE462" s="34"/>
      <c r="AF462" s="34"/>
      <c r="AG462" s="34"/>
      <c r="AH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I462" s="34"/>
      <c r="BJ462" s="34"/>
      <c r="BK462" s="34"/>
      <c r="BL462" s="34"/>
      <c r="BM462" s="34"/>
      <c r="BN462" s="34"/>
      <c r="BO462" s="34"/>
      <c r="BP462" s="34"/>
      <c r="BY462" s="34"/>
      <c r="BZ462" s="34"/>
      <c r="CA462" s="34"/>
      <c r="CB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</row>
    <row r="463" ht="15.75" customHeight="1">
      <c r="B463" s="34"/>
      <c r="E463" s="34"/>
      <c r="F463" s="34"/>
      <c r="G463" s="34"/>
      <c r="H463" s="34"/>
      <c r="I463" s="34"/>
      <c r="J463" s="34"/>
      <c r="K463" s="34"/>
      <c r="L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AA463" s="34"/>
      <c r="AB463" s="34"/>
      <c r="AC463" s="34"/>
      <c r="AD463" s="34"/>
      <c r="AE463" s="34"/>
      <c r="AF463" s="34"/>
      <c r="AG463" s="34"/>
      <c r="AH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I463" s="34"/>
      <c r="BJ463" s="34"/>
      <c r="BK463" s="34"/>
      <c r="BL463" s="34"/>
      <c r="BM463" s="34"/>
      <c r="BN463" s="34"/>
      <c r="BO463" s="34"/>
      <c r="BP463" s="34"/>
      <c r="BY463" s="34"/>
      <c r="BZ463" s="34"/>
      <c r="CA463" s="34"/>
      <c r="CB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</row>
    <row r="464" ht="15.75" customHeight="1">
      <c r="B464" s="34"/>
      <c r="E464" s="34"/>
      <c r="F464" s="34"/>
      <c r="G464" s="34"/>
      <c r="H464" s="34"/>
      <c r="I464" s="34"/>
      <c r="J464" s="34"/>
      <c r="K464" s="34"/>
      <c r="L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AA464" s="34"/>
      <c r="AB464" s="34"/>
      <c r="AC464" s="34"/>
      <c r="AD464" s="34"/>
      <c r="AE464" s="34"/>
      <c r="AF464" s="34"/>
      <c r="AG464" s="34"/>
      <c r="AH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I464" s="34"/>
      <c r="BJ464" s="34"/>
      <c r="BK464" s="34"/>
      <c r="BL464" s="34"/>
      <c r="BM464" s="34"/>
      <c r="BN464" s="34"/>
      <c r="BO464" s="34"/>
      <c r="BP464" s="34"/>
      <c r="BY464" s="34"/>
      <c r="BZ464" s="34"/>
      <c r="CA464" s="34"/>
      <c r="CB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</row>
    <row r="465" ht="15.75" customHeight="1">
      <c r="B465" s="34"/>
      <c r="E465" s="34"/>
      <c r="F465" s="34"/>
      <c r="G465" s="34"/>
      <c r="H465" s="34"/>
      <c r="I465" s="34"/>
      <c r="J465" s="34"/>
      <c r="K465" s="34"/>
      <c r="L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AA465" s="34"/>
      <c r="AB465" s="34"/>
      <c r="AC465" s="34"/>
      <c r="AD465" s="34"/>
      <c r="AE465" s="34"/>
      <c r="AF465" s="34"/>
      <c r="AG465" s="34"/>
      <c r="AH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I465" s="34"/>
      <c r="BJ465" s="34"/>
      <c r="BK465" s="34"/>
      <c r="BL465" s="34"/>
      <c r="BM465" s="34"/>
      <c r="BN465" s="34"/>
      <c r="BO465" s="34"/>
      <c r="BP465" s="34"/>
      <c r="BY465" s="34"/>
      <c r="BZ465" s="34"/>
      <c r="CA465" s="34"/>
      <c r="CB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</row>
    <row r="466" ht="15.75" customHeight="1">
      <c r="B466" s="34"/>
      <c r="E466" s="34"/>
      <c r="F466" s="34"/>
      <c r="G466" s="34"/>
      <c r="H466" s="34"/>
      <c r="I466" s="34"/>
      <c r="J466" s="34"/>
      <c r="K466" s="34"/>
      <c r="L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AA466" s="34"/>
      <c r="AB466" s="34"/>
      <c r="AC466" s="34"/>
      <c r="AD466" s="34"/>
      <c r="AE466" s="34"/>
      <c r="AF466" s="34"/>
      <c r="AG466" s="34"/>
      <c r="AH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I466" s="34"/>
      <c r="BJ466" s="34"/>
      <c r="BK466" s="34"/>
      <c r="BL466" s="34"/>
      <c r="BM466" s="34"/>
      <c r="BN466" s="34"/>
      <c r="BO466" s="34"/>
      <c r="BP466" s="34"/>
      <c r="BY466" s="34"/>
      <c r="BZ466" s="34"/>
      <c r="CA466" s="34"/>
      <c r="CB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</row>
    <row r="467" ht="15.75" customHeight="1">
      <c r="B467" s="34"/>
      <c r="E467" s="34"/>
      <c r="F467" s="34"/>
      <c r="G467" s="34"/>
      <c r="H467" s="34"/>
      <c r="I467" s="34"/>
      <c r="J467" s="34"/>
      <c r="K467" s="34"/>
      <c r="L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AA467" s="34"/>
      <c r="AB467" s="34"/>
      <c r="AC467" s="34"/>
      <c r="AD467" s="34"/>
      <c r="AE467" s="34"/>
      <c r="AF467" s="34"/>
      <c r="AG467" s="34"/>
      <c r="AH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I467" s="34"/>
      <c r="BJ467" s="34"/>
      <c r="BK467" s="34"/>
      <c r="BL467" s="34"/>
      <c r="BM467" s="34"/>
      <c r="BN467" s="34"/>
      <c r="BO467" s="34"/>
      <c r="BP467" s="34"/>
      <c r="BY467" s="34"/>
      <c r="BZ467" s="34"/>
      <c r="CA467" s="34"/>
      <c r="CB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</row>
    <row r="468" ht="15.75" customHeight="1">
      <c r="B468" s="34"/>
      <c r="E468" s="34"/>
      <c r="F468" s="34"/>
      <c r="G468" s="34"/>
      <c r="H468" s="34"/>
      <c r="I468" s="34"/>
      <c r="J468" s="34"/>
      <c r="K468" s="34"/>
      <c r="L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AA468" s="34"/>
      <c r="AB468" s="34"/>
      <c r="AC468" s="34"/>
      <c r="AD468" s="34"/>
      <c r="AE468" s="34"/>
      <c r="AF468" s="34"/>
      <c r="AG468" s="34"/>
      <c r="AH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I468" s="34"/>
      <c r="BJ468" s="34"/>
      <c r="BK468" s="34"/>
      <c r="BL468" s="34"/>
      <c r="BM468" s="34"/>
      <c r="BN468" s="34"/>
      <c r="BO468" s="34"/>
      <c r="BP468" s="34"/>
      <c r="BY468" s="34"/>
      <c r="BZ468" s="34"/>
      <c r="CA468" s="34"/>
      <c r="CB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</row>
    <row r="469" ht="15.75" customHeight="1">
      <c r="B469" s="34"/>
      <c r="E469" s="34"/>
      <c r="F469" s="34"/>
      <c r="G469" s="34"/>
      <c r="H469" s="34"/>
      <c r="I469" s="34"/>
      <c r="J469" s="34"/>
      <c r="K469" s="34"/>
      <c r="L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AA469" s="34"/>
      <c r="AB469" s="34"/>
      <c r="AC469" s="34"/>
      <c r="AD469" s="34"/>
      <c r="AE469" s="34"/>
      <c r="AF469" s="34"/>
      <c r="AG469" s="34"/>
      <c r="AH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I469" s="34"/>
      <c r="BJ469" s="34"/>
      <c r="BK469" s="34"/>
      <c r="BL469" s="34"/>
      <c r="BM469" s="34"/>
      <c r="BN469" s="34"/>
      <c r="BO469" s="34"/>
      <c r="BP469" s="34"/>
      <c r="BY469" s="34"/>
      <c r="BZ469" s="34"/>
      <c r="CA469" s="34"/>
      <c r="CB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</row>
    <row r="470" ht="15.75" customHeight="1">
      <c r="B470" s="34"/>
      <c r="E470" s="34"/>
      <c r="F470" s="34"/>
      <c r="G470" s="34"/>
      <c r="H470" s="34"/>
      <c r="I470" s="34"/>
      <c r="J470" s="34"/>
      <c r="K470" s="34"/>
      <c r="L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AA470" s="34"/>
      <c r="AB470" s="34"/>
      <c r="AC470" s="34"/>
      <c r="AD470" s="34"/>
      <c r="AE470" s="34"/>
      <c r="AF470" s="34"/>
      <c r="AG470" s="34"/>
      <c r="AH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I470" s="34"/>
      <c r="BJ470" s="34"/>
      <c r="BK470" s="34"/>
      <c r="BL470" s="34"/>
      <c r="BM470" s="34"/>
      <c r="BN470" s="34"/>
      <c r="BO470" s="34"/>
      <c r="BP470" s="34"/>
      <c r="BY470" s="34"/>
      <c r="BZ470" s="34"/>
      <c r="CA470" s="34"/>
      <c r="CB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</row>
    <row r="471" ht="15.75" customHeight="1">
      <c r="B471" s="34"/>
      <c r="E471" s="34"/>
      <c r="F471" s="34"/>
      <c r="G471" s="34"/>
      <c r="H471" s="34"/>
      <c r="I471" s="34"/>
      <c r="J471" s="34"/>
      <c r="K471" s="34"/>
      <c r="L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AA471" s="34"/>
      <c r="AB471" s="34"/>
      <c r="AC471" s="34"/>
      <c r="AD471" s="34"/>
      <c r="AE471" s="34"/>
      <c r="AF471" s="34"/>
      <c r="AG471" s="34"/>
      <c r="AH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I471" s="34"/>
      <c r="BJ471" s="34"/>
      <c r="BK471" s="34"/>
      <c r="BL471" s="34"/>
      <c r="BM471" s="34"/>
      <c r="BN471" s="34"/>
      <c r="BO471" s="34"/>
      <c r="BP471" s="34"/>
      <c r="BY471" s="34"/>
      <c r="BZ471" s="34"/>
      <c r="CA471" s="34"/>
      <c r="CB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</row>
    <row r="472" ht="15.75" customHeight="1">
      <c r="B472" s="34"/>
      <c r="E472" s="34"/>
      <c r="F472" s="34"/>
      <c r="G472" s="34"/>
      <c r="H472" s="34"/>
      <c r="I472" s="34"/>
      <c r="J472" s="34"/>
      <c r="K472" s="34"/>
      <c r="L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AA472" s="34"/>
      <c r="AB472" s="34"/>
      <c r="AC472" s="34"/>
      <c r="AD472" s="34"/>
      <c r="AE472" s="34"/>
      <c r="AF472" s="34"/>
      <c r="AG472" s="34"/>
      <c r="AH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I472" s="34"/>
      <c r="BJ472" s="34"/>
      <c r="BK472" s="34"/>
      <c r="BL472" s="34"/>
      <c r="BM472" s="34"/>
      <c r="BN472" s="34"/>
      <c r="BO472" s="34"/>
      <c r="BP472" s="34"/>
      <c r="BY472" s="34"/>
      <c r="BZ472" s="34"/>
      <c r="CA472" s="34"/>
      <c r="CB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</row>
    <row r="473" ht="15.75" customHeight="1">
      <c r="B473" s="34"/>
      <c r="E473" s="34"/>
      <c r="F473" s="34"/>
      <c r="G473" s="34"/>
      <c r="H473" s="34"/>
      <c r="I473" s="34"/>
      <c r="J473" s="34"/>
      <c r="K473" s="34"/>
      <c r="L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AA473" s="34"/>
      <c r="AB473" s="34"/>
      <c r="AC473" s="34"/>
      <c r="AD473" s="34"/>
      <c r="AE473" s="34"/>
      <c r="AF473" s="34"/>
      <c r="AG473" s="34"/>
      <c r="AH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I473" s="34"/>
      <c r="BJ473" s="34"/>
      <c r="BK473" s="34"/>
      <c r="BL473" s="34"/>
      <c r="BM473" s="34"/>
      <c r="BN473" s="34"/>
      <c r="BO473" s="34"/>
      <c r="BP473" s="34"/>
      <c r="BY473" s="34"/>
      <c r="BZ473" s="34"/>
      <c r="CA473" s="34"/>
      <c r="CB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</row>
    <row r="474" ht="15.75" customHeight="1">
      <c r="B474" s="34"/>
      <c r="E474" s="34"/>
      <c r="F474" s="34"/>
      <c r="G474" s="34"/>
      <c r="H474" s="34"/>
      <c r="I474" s="34"/>
      <c r="J474" s="34"/>
      <c r="K474" s="34"/>
      <c r="L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AA474" s="34"/>
      <c r="AB474" s="34"/>
      <c r="AC474" s="34"/>
      <c r="AD474" s="34"/>
      <c r="AE474" s="34"/>
      <c r="AF474" s="34"/>
      <c r="AG474" s="34"/>
      <c r="AH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I474" s="34"/>
      <c r="BJ474" s="34"/>
      <c r="BK474" s="34"/>
      <c r="BL474" s="34"/>
      <c r="BM474" s="34"/>
      <c r="BN474" s="34"/>
      <c r="BO474" s="34"/>
      <c r="BP474" s="34"/>
      <c r="BY474" s="34"/>
      <c r="BZ474" s="34"/>
      <c r="CA474" s="34"/>
      <c r="CB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</row>
    <row r="475" ht="15.75" customHeight="1">
      <c r="B475" s="34"/>
      <c r="E475" s="34"/>
      <c r="F475" s="34"/>
      <c r="G475" s="34"/>
      <c r="H475" s="34"/>
      <c r="I475" s="34"/>
      <c r="J475" s="34"/>
      <c r="K475" s="34"/>
      <c r="L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AA475" s="34"/>
      <c r="AB475" s="34"/>
      <c r="AC475" s="34"/>
      <c r="AD475" s="34"/>
      <c r="AE475" s="34"/>
      <c r="AF475" s="34"/>
      <c r="AG475" s="34"/>
      <c r="AH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I475" s="34"/>
      <c r="BJ475" s="34"/>
      <c r="BK475" s="34"/>
      <c r="BL475" s="34"/>
      <c r="BM475" s="34"/>
      <c r="BN475" s="34"/>
      <c r="BO475" s="34"/>
      <c r="BP475" s="34"/>
      <c r="BY475" s="34"/>
      <c r="BZ475" s="34"/>
      <c r="CA475" s="34"/>
      <c r="CB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</row>
    <row r="476" ht="15.75" customHeight="1">
      <c r="B476" s="34"/>
      <c r="E476" s="34"/>
      <c r="F476" s="34"/>
      <c r="G476" s="34"/>
      <c r="H476" s="34"/>
      <c r="I476" s="34"/>
      <c r="J476" s="34"/>
      <c r="K476" s="34"/>
      <c r="L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AA476" s="34"/>
      <c r="AB476" s="34"/>
      <c r="AC476" s="34"/>
      <c r="AD476" s="34"/>
      <c r="AE476" s="34"/>
      <c r="AF476" s="34"/>
      <c r="AG476" s="34"/>
      <c r="AH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I476" s="34"/>
      <c r="BJ476" s="34"/>
      <c r="BK476" s="34"/>
      <c r="BL476" s="34"/>
      <c r="BM476" s="34"/>
      <c r="BN476" s="34"/>
      <c r="BO476" s="34"/>
      <c r="BP476" s="34"/>
      <c r="BY476" s="34"/>
      <c r="BZ476" s="34"/>
      <c r="CA476" s="34"/>
      <c r="CB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</row>
    <row r="477" ht="15.75" customHeight="1">
      <c r="B477" s="34"/>
      <c r="E477" s="34"/>
      <c r="F477" s="34"/>
      <c r="G477" s="34"/>
      <c r="H477" s="34"/>
      <c r="I477" s="34"/>
      <c r="J477" s="34"/>
      <c r="K477" s="34"/>
      <c r="L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AA477" s="34"/>
      <c r="AB477" s="34"/>
      <c r="AC477" s="34"/>
      <c r="AD477" s="34"/>
      <c r="AE477" s="34"/>
      <c r="AF477" s="34"/>
      <c r="AG477" s="34"/>
      <c r="AH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I477" s="34"/>
      <c r="BJ477" s="34"/>
      <c r="BK477" s="34"/>
      <c r="BL477" s="34"/>
      <c r="BM477" s="34"/>
      <c r="BN477" s="34"/>
      <c r="BO477" s="34"/>
      <c r="BP477" s="34"/>
      <c r="BY477" s="34"/>
      <c r="BZ477" s="34"/>
      <c r="CA477" s="34"/>
      <c r="CB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</row>
    <row r="478" ht="15.75" customHeight="1">
      <c r="B478" s="34"/>
      <c r="E478" s="34"/>
      <c r="F478" s="34"/>
      <c r="G478" s="34"/>
      <c r="H478" s="34"/>
      <c r="I478" s="34"/>
      <c r="J478" s="34"/>
      <c r="K478" s="34"/>
      <c r="L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AA478" s="34"/>
      <c r="AB478" s="34"/>
      <c r="AC478" s="34"/>
      <c r="AD478" s="34"/>
      <c r="AE478" s="34"/>
      <c r="AF478" s="34"/>
      <c r="AG478" s="34"/>
      <c r="AH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I478" s="34"/>
      <c r="BJ478" s="34"/>
      <c r="BK478" s="34"/>
      <c r="BL478" s="34"/>
      <c r="BM478" s="34"/>
      <c r="BN478" s="34"/>
      <c r="BO478" s="34"/>
      <c r="BP478" s="34"/>
      <c r="BY478" s="34"/>
      <c r="BZ478" s="34"/>
      <c r="CA478" s="34"/>
      <c r="CB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</row>
    <row r="479" ht="15.75" customHeight="1">
      <c r="B479" s="34"/>
      <c r="E479" s="34"/>
      <c r="F479" s="34"/>
      <c r="G479" s="34"/>
      <c r="H479" s="34"/>
      <c r="I479" s="34"/>
      <c r="J479" s="34"/>
      <c r="K479" s="34"/>
      <c r="L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AA479" s="34"/>
      <c r="AB479" s="34"/>
      <c r="AC479" s="34"/>
      <c r="AD479" s="34"/>
      <c r="AE479" s="34"/>
      <c r="AF479" s="34"/>
      <c r="AG479" s="34"/>
      <c r="AH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I479" s="34"/>
      <c r="BJ479" s="34"/>
      <c r="BK479" s="34"/>
      <c r="BL479" s="34"/>
      <c r="BM479" s="34"/>
      <c r="BN479" s="34"/>
      <c r="BO479" s="34"/>
      <c r="BP479" s="34"/>
      <c r="BY479" s="34"/>
      <c r="BZ479" s="34"/>
      <c r="CA479" s="34"/>
      <c r="CB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</row>
    <row r="480" ht="15.75" customHeight="1">
      <c r="B480" s="34"/>
      <c r="E480" s="34"/>
      <c r="F480" s="34"/>
      <c r="G480" s="34"/>
      <c r="H480" s="34"/>
      <c r="I480" s="34"/>
      <c r="J480" s="34"/>
      <c r="K480" s="34"/>
      <c r="L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AA480" s="34"/>
      <c r="AB480" s="34"/>
      <c r="AC480" s="34"/>
      <c r="AD480" s="34"/>
      <c r="AE480" s="34"/>
      <c r="AF480" s="34"/>
      <c r="AG480" s="34"/>
      <c r="AH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I480" s="34"/>
      <c r="BJ480" s="34"/>
      <c r="BK480" s="34"/>
      <c r="BL480" s="34"/>
      <c r="BM480" s="34"/>
      <c r="BN480" s="34"/>
      <c r="BO480" s="34"/>
      <c r="BP480" s="34"/>
      <c r="BY480" s="34"/>
      <c r="BZ480" s="34"/>
      <c r="CA480" s="34"/>
      <c r="CB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</row>
    <row r="481" ht="15.75" customHeight="1">
      <c r="B481" s="34"/>
      <c r="E481" s="34"/>
      <c r="F481" s="34"/>
      <c r="G481" s="34"/>
      <c r="H481" s="34"/>
      <c r="I481" s="34"/>
      <c r="J481" s="34"/>
      <c r="K481" s="34"/>
      <c r="L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AA481" s="34"/>
      <c r="AB481" s="34"/>
      <c r="AC481" s="34"/>
      <c r="AD481" s="34"/>
      <c r="AE481" s="34"/>
      <c r="AF481" s="34"/>
      <c r="AG481" s="34"/>
      <c r="AH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I481" s="34"/>
      <c r="BJ481" s="34"/>
      <c r="BK481" s="34"/>
      <c r="BL481" s="34"/>
      <c r="BM481" s="34"/>
      <c r="BN481" s="34"/>
      <c r="BO481" s="34"/>
      <c r="BP481" s="34"/>
      <c r="BY481" s="34"/>
      <c r="BZ481" s="34"/>
      <c r="CA481" s="34"/>
      <c r="CB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</row>
    <row r="482" ht="15.75" customHeight="1">
      <c r="B482" s="34"/>
      <c r="E482" s="34"/>
      <c r="F482" s="34"/>
      <c r="G482" s="34"/>
      <c r="H482" s="34"/>
      <c r="I482" s="34"/>
      <c r="J482" s="34"/>
      <c r="K482" s="34"/>
      <c r="L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AA482" s="34"/>
      <c r="AB482" s="34"/>
      <c r="AC482" s="34"/>
      <c r="AD482" s="34"/>
      <c r="AE482" s="34"/>
      <c r="AF482" s="34"/>
      <c r="AG482" s="34"/>
      <c r="AH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I482" s="34"/>
      <c r="BJ482" s="34"/>
      <c r="BK482" s="34"/>
      <c r="BL482" s="34"/>
      <c r="BM482" s="34"/>
      <c r="BN482" s="34"/>
      <c r="BO482" s="34"/>
      <c r="BP482" s="34"/>
      <c r="BY482" s="34"/>
      <c r="BZ482" s="34"/>
      <c r="CA482" s="34"/>
      <c r="CB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</row>
    <row r="483" ht="15.75" customHeight="1">
      <c r="B483" s="34"/>
      <c r="E483" s="34"/>
      <c r="F483" s="34"/>
      <c r="G483" s="34"/>
      <c r="H483" s="34"/>
      <c r="I483" s="34"/>
      <c r="J483" s="34"/>
      <c r="K483" s="34"/>
      <c r="L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AA483" s="34"/>
      <c r="AB483" s="34"/>
      <c r="AC483" s="34"/>
      <c r="AD483" s="34"/>
      <c r="AE483" s="34"/>
      <c r="AF483" s="34"/>
      <c r="AG483" s="34"/>
      <c r="AH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I483" s="34"/>
      <c r="BJ483" s="34"/>
      <c r="BK483" s="34"/>
      <c r="BL483" s="34"/>
      <c r="BM483" s="34"/>
      <c r="BN483" s="34"/>
      <c r="BO483" s="34"/>
      <c r="BP483" s="34"/>
      <c r="BY483" s="34"/>
      <c r="BZ483" s="34"/>
      <c r="CA483" s="34"/>
      <c r="CB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</row>
    <row r="484" ht="15.75" customHeight="1">
      <c r="B484" s="34"/>
      <c r="E484" s="34"/>
      <c r="F484" s="34"/>
      <c r="G484" s="34"/>
      <c r="H484" s="34"/>
      <c r="I484" s="34"/>
      <c r="J484" s="34"/>
      <c r="K484" s="34"/>
      <c r="L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AA484" s="34"/>
      <c r="AB484" s="34"/>
      <c r="AC484" s="34"/>
      <c r="AD484" s="34"/>
      <c r="AE484" s="34"/>
      <c r="AF484" s="34"/>
      <c r="AG484" s="34"/>
      <c r="AH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I484" s="34"/>
      <c r="BJ484" s="34"/>
      <c r="BK484" s="34"/>
      <c r="BL484" s="34"/>
      <c r="BM484" s="34"/>
      <c r="BN484" s="34"/>
      <c r="BO484" s="34"/>
      <c r="BP484" s="34"/>
      <c r="BY484" s="34"/>
      <c r="BZ484" s="34"/>
      <c r="CA484" s="34"/>
      <c r="CB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</row>
    <row r="485" ht="15.75" customHeight="1">
      <c r="B485" s="34"/>
      <c r="E485" s="34"/>
      <c r="F485" s="34"/>
      <c r="G485" s="34"/>
      <c r="H485" s="34"/>
      <c r="I485" s="34"/>
      <c r="J485" s="34"/>
      <c r="K485" s="34"/>
      <c r="L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AA485" s="34"/>
      <c r="AB485" s="34"/>
      <c r="AC485" s="34"/>
      <c r="AD485" s="34"/>
      <c r="AE485" s="34"/>
      <c r="AF485" s="34"/>
      <c r="AG485" s="34"/>
      <c r="AH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I485" s="34"/>
      <c r="BJ485" s="34"/>
      <c r="BK485" s="34"/>
      <c r="BL485" s="34"/>
      <c r="BM485" s="34"/>
      <c r="BN485" s="34"/>
      <c r="BO485" s="34"/>
      <c r="BP485" s="34"/>
      <c r="BY485" s="34"/>
      <c r="BZ485" s="34"/>
      <c r="CA485" s="34"/>
      <c r="CB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</row>
    <row r="486" ht="15.75" customHeight="1">
      <c r="B486" s="34"/>
      <c r="E486" s="34"/>
      <c r="F486" s="34"/>
      <c r="G486" s="34"/>
      <c r="H486" s="34"/>
      <c r="I486" s="34"/>
      <c r="J486" s="34"/>
      <c r="K486" s="34"/>
      <c r="L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AA486" s="34"/>
      <c r="AB486" s="34"/>
      <c r="AC486" s="34"/>
      <c r="AD486" s="34"/>
      <c r="AE486" s="34"/>
      <c r="AF486" s="34"/>
      <c r="AG486" s="34"/>
      <c r="AH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I486" s="34"/>
      <c r="BJ486" s="34"/>
      <c r="BK486" s="34"/>
      <c r="BL486" s="34"/>
      <c r="BM486" s="34"/>
      <c r="BN486" s="34"/>
      <c r="BO486" s="34"/>
      <c r="BP486" s="34"/>
      <c r="BY486" s="34"/>
      <c r="BZ486" s="34"/>
      <c r="CA486" s="34"/>
      <c r="CB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</row>
    <row r="487" ht="15.75" customHeight="1">
      <c r="B487" s="34"/>
      <c r="E487" s="34"/>
      <c r="F487" s="34"/>
      <c r="G487" s="34"/>
      <c r="H487" s="34"/>
      <c r="I487" s="34"/>
      <c r="J487" s="34"/>
      <c r="K487" s="34"/>
      <c r="L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AA487" s="34"/>
      <c r="AB487" s="34"/>
      <c r="AC487" s="34"/>
      <c r="AD487" s="34"/>
      <c r="AE487" s="34"/>
      <c r="AF487" s="34"/>
      <c r="AG487" s="34"/>
      <c r="AH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I487" s="34"/>
      <c r="BJ487" s="34"/>
      <c r="BK487" s="34"/>
      <c r="BL487" s="34"/>
      <c r="BM487" s="34"/>
      <c r="BN487" s="34"/>
      <c r="BO487" s="34"/>
      <c r="BP487" s="34"/>
      <c r="BY487" s="34"/>
      <c r="BZ487" s="34"/>
      <c r="CA487" s="34"/>
      <c r="CB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</row>
    <row r="488" ht="15.75" customHeight="1">
      <c r="B488" s="34"/>
      <c r="E488" s="34"/>
      <c r="F488" s="34"/>
      <c r="G488" s="34"/>
      <c r="H488" s="34"/>
      <c r="I488" s="34"/>
      <c r="J488" s="34"/>
      <c r="K488" s="34"/>
      <c r="L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AA488" s="34"/>
      <c r="AB488" s="34"/>
      <c r="AC488" s="34"/>
      <c r="AD488" s="34"/>
      <c r="AE488" s="34"/>
      <c r="AF488" s="34"/>
      <c r="AG488" s="34"/>
      <c r="AH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I488" s="34"/>
      <c r="BJ488" s="34"/>
      <c r="BK488" s="34"/>
      <c r="BL488" s="34"/>
      <c r="BM488" s="34"/>
      <c r="BN488" s="34"/>
      <c r="BO488" s="34"/>
      <c r="BP488" s="34"/>
      <c r="BY488" s="34"/>
      <c r="BZ488" s="34"/>
      <c r="CA488" s="34"/>
      <c r="CB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</row>
    <row r="489" ht="15.75" customHeight="1">
      <c r="B489" s="34"/>
      <c r="E489" s="34"/>
      <c r="F489" s="34"/>
      <c r="G489" s="34"/>
      <c r="H489" s="34"/>
      <c r="I489" s="34"/>
      <c r="J489" s="34"/>
      <c r="K489" s="34"/>
      <c r="L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AA489" s="34"/>
      <c r="AB489" s="34"/>
      <c r="AC489" s="34"/>
      <c r="AD489" s="34"/>
      <c r="AE489" s="34"/>
      <c r="AF489" s="34"/>
      <c r="AG489" s="34"/>
      <c r="AH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I489" s="34"/>
      <c r="BJ489" s="34"/>
      <c r="BK489" s="34"/>
      <c r="BL489" s="34"/>
      <c r="BM489" s="34"/>
      <c r="BN489" s="34"/>
      <c r="BO489" s="34"/>
      <c r="BP489" s="34"/>
      <c r="BY489" s="34"/>
      <c r="BZ489" s="34"/>
      <c r="CA489" s="34"/>
      <c r="CB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</row>
    <row r="490" ht="15.75" customHeight="1">
      <c r="B490" s="34"/>
      <c r="E490" s="34"/>
      <c r="F490" s="34"/>
      <c r="G490" s="34"/>
      <c r="H490" s="34"/>
      <c r="I490" s="34"/>
      <c r="J490" s="34"/>
      <c r="K490" s="34"/>
      <c r="L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AA490" s="34"/>
      <c r="AB490" s="34"/>
      <c r="AC490" s="34"/>
      <c r="AD490" s="34"/>
      <c r="AE490" s="34"/>
      <c r="AF490" s="34"/>
      <c r="AG490" s="34"/>
      <c r="AH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I490" s="34"/>
      <c r="BJ490" s="34"/>
      <c r="BK490" s="34"/>
      <c r="BL490" s="34"/>
      <c r="BM490" s="34"/>
      <c r="BN490" s="34"/>
      <c r="BO490" s="34"/>
      <c r="BP490" s="34"/>
      <c r="BY490" s="34"/>
      <c r="BZ490" s="34"/>
      <c r="CA490" s="34"/>
      <c r="CB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</row>
    <row r="491" ht="15.75" customHeight="1">
      <c r="B491" s="34"/>
      <c r="E491" s="34"/>
      <c r="F491" s="34"/>
      <c r="G491" s="34"/>
      <c r="H491" s="34"/>
      <c r="I491" s="34"/>
      <c r="J491" s="34"/>
      <c r="K491" s="34"/>
      <c r="L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AA491" s="34"/>
      <c r="AB491" s="34"/>
      <c r="AC491" s="34"/>
      <c r="AD491" s="34"/>
      <c r="AE491" s="34"/>
      <c r="AF491" s="34"/>
      <c r="AG491" s="34"/>
      <c r="AH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I491" s="34"/>
      <c r="BJ491" s="34"/>
      <c r="BK491" s="34"/>
      <c r="BL491" s="34"/>
      <c r="BM491" s="34"/>
      <c r="BN491" s="34"/>
      <c r="BO491" s="34"/>
      <c r="BP491" s="34"/>
      <c r="BY491" s="34"/>
      <c r="BZ491" s="34"/>
      <c r="CA491" s="34"/>
      <c r="CB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</row>
    <row r="492" ht="15.75" customHeight="1">
      <c r="B492" s="34"/>
      <c r="E492" s="34"/>
      <c r="F492" s="34"/>
      <c r="G492" s="34"/>
      <c r="H492" s="34"/>
      <c r="I492" s="34"/>
      <c r="J492" s="34"/>
      <c r="K492" s="34"/>
      <c r="L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AA492" s="34"/>
      <c r="AB492" s="34"/>
      <c r="AC492" s="34"/>
      <c r="AD492" s="34"/>
      <c r="AE492" s="34"/>
      <c r="AF492" s="34"/>
      <c r="AG492" s="34"/>
      <c r="AH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I492" s="34"/>
      <c r="BJ492" s="34"/>
      <c r="BK492" s="34"/>
      <c r="BL492" s="34"/>
      <c r="BM492" s="34"/>
      <c r="BN492" s="34"/>
      <c r="BO492" s="34"/>
      <c r="BP492" s="34"/>
      <c r="BY492" s="34"/>
      <c r="BZ492" s="34"/>
      <c r="CA492" s="34"/>
      <c r="CB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</row>
    <row r="493" ht="15.75" customHeight="1">
      <c r="B493" s="34"/>
      <c r="E493" s="34"/>
      <c r="F493" s="34"/>
      <c r="G493" s="34"/>
      <c r="H493" s="34"/>
      <c r="I493" s="34"/>
      <c r="J493" s="34"/>
      <c r="K493" s="34"/>
      <c r="L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AA493" s="34"/>
      <c r="AB493" s="34"/>
      <c r="AC493" s="34"/>
      <c r="AD493" s="34"/>
      <c r="AE493" s="34"/>
      <c r="AF493" s="34"/>
      <c r="AG493" s="34"/>
      <c r="AH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I493" s="34"/>
      <c r="BJ493" s="34"/>
      <c r="BK493" s="34"/>
      <c r="BL493" s="34"/>
      <c r="BM493" s="34"/>
      <c r="BN493" s="34"/>
      <c r="BO493" s="34"/>
      <c r="BP493" s="34"/>
      <c r="BY493" s="34"/>
      <c r="BZ493" s="34"/>
      <c r="CA493" s="34"/>
      <c r="CB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</row>
    <row r="494" ht="15.75" customHeight="1">
      <c r="B494" s="34"/>
      <c r="E494" s="34"/>
      <c r="F494" s="34"/>
      <c r="G494" s="34"/>
      <c r="H494" s="34"/>
      <c r="I494" s="34"/>
      <c r="J494" s="34"/>
      <c r="K494" s="34"/>
      <c r="L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AA494" s="34"/>
      <c r="AB494" s="34"/>
      <c r="AC494" s="34"/>
      <c r="AD494" s="34"/>
      <c r="AE494" s="34"/>
      <c r="AF494" s="34"/>
      <c r="AG494" s="34"/>
      <c r="AH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I494" s="34"/>
      <c r="BJ494" s="34"/>
      <c r="BK494" s="34"/>
      <c r="BL494" s="34"/>
      <c r="BM494" s="34"/>
      <c r="BN494" s="34"/>
      <c r="BO494" s="34"/>
      <c r="BP494" s="34"/>
      <c r="BY494" s="34"/>
      <c r="BZ494" s="34"/>
      <c r="CA494" s="34"/>
      <c r="CB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</row>
    <row r="495" ht="15.75" customHeight="1">
      <c r="B495" s="34"/>
      <c r="E495" s="34"/>
      <c r="F495" s="34"/>
      <c r="G495" s="34"/>
      <c r="H495" s="34"/>
      <c r="I495" s="34"/>
      <c r="J495" s="34"/>
      <c r="K495" s="34"/>
      <c r="L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AA495" s="34"/>
      <c r="AB495" s="34"/>
      <c r="AC495" s="34"/>
      <c r="AD495" s="34"/>
      <c r="AE495" s="34"/>
      <c r="AF495" s="34"/>
      <c r="AG495" s="34"/>
      <c r="AH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I495" s="34"/>
      <c r="BJ495" s="34"/>
      <c r="BK495" s="34"/>
      <c r="BL495" s="34"/>
      <c r="BM495" s="34"/>
      <c r="BN495" s="34"/>
      <c r="BO495" s="34"/>
      <c r="BP495" s="34"/>
      <c r="BY495" s="34"/>
      <c r="BZ495" s="34"/>
      <c r="CA495" s="34"/>
      <c r="CB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</row>
    <row r="496" ht="15.75" customHeight="1">
      <c r="B496" s="34"/>
      <c r="E496" s="34"/>
      <c r="F496" s="34"/>
      <c r="G496" s="34"/>
      <c r="H496" s="34"/>
      <c r="I496" s="34"/>
      <c r="J496" s="34"/>
      <c r="K496" s="34"/>
      <c r="L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AA496" s="34"/>
      <c r="AB496" s="34"/>
      <c r="AC496" s="34"/>
      <c r="AD496" s="34"/>
      <c r="AE496" s="34"/>
      <c r="AF496" s="34"/>
      <c r="AG496" s="34"/>
      <c r="AH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I496" s="34"/>
      <c r="BJ496" s="34"/>
      <c r="BK496" s="34"/>
      <c r="BL496" s="34"/>
      <c r="BM496" s="34"/>
      <c r="BN496" s="34"/>
      <c r="BO496" s="34"/>
      <c r="BP496" s="34"/>
      <c r="BY496" s="34"/>
      <c r="BZ496" s="34"/>
      <c r="CA496" s="34"/>
      <c r="CB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</row>
    <row r="497" ht="15.75" customHeight="1">
      <c r="B497" s="34"/>
      <c r="E497" s="34"/>
      <c r="F497" s="34"/>
      <c r="G497" s="34"/>
      <c r="H497" s="34"/>
      <c r="I497" s="34"/>
      <c r="J497" s="34"/>
      <c r="K497" s="34"/>
      <c r="L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AA497" s="34"/>
      <c r="AB497" s="34"/>
      <c r="AC497" s="34"/>
      <c r="AD497" s="34"/>
      <c r="AE497" s="34"/>
      <c r="AF497" s="34"/>
      <c r="AG497" s="34"/>
      <c r="AH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I497" s="34"/>
      <c r="BJ497" s="34"/>
      <c r="BK497" s="34"/>
      <c r="BL497" s="34"/>
      <c r="BM497" s="34"/>
      <c r="BN497" s="34"/>
      <c r="BO497" s="34"/>
      <c r="BP497" s="34"/>
      <c r="BY497" s="34"/>
      <c r="BZ497" s="34"/>
      <c r="CA497" s="34"/>
      <c r="CB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</row>
    <row r="498" ht="15.75" customHeight="1">
      <c r="B498" s="34"/>
      <c r="E498" s="34"/>
      <c r="F498" s="34"/>
      <c r="G498" s="34"/>
      <c r="H498" s="34"/>
      <c r="I498" s="34"/>
      <c r="J498" s="34"/>
      <c r="K498" s="34"/>
      <c r="L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AA498" s="34"/>
      <c r="AB498" s="34"/>
      <c r="AC498" s="34"/>
      <c r="AD498" s="34"/>
      <c r="AE498" s="34"/>
      <c r="AF498" s="34"/>
      <c r="AG498" s="34"/>
      <c r="AH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I498" s="34"/>
      <c r="BJ498" s="34"/>
      <c r="BK498" s="34"/>
      <c r="BL498" s="34"/>
      <c r="BM498" s="34"/>
      <c r="BN498" s="34"/>
      <c r="BO498" s="34"/>
      <c r="BP498" s="34"/>
      <c r="BY498" s="34"/>
      <c r="BZ498" s="34"/>
      <c r="CA498" s="34"/>
      <c r="CB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</row>
    <row r="499" ht="15.75" customHeight="1">
      <c r="B499" s="34"/>
      <c r="E499" s="34"/>
      <c r="F499" s="34"/>
      <c r="G499" s="34"/>
      <c r="H499" s="34"/>
      <c r="I499" s="34"/>
      <c r="J499" s="34"/>
      <c r="K499" s="34"/>
      <c r="L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AA499" s="34"/>
      <c r="AB499" s="34"/>
      <c r="AC499" s="34"/>
      <c r="AD499" s="34"/>
      <c r="AE499" s="34"/>
      <c r="AF499" s="34"/>
      <c r="AG499" s="34"/>
      <c r="AH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I499" s="34"/>
      <c r="BJ499" s="34"/>
      <c r="BK499" s="34"/>
      <c r="BL499" s="34"/>
      <c r="BM499" s="34"/>
      <c r="BN499" s="34"/>
      <c r="BO499" s="34"/>
      <c r="BP499" s="34"/>
      <c r="BY499" s="34"/>
      <c r="BZ499" s="34"/>
      <c r="CA499" s="34"/>
      <c r="CB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</row>
    <row r="500" ht="15.75" customHeight="1">
      <c r="B500" s="34"/>
      <c r="E500" s="34"/>
      <c r="F500" s="34"/>
      <c r="G500" s="34"/>
      <c r="H500" s="34"/>
      <c r="I500" s="34"/>
      <c r="J500" s="34"/>
      <c r="K500" s="34"/>
      <c r="L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AA500" s="34"/>
      <c r="AB500" s="34"/>
      <c r="AC500" s="34"/>
      <c r="AD500" s="34"/>
      <c r="AE500" s="34"/>
      <c r="AF500" s="34"/>
      <c r="AG500" s="34"/>
      <c r="AH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I500" s="34"/>
      <c r="BJ500" s="34"/>
      <c r="BK500" s="34"/>
      <c r="BL500" s="34"/>
      <c r="BM500" s="34"/>
      <c r="BN500" s="34"/>
      <c r="BO500" s="34"/>
      <c r="BP500" s="34"/>
      <c r="BY500" s="34"/>
      <c r="BZ500" s="34"/>
      <c r="CA500" s="34"/>
      <c r="CB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</row>
    <row r="501" ht="15.75" customHeight="1">
      <c r="B501" s="34"/>
      <c r="E501" s="34"/>
      <c r="F501" s="34"/>
      <c r="G501" s="34"/>
      <c r="H501" s="34"/>
      <c r="I501" s="34"/>
      <c r="J501" s="34"/>
      <c r="K501" s="34"/>
      <c r="L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AA501" s="34"/>
      <c r="AB501" s="34"/>
      <c r="AC501" s="34"/>
      <c r="AD501" s="34"/>
      <c r="AE501" s="34"/>
      <c r="AF501" s="34"/>
      <c r="AG501" s="34"/>
      <c r="AH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I501" s="34"/>
      <c r="BJ501" s="34"/>
      <c r="BK501" s="34"/>
      <c r="BL501" s="34"/>
      <c r="BM501" s="34"/>
      <c r="BN501" s="34"/>
      <c r="BO501" s="34"/>
      <c r="BP501" s="34"/>
      <c r="BY501" s="34"/>
      <c r="BZ501" s="34"/>
      <c r="CA501" s="34"/>
      <c r="CB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</row>
    <row r="502" ht="15.75" customHeight="1">
      <c r="B502" s="34"/>
      <c r="E502" s="34"/>
      <c r="F502" s="34"/>
      <c r="G502" s="34"/>
      <c r="H502" s="34"/>
      <c r="I502" s="34"/>
      <c r="J502" s="34"/>
      <c r="K502" s="34"/>
      <c r="L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AA502" s="34"/>
      <c r="AB502" s="34"/>
      <c r="AC502" s="34"/>
      <c r="AD502" s="34"/>
      <c r="AE502" s="34"/>
      <c r="AF502" s="34"/>
      <c r="AG502" s="34"/>
      <c r="AH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I502" s="34"/>
      <c r="BJ502" s="34"/>
      <c r="BK502" s="34"/>
      <c r="BL502" s="34"/>
      <c r="BM502" s="34"/>
      <c r="BN502" s="34"/>
      <c r="BO502" s="34"/>
      <c r="BP502" s="34"/>
      <c r="BY502" s="34"/>
      <c r="BZ502" s="34"/>
      <c r="CA502" s="34"/>
      <c r="CB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</row>
    <row r="503" ht="15.75" customHeight="1">
      <c r="B503" s="34"/>
      <c r="E503" s="34"/>
      <c r="F503" s="34"/>
      <c r="G503" s="34"/>
      <c r="H503" s="34"/>
      <c r="I503" s="34"/>
      <c r="J503" s="34"/>
      <c r="K503" s="34"/>
      <c r="L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AA503" s="34"/>
      <c r="AB503" s="34"/>
      <c r="AC503" s="34"/>
      <c r="AD503" s="34"/>
      <c r="AE503" s="34"/>
      <c r="AF503" s="34"/>
      <c r="AG503" s="34"/>
      <c r="AH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I503" s="34"/>
      <c r="BJ503" s="34"/>
      <c r="BK503" s="34"/>
      <c r="BL503" s="34"/>
      <c r="BM503" s="34"/>
      <c r="BN503" s="34"/>
      <c r="BO503" s="34"/>
      <c r="BP503" s="34"/>
      <c r="BY503" s="34"/>
      <c r="BZ503" s="34"/>
      <c r="CA503" s="34"/>
      <c r="CB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</row>
    <row r="504" ht="15.75" customHeight="1">
      <c r="B504" s="34"/>
      <c r="E504" s="34"/>
      <c r="F504" s="34"/>
      <c r="G504" s="34"/>
      <c r="H504" s="34"/>
      <c r="I504" s="34"/>
      <c r="J504" s="34"/>
      <c r="K504" s="34"/>
      <c r="L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AA504" s="34"/>
      <c r="AB504" s="34"/>
      <c r="AC504" s="34"/>
      <c r="AD504" s="34"/>
      <c r="AE504" s="34"/>
      <c r="AF504" s="34"/>
      <c r="AG504" s="34"/>
      <c r="AH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I504" s="34"/>
      <c r="BJ504" s="34"/>
      <c r="BK504" s="34"/>
      <c r="BL504" s="34"/>
      <c r="BM504" s="34"/>
      <c r="BN504" s="34"/>
      <c r="BO504" s="34"/>
      <c r="BP504" s="34"/>
      <c r="BY504" s="34"/>
      <c r="BZ504" s="34"/>
      <c r="CA504" s="34"/>
      <c r="CB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</row>
    <row r="505" ht="15.75" customHeight="1">
      <c r="B505" s="34"/>
      <c r="E505" s="34"/>
      <c r="F505" s="34"/>
      <c r="G505" s="34"/>
      <c r="H505" s="34"/>
      <c r="I505" s="34"/>
      <c r="J505" s="34"/>
      <c r="K505" s="34"/>
      <c r="L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AA505" s="34"/>
      <c r="AB505" s="34"/>
      <c r="AC505" s="34"/>
      <c r="AD505" s="34"/>
      <c r="AE505" s="34"/>
      <c r="AF505" s="34"/>
      <c r="AG505" s="34"/>
      <c r="AH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I505" s="34"/>
      <c r="BJ505" s="34"/>
      <c r="BK505" s="34"/>
      <c r="BL505" s="34"/>
      <c r="BM505" s="34"/>
      <c r="BN505" s="34"/>
      <c r="BO505" s="34"/>
      <c r="BP505" s="34"/>
      <c r="BY505" s="34"/>
      <c r="BZ505" s="34"/>
      <c r="CA505" s="34"/>
      <c r="CB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</row>
    <row r="506" ht="15.75" customHeight="1">
      <c r="B506" s="34"/>
      <c r="E506" s="34"/>
      <c r="F506" s="34"/>
      <c r="G506" s="34"/>
      <c r="H506" s="34"/>
      <c r="I506" s="34"/>
      <c r="J506" s="34"/>
      <c r="K506" s="34"/>
      <c r="L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AA506" s="34"/>
      <c r="AB506" s="34"/>
      <c r="AC506" s="34"/>
      <c r="AD506" s="34"/>
      <c r="AE506" s="34"/>
      <c r="AF506" s="34"/>
      <c r="AG506" s="34"/>
      <c r="AH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I506" s="34"/>
      <c r="BJ506" s="34"/>
      <c r="BK506" s="34"/>
      <c r="BL506" s="34"/>
      <c r="BM506" s="34"/>
      <c r="BN506" s="34"/>
      <c r="BO506" s="34"/>
      <c r="BP506" s="34"/>
      <c r="BY506" s="34"/>
      <c r="BZ506" s="34"/>
      <c r="CA506" s="34"/>
      <c r="CB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</row>
    <row r="507" ht="15.75" customHeight="1">
      <c r="B507" s="34"/>
      <c r="E507" s="34"/>
      <c r="F507" s="34"/>
      <c r="G507" s="34"/>
      <c r="H507" s="34"/>
      <c r="I507" s="34"/>
      <c r="J507" s="34"/>
      <c r="K507" s="34"/>
      <c r="L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AA507" s="34"/>
      <c r="AB507" s="34"/>
      <c r="AC507" s="34"/>
      <c r="AD507" s="34"/>
      <c r="AE507" s="34"/>
      <c r="AF507" s="34"/>
      <c r="AG507" s="34"/>
      <c r="AH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I507" s="34"/>
      <c r="BJ507" s="34"/>
      <c r="BK507" s="34"/>
      <c r="BL507" s="34"/>
      <c r="BM507" s="34"/>
      <c r="BN507" s="34"/>
      <c r="BO507" s="34"/>
      <c r="BP507" s="34"/>
      <c r="BY507" s="34"/>
      <c r="BZ507" s="34"/>
      <c r="CA507" s="34"/>
      <c r="CB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</row>
    <row r="508" ht="15.75" customHeight="1">
      <c r="B508" s="34"/>
      <c r="E508" s="34"/>
      <c r="F508" s="34"/>
      <c r="G508" s="34"/>
      <c r="H508" s="34"/>
      <c r="I508" s="34"/>
      <c r="J508" s="34"/>
      <c r="K508" s="34"/>
      <c r="L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AA508" s="34"/>
      <c r="AB508" s="34"/>
      <c r="AC508" s="34"/>
      <c r="AD508" s="34"/>
      <c r="AE508" s="34"/>
      <c r="AF508" s="34"/>
      <c r="AG508" s="34"/>
      <c r="AH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I508" s="34"/>
      <c r="BJ508" s="34"/>
      <c r="BK508" s="34"/>
      <c r="BL508" s="34"/>
      <c r="BM508" s="34"/>
      <c r="BN508" s="34"/>
      <c r="BO508" s="34"/>
      <c r="BP508" s="34"/>
      <c r="BY508" s="34"/>
      <c r="BZ508" s="34"/>
      <c r="CA508" s="34"/>
      <c r="CB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</row>
    <row r="509" ht="15.75" customHeight="1">
      <c r="B509" s="34"/>
      <c r="E509" s="34"/>
      <c r="F509" s="34"/>
      <c r="G509" s="34"/>
      <c r="H509" s="34"/>
      <c r="I509" s="34"/>
      <c r="J509" s="34"/>
      <c r="K509" s="34"/>
      <c r="L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AA509" s="34"/>
      <c r="AB509" s="34"/>
      <c r="AC509" s="34"/>
      <c r="AD509" s="34"/>
      <c r="AE509" s="34"/>
      <c r="AF509" s="34"/>
      <c r="AG509" s="34"/>
      <c r="AH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I509" s="34"/>
      <c r="BJ509" s="34"/>
      <c r="BK509" s="34"/>
      <c r="BL509" s="34"/>
      <c r="BM509" s="34"/>
      <c r="BN509" s="34"/>
      <c r="BO509" s="34"/>
      <c r="BP509" s="34"/>
      <c r="BY509" s="34"/>
      <c r="BZ509" s="34"/>
      <c r="CA509" s="34"/>
      <c r="CB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</row>
    <row r="510" ht="15.75" customHeight="1">
      <c r="B510" s="34"/>
      <c r="E510" s="34"/>
      <c r="F510" s="34"/>
      <c r="G510" s="34"/>
      <c r="H510" s="34"/>
      <c r="I510" s="34"/>
      <c r="J510" s="34"/>
      <c r="K510" s="34"/>
      <c r="L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AA510" s="34"/>
      <c r="AB510" s="34"/>
      <c r="AC510" s="34"/>
      <c r="AD510" s="34"/>
      <c r="AE510" s="34"/>
      <c r="AF510" s="34"/>
      <c r="AG510" s="34"/>
      <c r="AH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I510" s="34"/>
      <c r="BJ510" s="34"/>
      <c r="BK510" s="34"/>
      <c r="BL510" s="34"/>
      <c r="BM510" s="34"/>
      <c r="BN510" s="34"/>
      <c r="BO510" s="34"/>
      <c r="BP510" s="34"/>
      <c r="BY510" s="34"/>
      <c r="BZ510" s="34"/>
      <c r="CA510" s="34"/>
      <c r="CB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</row>
    <row r="511" ht="15.75" customHeight="1">
      <c r="B511" s="34"/>
      <c r="E511" s="34"/>
      <c r="F511" s="34"/>
      <c r="G511" s="34"/>
      <c r="H511" s="34"/>
      <c r="I511" s="34"/>
      <c r="J511" s="34"/>
      <c r="K511" s="34"/>
      <c r="L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AA511" s="34"/>
      <c r="AB511" s="34"/>
      <c r="AC511" s="34"/>
      <c r="AD511" s="34"/>
      <c r="AE511" s="34"/>
      <c r="AF511" s="34"/>
      <c r="AG511" s="34"/>
      <c r="AH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I511" s="34"/>
      <c r="BJ511" s="34"/>
      <c r="BK511" s="34"/>
      <c r="BL511" s="34"/>
      <c r="BM511" s="34"/>
      <c r="BN511" s="34"/>
      <c r="BO511" s="34"/>
      <c r="BP511" s="34"/>
      <c r="BY511" s="34"/>
      <c r="BZ511" s="34"/>
      <c r="CA511" s="34"/>
      <c r="CB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</row>
    <row r="512" ht="15.75" customHeight="1">
      <c r="B512" s="34"/>
      <c r="E512" s="34"/>
      <c r="F512" s="34"/>
      <c r="G512" s="34"/>
      <c r="H512" s="34"/>
      <c r="I512" s="34"/>
      <c r="J512" s="34"/>
      <c r="K512" s="34"/>
      <c r="L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AA512" s="34"/>
      <c r="AB512" s="34"/>
      <c r="AC512" s="34"/>
      <c r="AD512" s="34"/>
      <c r="AE512" s="34"/>
      <c r="AF512" s="34"/>
      <c r="AG512" s="34"/>
      <c r="AH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I512" s="34"/>
      <c r="BJ512" s="34"/>
      <c r="BK512" s="34"/>
      <c r="BL512" s="34"/>
      <c r="BM512" s="34"/>
      <c r="BN512" s="34"/>
      <c r="BO512" s="34"/>
      <c r="BP512" s="34"/>
      <c r="BY512" s="34"/>
      <c r="BZ512" s="34"/>
      <c r="CA512" s="34"/>
      <c r="CB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</row>
    <row r="513" ht="15.75" customHeight="1">
      <c r="B513" s="34"/>
      <c r="E513" s="34"/>
      <c r="F513" s="34"/>
      <c r="G513" s="34"/>
      <c r="H513" s="34"/>
      <c r="I513" s="34"/>
      <c r="J513" s="34"/>
      <c r="K513" s="34"/>
      <c r="L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AA513" s="34"/>
      <c r="AB513" s="34"/>
      <c r="AC513" s="34"/>
      <c r="AD513" s="34"/>
      <c r="AE513" s="34"/>
      <c r="AF513" s="34"/>
      <c r="AG513" s="34"/>
      <c r="AH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I513" s="34"/>
      <c r="BJ513" s="34"/>
      <c r="BK513" s="34"/>
      <c r="BL513" s="34"/>
      <c r="BM513" s="34"/>
      <c r="BN513" s="34"/>
      <c r="BO513" s="34"/>
      <c r="BP513" s="34"/>
      <c r="BY513" s="34"/>
      <c r="BZ513" s="34"/>
      <c r="CA513" s="34"/>
      <c r="CB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</row>
    <row r="514" ht="15.75" customHeight="1">
      <c r="B514" s="34"/>
      <c r="E514" s="34"/>
      <c r="F514" s="34"/>
      <c r="G514" s="34"/>
      <c r="H514" s="34"/>
      <c r="I514" s="34"/>
      <c r="J514" s="34"/>
      <c r="K514" s="34"/>
      <c r="L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AA514" s="34"/>
      <c r="AB514" s="34"/>
      <c r="AC514" s="34"/>
      <c r="AD514" s="34"/>
      <c r="AE514" s="34"/>
      <c r="AF514" s="34"/>
      <c r="AG514" s="34"/>
      <c r="AH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I514" s="34"/>
      <c r="BJ514" s="34"/>
      <c r="BK514" s="34"/>
      <c r="BL514" s="34"/>
      <c r="BM514" s="34"/>
      <c r="BN514" s="34"/>
      <c r="BO514" s="34"/>
      <c r="BP514" s="34"/>
      <c r="BY514" s="34"/>
      <c r="BZ514" s="34"/>
      <c r="CA514" s="34"/>
      <c r="CB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</row>
    <row r="515" ht="15.75" customHeight="1">
      <c r="B515" s="34"/>
      <c r="E515" s="34"/>
      <c r="F515" s="34"/>
      <c r="G515" s="34"/>
      <c r="H515" s="34"/>
      <c r="I515" s="34"/>
      <c r="J515" s="34"/>
      <c r="K515" s="34"/>
      <c r="L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AA515" s="34"/>
      <c r="AB515" s="34"/>
      <c r="AC515" s="34"/>
      <c r="AD515" s="34"/>
      <c r="AE515" s="34"/>
      <c r="AF515" s="34"/>
      <c r="AG515" s="34"/>
      <c r="AH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I515" s="34"/>
      <c r="BJ515" s="34"/>
      <c r="BK515" s="34"/>
      <c r="BL515" s="34"/>
      <c r="BM515" s="34"/>
      <c r="BN515" s="34"/>
      <c r="BO515" s="34"/>
      <c r="BP515" s="34"/>
      <c r="BY515" s="34"/>
      <c r="BZ515" s="34"/>
      <c r="CA515" s="34"/>
      <c r="CB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</row>
    <row r="516" ht="15.75" customHeight="1">
      <c r="B516" s="34"/>
      <c r="E516" s="34"/>
      <c r="F516" s="34"/>
      <c r="G516" s="34"/>
      <c r="H516" s="34"/>
      <c r="I516" s="34"/>
      <c r="J516" s="34"/>
      <c r="K516" s="34"/>
      <c r="L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AA516" s="34"/>
      <c r="AB516" s="34"/>
      <c r="AC516" s="34"/>
      <c r="AD516" s="34"/>
      <c r="AE516" s="34"/>
      <c r="AF516" s="34"/>
      <c r="AG516" s="34"/>
      <c r="AH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I516" s="34"/>
      <c r="BJ516" s="34"/>
      <c r="BK516" s="34"/>
      <c r="BL516" s="34"/>
      <c r="BM516" s="34"/>
      <c r="BN516" s="34"/>
      <c r="BO516" s="34"/>
      <c r="BP516" s="34"/>
      <c r="BY516" s="34"/>
      <c r="BZ516" s="34"/>
      <c r="CA516" s="34"/>
      <c r="CB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</row>
    <row r="517" ht="15.75" customHeight="1">
      <c r="B517" s="34"/>
      <c r="E517" s="34"/>
      <c r="F517" s="34"/>
      <c r="G517" s="34"/>
      <c r="H517" s="34"/>
      <c r="I517" s="34"/>
      <c r="J517" s="34"/>
      <c r="K517" s="34"/>
      <c r="L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AA517" s="34"/>
      <c r="AB517" s="34"/>
      <c r="AC517" s="34"/>
      <c r="AD517" s="34"/>
      <c r="AE517" s="34"/>
      <c r="AF517" s="34"/>
      <c r="AG517" s="34"/>
      <c r="AH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I517" s="34"/>
      <c r="BJ517" s="34"/>
      <c r="BK517" s="34"/>
      <c r="BL517" s="34"/>
      <c r="BM517" s="34"/>
      <c r="BN517" s="34"/>
      <c r="BO517" s="34"/>
      <c r="BP517" s="34"/>
      <c r="BY517" s="34"/>
      <c r="BZ517" s="34"/>
      <c r="CA517" s="34"/>
      <c r="CB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</row>
    <row r="518" ht="15.75" customHeight="1">
      <c r="B518" s="34"/>
      <c r="E518" s="34"/>
      <c r="F518" s="34"/>
      <c r="G518" s="34"/>
      <c r="H518" s="34"/>
      <c r="I518" s="34"/>
      <c r="J518" s="34"/>
      <c r="K518" s="34"/>
      <c r="L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AA518" s="34"/>
      <c r="AB518" s="34"/>
      <c r="AC518" s="34"/>
      <c r="AD518" s="34"/>
      <c r="AE518" s="34"/>
      <c r="AF518" s="34"/>
      <c r="AG518" s="34"/>
      <c r="AH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I518" s="34"/>
      <c r="BJ518" s="34"/>
      <c r="BK518" s="34"/>
      <c r="BL518" s="34"/>
      <c r="BM518" s="34"/>
      <c r="BN518" s="34"/>
      <c r="BO518" s="34"/>
      <c r="BP518" s="34"/>
      <c r="BY518" s="34"/>
      <c r="BZ518" s="34"/>
      <c r="CA518" s="34"/>
      <c r="CB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</row>
    <row r="519" ht="15.75" customHeight="1">
      <c r="B519" s="34"/>
      <c r="E519" s="34"/>
      <c r="F519" s="34"/>
      <c r="G519" s="34"/>
      <c r="H519" s="34"/>
      <c r="I519" s="34"/>
      <c r="J519" s="34"/>
      <c r="K519" s="34"/>
      <c r="L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AA519" s="34"/>
      <c r="AB519" s="34"/>
      <c r="AC519" s="34"/>
      <c r="AD519" s="34"/>
      <c r="AE519" s="34"/>
      <c r="AF519" s="34"/>
      <c r="AG519" s="34"/>
      <c r="AH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I519" s="34"/>
      <c r="BJ519" s="34"/>
      <c r="BK519" s="34"/>
      <c r="BL519" s="34"/>
      <c r="BM519" s="34"/>
      <c r="BN519" s="34"/>
      <c r="BO519" s="34"/>
      <c r="BP519" s="34"/>
      <c r="BY519" s="34"/>
      <c r="BZ519" s="34"/>
      <c r="CA519" s="34"/>
      <c r="CB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</row>
    <row r="520" ht="15.75" customHeight="1">
      <c r="B520" s="34"/>
      <c r="E520" s="34"/>
      <c r="F520" s="34"/>
      <c r="G520" s="34"/>
      <c r="H520" s="34"/>
      <c r="I520" s="34"/>
      <c r="J520" s="34"/>
      <c r="K520" s="34"/>
      <c r="L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AA520" s="34"/>
      <c r="AB520" s="34"/>
      <c r="AC520" s="34"/>
      <c r="AD520" s="34"/>
      <c r="AE520" s="34"/>
      <c r="AF520" s="34"/>
      <c r="AG520" s="34"/>
      <c r="AH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I520" s="34"/>
      <c r="BJ520" s="34"/>
      <c r="BK520" s="34"/>
      <c r="BL520" s="34"/>
      <c r="BM520" s="34"/>
      <c r="BN520" s="34"/>
      <c r="BO520" s="34"/>
      <c r="BP520" s="34"/>
      <c r="BY520" s="34"/>
      <c r="BZ520" s="34"/>
      <c r="CA520" s="34"/>
      <c r="CB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</row>
    <row r="521" ht="15.75" customHeight="1">
      <c r="B521" s="34"/>
      <c r="E521" s="34"/>
      <c r="F521" s="34"/>
      <c r="G521" s="34"/>
      <c r="H521" s="34"/>
      <c r="I521" s="34"/>
      <c r="J521" s="34"/>
      <c r="K521" s="34"/>
      <c r="L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AA521" s="34"/>
      <c r="AB521" s="34"/>
      <c r="AC521" s="34"/>
      <c r="AD521" s="34"/>
      <c r="AE521" s="34"/>
      <c r="AF521" s="34"/>
      <c r="AG521" s="34"/>
      <c r="AH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I521" s="34"/>
      <c r="BJ521" s="34"/>
      <c r="BK521" s="34"/>
      <c r="BL521" s="34"/>
      <c r="BM521" s="34"/>
      <c r="BN521" s="34"/>
      <c r="BO521" s="34"/>
      <c r="BP521" s="34"/>
      <c r="BY521" s="34"/>
      <c r="BZ521" s="34"/>
      <c r="CA521" s="34"/>
      <c r="CB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</row>
    <row r="522" ht="15.75" customHeight="1">
      <c r="B522" s="34"/>
      <c r="E522" s="34"/>
      <c r="F522" s="34"/>
      <c r="G522" s="34"/>
      <c r="H522" s="34"/>
      <c r="I522" s="34"/>
      <c r="J522" s="34"/>
      <c r="K522" s="34"/>
      <c r="L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AA522" s="34"/>
      <c r="AB522" s="34"/>
      <c r="AC522" s="34"/>
      <c r="AD522" s="34"/>
      <c r="AE522" s="34"/>
      <c r="AF522" s="34"/>
      <c r="AG522" s="34"/>
      <c r="AH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I522" s="34"/>
      <c r="BJ522" s="34"/>
      <c r="BK522" s="34"/>
      <c r="BL522" s="34"/>
      <c r="BM522" s="34"/>
      <c r="BN522" s="34"/>
      <c r="BO522" s="34"/>
      <c r="BP522" s="34"/>
      <c r="BY522" s="34"/>
      <c r="BZ522" s="34"/>
      <c r="CA522" s="34"/>
      <c r="CB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</row>
    <row r="523" ht="15.75" customHeight="1">
      <c r="B523" s="34"/>
      <c r="E523" s="34"/>
      <c r="F523" s="34"/>
      <c r="G523" s="34"/>
      <c r="H523" s="34"/>
      <c r="I523" s="34"/>
      <c r="J523" s="34"/>
      <c r="K523" s="34"/>
      <c r="L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AA523" s="34"/>
      <c r="AB523" s="34"/>
      <c r="AC523" s="34"/>
      <c r="AD523" s="34"/>
      <c r="AE523" s="34"/>
      <c r="AF523" s="34"/>
      <c r="AG523" s="34"/>
      <c r="AH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I523" s="34"/>
      <c r="BJ523" s="34"/>
      <c r="BK523" s="34"/>
      <c r="BL523" s="34"/>
      <c r="BM523" s="34"/>
      <c r="BN523" s="34"/>
      <c r="BO523" s="34"/>
      <c r="BP523" s="34"/>
      <c r="BY523" s="34"/>
      <c r="BZ523" s="34"/>
      <c r="CA523" s="34"/>
      <c r="CB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</row>
    <row r="524" ht="15.75" customHeight="1">
      <c r="B524" s="34"/>
      <c r="E524" s="34"/>
      <c r="F524" s="34"/>
      <c r="G524" s="34"/>
      <c r="H524" s="34"/>
      <c r="I524" s="34"/>
      <c r="J524" s="34"/>
      <c r="K524" s="34"/>
      <c r="L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AA524" s="34"/>
      <c r="AB524" s="34"/>
      <c r="AC524" s="34"/>
      <c r="AD524" s="34"/>
      <c r="AE524" s="34"/>
      <c r="AF524" s="34"/>
      <c r="AG524" s="34"/>
      <c r="AH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I524" s="34"/>
      <c r="BJ524" s="34"/>
      <c r="BK524" s="34"/>
      <c r="BL524" s="34"/>
      <c r="BM524" s="34"/>
      <c r="BN524" s="34"/>
      <c r="BO524" s="34"/>
      <c r="BP524" s="34"/>
      <c r="BY524" s="34"/>
      <c r="BZ524" s="34"/>
      <c r="CA524" s="34"/>
      <c r="CB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</row>
    <row r="525" ht="15.75" customHeight="1">
      <c r="B525" s="34"/>
      <c r="E525" s="34"/>
      <c r="F525" s="34"/>
      <c r="G525" s="34"/>
      <c r="H525" s="34"/>
      <c r="I525" s="34"/>
      <c r="J525" s="34"/>
      <c r="K525" s="34"/>
      <c r="L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AA525" s="34"/>
      <c r="AB525" s="34"/>
      <c r="AC525" s="34"/>
      <c r="AD525" s="34"/>
      <c r="AE525" s="34"/>
      <c r="AF525" s="34"/>
      <c r="AG525" s="34"/>
      <c r="AH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I525" s="34"/>
      <c r="BJ525" s="34"/>
      <c r="BK525" s="34"/>
      <c r="BL525" s="34"/>
      <c r="BM525" s="34"/>
      <c r="BN525" s="34"/>
      <c r="BO525" s="34"/>
      <c r="BP525" s="34"/>
      <c r="BY525" s="34"/>
      <c r="BZ525" s="34"/>
      <c r="CA525" s="34"/>
      <c r="CB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</row>
    <row r="526" ht="15.75" customHeight="1">
      <c r="B526" s="34"/>
      <c r="E526" s="34"/>
      <c r="F526" s="34"/>
      <c r="G526" s="34"/>
      <c r="H526" s="34"/>
      <c r="I526" s="34"/>
      <c r="J526" s="34"/>
      <c r="K526" s="34"/>
      <c r="L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AA526" s="34"/>
      <c r="AB526" s="34"/>
      <c r="AC526" s="34"/>
      <c r="AD526" s="34"/>
      <c r="AE526" s="34"/>
      <c r="AF526" s="34"/>
      <c r="AG526" s="34"/>
      <c r="AH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I526" s="34"/>
      <c r="BJ526" s="34"/>
      <c r="BK526" s="34"/>
      <c r="BL526" s="34"/>
      <c r="BM526" s="34"/>
      <c r="BN526" s="34"/>
      <c r="BO526" s="34"/>
      <c r="BP526" s="34"/>
      <c r="BY526" s="34"/>
      <c r="BZ526" s="34"/>
      <c r="CA526" s="34"/>
      <c r="CB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</row>
    <row r="527" ht="15.75" customHeight="1">
      <c r="B527" s="34"/>
      <c r="E527" s="34"/>
      <c r="F527" s="34"/>
      <c r="G527" s="34"/>
      <c r="H527" s="34"/>
      <c r="I527" s="34"/>
      <c r="J527" s="34"/>
      <c r="K527" s="34"/>
      <c r="L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AA527" s="34"/>
      <c r="AB527" s="34"/>
      <c r="AC527" s="34"/>
      <c r="AD527" s="34"/>
      <c r="AE527" s="34"/>
      <c r="AF527" s="34"/>
      <c r="AG527" s="34"/>
      <c r="AH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I527" s="34"/>
      <c r="BJ527" s="34"/>
      <c r="BK527" s="34"/>
      <c r="BL527" s="34"/>
      <c r="BM527" s="34"/>
      <c r="BN527" s="34"/>
      <c r="BO527" s="34"/>
      <c r="BP527" s="34"/>
      <c r="BY527" s="34"/>
      <c r="BZ527" s="34"/>
      <c r="CA527" s="34"/>
      <c r="CB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</row>
    <row r="528" ht="15.75" customHeight="1">
      <c r="B528" s="34"/>
      <c r="E528" s="34"/>
      <c r="F528" s="34"/>
      <c r="G528" s="34"/>
      <c r="H528" s="34"/>
      <c r="I528" s="34"/>
      <c r="J528" s="34"/>
      <c r="K528" s="34"/>
      <c r="L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AA528" s="34"/>
      <c r="AB528" s="34"/>
      <c r="AC528" s="34"/>
      <c r="AD528" s="34"/>
      <c r="AE528" s="34"/>
      <c r="AF528" s="34"/>
      <c r="AG528" s="34"/>
      <c r="AH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I528" s="34"/>
      <c r="BJ528" s="34"/>
      <c r="BK528" s="34"/>
      <c r="BL528" s="34"/>
      <c r="BM528" s="34"/>
      <c r="BN528" s="34"/>
      <c r="BO528" s="34"/>
      <c r="BP528" s="34"/>
      <c r="BY528" s="34"/>
      <c r="BZ528" s="34"/>
      <c r="CA528" s="34"/>
      <c r="CB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</row>
    <row r="529" ht="15.75" customHeight="1">
      <c r="B529" s="34"/>
      <c r="E529" s="34"/>
      <c r="F529" s="34"/>
      <c r="G529" s="34"/>
      <c r="H529" s="34"/>
      <c r="I529" s="34"/>
      <c r="J529" s="34"/>
      <c r="K529" s="34"/>
      <c r="L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AA529" s="34"/>
      <c r="AB529" s="34"/>
      <c r="AC529" s="34"/>
      <c r="AD529" s="34"/>
      <c r="AE529" s="34"/>
      <c r="AF529" s="34"/>
      <c r="AG529" s="34"/>
      <c r="AH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I529" s="34"/>
      <c r="BJ529" s="34"/>
      <c r="BK529" s="34"/>
      <c r="BL529" s="34"/>
      <c r="BM529" s="34"/>
      <c r="BN529" s="34"/>
      <c r="BO529" s="34"/>
      <c r="BP529" s="34"/>
      <c r="BY529" s="34"/>
      <c r="BZ529" s="34"/>
      <c r="CA529" s="34"/>
      <c r="CB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</row>
    <row r="530" ht="15.75" customHeight="1">
      <c r="B530" s="34"/>
      <c r="E530" s="34"/>
      <c r="F530" s="34"/>
      <c r="G530" s="34"/>
      <c r="H530" s="34"/>
      <c r="I530" s="34"/>
      <c r="J530" s="34"/>
      <c r="K530" s="34"/>
      <c r="L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AA530" s="34"/>
      <c r="AB530" s="34"/>
      <c r="AC530" s="34"/>
      <c r="AD530" s="34"/>
      <c r="AE530" s="34"/>
      <c r="AF530" s="34"/>
      <c r="AG530" s="34"/>
      <c r="AH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I530" s="34"/>
      <c r="BJ530" s="34"/>
      <c r="BK530" s="34"/>
      <c r="BL530" s="34"/>
      <c r="BM530" s="34"/>
      <c r="BN530" s="34"/>
      <c r="BO530" s="34"/>
      <c r="BP530" s="34"/>
      <c r="BY530" s="34"/>
      <c r="BZ530" s="34"/>
      <c r="CA530" s="34"/>
      <c r="CB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</row>
    <row r="531" ht="15.75" customHeight="1">
      <c r="B531" s="34"/>
      <c r="E531" s="34"/>
      <c r="F531" s="34"/>
      <c r="G531" s="34"/>
      <c r="H531" s="34"/>
      <c r="I531" s="34"/>
      <c r="J531" s="34"/>
      <c r="K531" s="34"/>
      <c r="L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AA531" s="34"/>
      <c r="AB531" s="34"/>
      <c r="AC531" s="34"/>
      <c r="AD531" s="34"/>
      <c r="AE531" s="34"/>
      <c r="AF531" s="34"/>
      <c r="AG531" s="34"/>
      <c r="AH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I531" s="34"/>
      <c r="BJ531" s="34"/>
      <c r="BK531" s="34"/>
      <c r="BL531" s="34"/>
      <c r="BM531" s="34"/>
      <c r="BN531" s="34"/>
      <c r="BO531" s="34"/>
      <c r="BP531" s="34"/>
      <c r="BY531" s="34"/>
      <c r="BZ531" s="34"/>
      <c r="CA531" s="34"/>
      <c r="CB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</row>
    <row r="532" ht="15.75" customHeight="1">
      <c r="B532" s="34"/>
      <c r="E532" s="34"/>
      <c r="F532" s="34"/>
      <c r="G532" s="34"/>
      <c r="H532" s="34"/>
      <c r="I532" s="34"/>
      <c r="J532" s="34"/>
      <c r="K532" s="34"/>
      <c r="L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AA532" s="34"/>
      <c r="AB532" s="34"/>
      <c r="AC532" s="34"/>
      <c r="AD532" s="34"/>
      <c r="AE532" s="34"/>
      <c r="AF532" s="34"/>
      <c r="AG532" s="34"/>
      <c r="AH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I532" s="34"/>
      <c r="BJ532" s="34"/>
      <c r="BK532" s="34"/>
      <c r="BL532" s="34"/>
      <c r="BM532" s="34"/>
      <c r="BN532" s="34"/>
      <c r="BO532" s="34"/>
      <c r="BP532" s="34"/>
      <c r="BY532" s="34"/>
      <c r="BZ532" s="34"/>
      <c r="CA532" s="34"/>
      <c r="CB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</row>
    <row r="533" ht="15.75" customHeight="1">
      <c r="B533" s="34"/>
      <c r="E533" s="34"/>
      <c r="F533" s="34"/>
      <c r="G533" s="34"/>
      <c r="H533" s="34"/>
      <c r="I533" s="34"/>
      <c r="J533" s="34"/>
      <c r="K533" s="34"/>
      <c r="L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AA533" s="34"/>
      <c r="AB533" s="34"/>
      <c r="AC533" s="34"/>
      <c r="AD533" s="34"/>
      <c r="AE533" s="34"/>
      <c r="AF533" s="34"/>
      <c r="AG533" s="34"/>
      <c r="AH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I533" s="34"/>
      <c r="BJ533" s="34"/>
      <c r="BK533" s="34"/>
      <c r="BL533" s="34"/>
      <c r="BM533" s="34"/>
      <c r="BN533" s="34"/>
      <c r="BO533" s="34"/>
      <c r="BP533" s="34"/>
      <c r="BY533" s="34"/>
      <c r="BZ533" s="34"/>
      <c r="CA533" s="34"/>
      <c r="CB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</row>
    <row r="534" ht="15.75" customHeight="1">
      <c r="B534" s="34"/>
      <c r="E534" s="34"/>
      <c r="F534" s="34"/>
      <c r="G534" s="34"/>
      <c r="H534" s="34"/>
      <c r="I534" s="34"/>
      <c r="J534" s="34"/>
      <c r="K534" s="34"/>
      <c r="L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AA534" s="34"/>
      <c r="AB534" s="34"/>
      <c r="AC534" s="34"/>
      <c r="AD534" s="34"/>
      <c r="AE534" s="34"/>
      <c r="AF534" s="34"/>
      <c r="AG534" s="34"/>
      <c r="AH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I534" s="34"/>
      <c r="BJ534" s="34"/>
      <c r="BK534" s="34"/>
      <c r="BL534" s="34"/>
      <c r="BM534" s="34"/>
      <c r="BN534" s="34"/>
      <c r="BO534" s="34"/>
      <c r="BP534" s="34"/>
      <c r="BY534" s="34"/>
      <c r="BZ534" s="34"/>
      <c r="CA534" s="34"/>
      <c r="CB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</row>
    <row r="535" ht="15.75" customHeight="1">
      <c r="B535" s="34"/>
      <c r="E535" s="34"/>
      <c r="F535" s="34"/>
      <c r="G535" s="34"/>
      <c r="H535" s="34"/>
      <c r="I535" s="34"/>
      <c r="J535" s="34"/>
      <c r="K535" s="34"/>
      <c r="L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AA535" s="34"/>
      <c r="AB535" s="34"/>
      <c r="AC535" s="34"/>
      <c r="AD535" s="34"/>
      <c r="AE535" s="34"/>
      <c r="AF535" s="34"/>
      <c r="AG535" s="34"/>
      <c r="AH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I535" s="34"/>
      <c r="BJ535" s="34"/>
      <c r="BK535" s="34"/>
      <c r="BL535" s="34"/>
      <c r="BM535" s="34"/>
      <c r="BN535" s="34"/>
      <c r="BO535" s="34"/>
      <c r="BP535" s="34"/>
      <c r="BY535" s="34"/>
      <c r="BZ535" s="34"/>
      <c r="CA535" s="34"/>
      <c r="CB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</row>
    <row r="536" ht="15.75" customHeight="1">
      <c r="B536" s="34"/>
      <c r="E536" s="34"/>
      <c r="F536" s="34"/>
      <c r="G536" s="34"/>
      <c r="H536" s="34"/>
      <c r="I536" s="34"/>
      <c r="J536" s="34"/>
      <c r="K536" s="34"/>
      <c r="L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AA536" s="34"/>
      <c r="AB536" s="34"/>
      <c r="AC536" s="34"/>
      <c r="AD536" s="34"/>
      <c r="AE536" s="34"/>
      <c r="AF536" s="34"/>
      <c r="AG536" s="34"/>
      <c r="AH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I536" s="34"/>
      <c r="BJ536" s="34"/>
      <c r="BK536" s="34"/>
      <c r="BL536" s="34"/>
      <c r="BM536" s="34"/>
      <c r="BN536" s="34"/>
      <c r="BO536" s="34"/>
      <c r="BP536" s="34"/>
      <c r="BY536" s="34"/>
      <c r="BZ536" s="34"/>
      <c r="CA536" s="34"/>
      <c r="CB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</row>
    <row r="537" ht="15.75" customHeight="1">
      <c r="B537" s="34"/>
      <c r="E537" s="34"/>
      <c r="F537" s="34"/>
      <c r="G537" s="34"/>
      <c r="H537" s="34"/>
      <c r="I537" s="34"/>
      <c r="J537" s="34"/>
      <c r="K537" s="34"/>
      <c r="L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AA537" s="34"/>
      <c r="AB537" s="34"/>
      <c r="AC537" s="34"/>
      <c r="AD537" s="34"/>
      <c r="AE537" s="34"/>
      <c r="AF537" s="34"/>
      <c r="AG537" s="34"/>
      <c r="AH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I537" s="34"/>
      <c r="BJ537" s="34"/>
      <c r="BK537" s="34"/>
      <c r="BL537" s="34"/>
      <c r="BM537" s="34"/>
      <c r="BN537" s="34"/>
      <c r="BO537" s="34"/>
      <c r="BP537" s="34"/>
      <c r="BY537" s="34"/>
      <c r="BZ537" s="34"/>
      <c r="CA537" s="34"/>
      <c r="CB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</row>
    <row r="538" ht="15.75" customHeight="1">
      <c r="B538" s="34"/>
      <c r="E538" s="34"/>
      <c r="F538" s="34"/>
      <c r="G538" s="34"/>
      <c r="H538" s="34"/>
      <c r="I538" s="34"/>
      <c r="J538" s="34"/>
      <c r="K538" s="34"/>
      <c r="L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AA538" s="34"/>
      <c r="AB538" s="34"/>
      <c r="AC538" s="34"/>
      <c r="AD538" s="34"/>
      <c r="AE538" s="34"/>
      <c r="AF538" s="34"/>
      <c r="AG538" s="34"/>
      <c r="AH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I538" s="34"/>
      <c r="BJ538" s="34"/>
      <c r="BK538" s="34"/>
      <c r="BL538" s="34"/>
      <c r="BM538" s="34"/>
      <c r="BN538" s="34"/>
      <c r="BO538" s="34"/>
      <c r="BP538" s="34"/>
      <c r="BY538" s="34"/>
      <c r="BZ538" s="34"/>
      <c r="CA538" s="34"/>
      <c r="CB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</row>
    <row r="539" ht="15.75" customHeight="1">
      <c r="B539" s="34"/>
      <c r="E539" s="34"/>
      <c r="F539" s="34"/>
      <c r="G539" s="34"/>
      <c r="H539" s="34"/>
      <c r="I539" s="34"/>
      <c r="J539" s="34"/>
      <c r="K539" s="34"/>
      <c r="L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AA539" s="34"/>
      <c r="AB539" s="34"/>
      <c r="AC539" s="34"/>
      <c r="AD539" s="34"/>
      <c r="AE539" s="34"/>
      <c r="AF539" s="34"/>
      <c r="AG539" s="34"/>
      <c r="AH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I539" s="34"/>
      <c r="BJ539" s="34"/>
      <c r="BK539" s="34"/>
      <c r="BL539" s="34"/>
      <c r="BM539" s="34"/>
      <c r="BN539" s="34"/>
      <c r="BO539" s="34"/>
      <c r="BP539" s="34"/>
      <c r="BY539" s="34"/>
      <c r="BZ539" s="34"/>
      <c r="CA539" s="34"/>
      <c r="CB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</row>
    <row r="540" ht="15.75" customHeight="1">
      <c r="B540" s="34"/>
      <c r="E540" s="34"/>
      <c r="F540" s="34"/>
      <c r="G540" s="34"/>
      <c r="H540" s="34"/>
      <c r="I540" s="34"/>
      <c r="J540" s="34"/>
      <c r="K540" s="34"/>
      <c r="L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AA540" s="34"/>
      <c r="AB540" s="34"/>
      <c r="AC540" s="34"/>
      <c r="AD540" s="34"/>
      <c r="AE540" s="34"/>
      <c r="AF540" s="34"/>
      <c r="AG540" s="34"/>
      <c r="AH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I540" s="34"/>
      <c r="BJ540" s="34"/>
      <c r="BK540" s="34"/>
      <c r="BL540" s="34"/>
      <c r="BM540" s="34"/>
      <c r="BN540" s="34"/>
      <c r="BO540" s="34"/>
      <c r="BP540" s="34"/>
      <c r="BY540" s="34"/>
      <c r="BZ540" s="34"/>
      <c r="CA540" s="34"/>
      <c r="CB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</row>
    <row r="541" ht="15.75" customHeight="1">
      <c r="B541" s="34"/>
      <c r="E541" s="34"/>
      <c r="F541" s="34"/>
      <c r="G541" s="34"/>
      <c r="H541" s="34"/>
      <c r="I541" s="34"/>
      <c r="J541" s="34"/>
      <c r="K541" s="34"/>
      <c r="L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AA541" s="34"/>
      <c r="AB541" s="34"/>
      <c r="AC541" s="34"/>
      <c r="AD541" s="34"/>
      <c r="AE541" s="34"/>
      <c r="AF541" s="34"/>
      <c r="AG541" s="34"/>
      <c r="AH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I541" s="34"/>
      <c r="BJ541" s="34"/>
      <c r="BK541" s="34"/>
      <c r="BL541" s="34"/>
      <c r="BM541" s="34"/>
      <c r="BN541" s="34"/>
      <c r="BO541" s="34"/>
      <c r="BP541" s="34"/>
      <c r="BY541" s="34"/>
      <c r="BZ541" s="34"/>
      <c r="CA541" s="34"/>
      <c r="CB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</row>
    <row r="542" ht="15.75" customHeight="1">
      <c r="B542" s="34"/>
      <c r="E542" s="34"/>
      <c r="F542" s="34"/>
      <c r="G542" s="34"/>
      <c r="H542" s="34"/>
      <c r="I542" s="34"/>
      <c r="J542" s="34"/>
      <c r="K542" s="34"/>
      <c r="L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AA542" s="34"/>
      <c r="AB542" s="34"/>
      <c r="AC542" s="34"/>
      <c r="AD542" s="34"/>
      <c r="AE542" s="34"/>
      <c r="AF542" s="34"/>
      <c r="AG542" s="34"/>
      <c r="AH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I542" s="34"/>
      <c r="BJ542" s="34"/>
      <c r="BK542" s="34"/>
      <c r="BL542" s="34"/>
      <c r="BM542" s="34"/>
      <c r="BN542" s="34"/>
      <c r="BO542" s="34"/>
      <c r="BP542" s="34"/>
      <c r="BY542" s="34"/>
      <c r="BZ542" s="34"/>
      <c r="CA542" s="34"/>
      <c r="CB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</row>
    <row r="543" ht="15.75" customHeight="1">
      <c r="B543" s="34"/>
      <c r="E543" s="34"/>
      <c r="F543" s="34"/>
      <c r="G543" s="34"/>
      <c r="H543" s="34"/>
      <c r="I543" s="34"/>
      <c r="J543" s="34"/>
      <c r="K543" s="34"/>
      <c r="L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AA543" s="34"/>
      <c r="AB543" s="34"/>
      <c r="AC543" s="34"/>
      <c r="AD543" s="34"/>
      <c r="AE543" s="34"/>
      <c r="AF543" s="34"/>
      <c r="AG543" s="34"/>
      <c r="AH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I543" s="34"/>
      <c r="BJ543" s="34"/>
      <c r="BK543" s="34"/>
      <c r="BL543" s="34"/>
      <c r="BM543" s="34"/>
      <c r="BN543" s="34"/>
      <c r="BO543" s="34"/>
      <c r="BP543" s="34"/>
      <c r="BY543" s="34"/>
      <c r="BZ543" s="34"/>
      <c r="CA543" s="34"/>
      <c r="CB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</row>
    <row r="544" ht="15.75" customHeight="1">
      <c r="B544" s="34"/>
      <c r="E544" s="34"/>
      <c r="F544" s="34"/>
      <c r="G544" s="34"/>
      <c r="H544" s="34"/>
      <c r="I544" s="34"/>
      <c r="J544" s="34"/>
      <c r="K544" s="34"/>
      <c r="L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AA544" s="34"/>
      <c r="AB544" s="34"/>
      <c r="AC544" s="34"/>
      <c r="AD544" s="34"/>
      <c r="AE544" s="34"/>
      <c r="AF544" s="34"/>
      <c r="AG544" s="34"/>
      <c r="AH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I544" s="34"/>
      <c r="BJ544" s="34"/>
      <c r="BK544" s="34"/>
      <c r="BL544" s="34"/>
      <c r="BM544" s="34"/>
      <c r="BN544" s="34"/>
      <c r="BO544" s="34"/>
      <c r="BP544" s="34"/>
      <c r="BY544" s="34"/>
      <c r="BZ544" s="34"/>
      <c r="CA544" s="34"/>
      <c r="CB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</row>
    <row r="545" ht="15.75" customHeight="1">
      <c r="B545" s="34"/>
      <c r="E545" s="34"/>
      <c r="F545" s="34"/>
      <c r="G545" s="34"/>
      <c r="H545" s="34"/>
      <c r="I545" s="34"/>
      <c r="J545" s="34"/>
      <c r="K545" s="34"/>
      <c r="L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AA545" s="34"/>
      <c r="AB545" s="34"/>
      <c r="AC545" s="34"/>
      <c r="AD545" s="34"/>
      <c r="AE545" s="34"/>
      <c r="AF545" s="34"/>
      <c r="AG545" s="34"/>
      <c r="AH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I545" s="34"/>
      <c r="BJ545" s="34"/>
      <c r="BK545" s="34"/>
      <c r="BL545" s="34"/>
      <c r="BM545" s="34"/>
      <c r="BN545" s="34"/>
      <c r="BO545" s="34"/>
      <c r="BP545" s="34"/>
      <c r="BY545" s="34"/>
      <c r="BZ545" s="34"/>
      <c r="CA545" s="34"/>
      <c r="CB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</row>
    <row r="546" ht="15.75" customHeight="1">
      <c r="B546" s="34"/>
      <c r="E546" s="34"/>
      <c r="F546" s="34"/>
      <c r="G546" s="34"/>
      <c r="H546" s="34"/>
      <c r="I546" s="34"/>
      <c r="J546" s="34"/>
      <c r="K546" s="34"/>
      <c r="L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AA546" s="34"/>
      <c r="AB546" s="34"/>
      <c r="AC546" s="34"/>
      <c r="AD546" s="34"/>
      <c r="AE546" s="34"/>
      <c r="AF546" s="34"/>
      <c r="AG546" s="34"/>
      <c r="AH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I546" s="34"/>
      <c r="BJ546" s="34"/>
      <c r="BK546" s="34"/>
      <c r="BL546" s="34"/>
      <c r="BM546" s="34"/>
      <c r="BN546" s="34"/>
      <c r="BO546" s="34"/>
      <c r="BP546" s="34"/>
      <c r="BY546" s="34"/>
      <c r="BZ546" s="34"/>
      <c r="CA546" s="34"/>
      <c r="CB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</row>
    <row r="547" ht="15.75" customHeight="1">
      <c r="B547" s="34"/>
      <c r="E547" s="34"/>
      <c r="F547" s="34"/>
      <c r="G547" s="34"/>
      <c r="H547" s="34"/>
      <c r="I547" s="34"/>
      <c r="J547" s="34"/>
      <c r="K547" s="34"/>
      <c r="L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AA547" s="34"/>
      <c r="AB547" s="34"/>
      <c r="AC547" s="34"/>
      <c r="AD547" s="34"/>
      <c r="AE547" s="34"/>
      <c r="AF547" s="34"/>
      <c r="AG547" s="34"/>
      <c r="AH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I547" s="34"/>
      <c r="BJ547" s="34"/>
      <c r="BK547" s="34"/>
      <c r="BL547" s="34"/>
      <c r="BM547" s="34"/>
      <c r="BN547" s="34"/>
      <c r="BO547" s="34"/>
      <c r="BP547" s="34"/>
      <c r="BY547" s="34"/>
      <c r="BZ547" s="34"/>
      <c r="CA547" s="34"/>
      <c r="CB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</row>
    <row r="548" ht="15.75" customHeight="1">
      <c r="B548" s="34"/>
      <c r="E548" s="34"/>
      <c r="F548" s="34"/>
      <c r="G548" s="34"/>
      <c r="H548" s="34"/>
      <c r="I548" s="34"/>
      <c r="J548" s="34"/>
      <c r="K548" s="34"/>
      <c r="L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AA548" s="34"/>
      <c r="AB548" s="34"/>
      <c r="AC548" s="34"/>
      <c r="AD548" s="34"/>
      <c r="AE548" s="34"/>
      <c r="AF548" s="34"/>
      <c r="AG548" s="34"/>
      <c r="AH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I548" s="34"/>
      <c r="BJ548" s="34"/>
      <c r="BK548" s="34"/>
      <c r="BL548" s="34"/>
      <c r="BM548" s="34"/>
      <c r="BN548" s="34"/>
      <c r="BO548" s="34"/>
      <c r="BP548" s="34"/>
      <c r="BY548" s="34"/>
      <c r="BZ548" s="34"/>
      <c r="CA548" s="34"/>
      <c r="CB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</row>
    <row r="549" ht="15.75" customHeight="1">
      <c r="B549" s="34"/>
      <c r="E549" s="34"/>
      <c r="F549" s="34"/>
      <c r="G549" s="34"/>
      <c r="H549" s="34"/>
      <c r="I549" s="34"/>
      <c r="J549" s="34"/>
      <c r="K549" s="34"/>
      <c r="L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AA549" s="34"/>
      <c r="AB549" s="34"/>
      <c r="AC549" s="34"/>
      <c r="AD549" s="34"/>
      <c r="AE549" s="34"/>
      <c r="AF549" s="34"/>
      <c r="AG549" s="34"/>
      <c r="AH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I549" s="34"/>
      <c r="BJ549" s="34"/>
      <c r="BK549" s="34"/>
      <c r="BL549" s="34"/>
      <c r="BM549" s="34"/>
      <c r="BN549" s="34"/>
      <c r="BO549" s="34"/>
      <c r="BP549" s="34"/>
      <c r="BY549" s="34"/>
      <c r="BZ549" s="34"/>
      <c r="CA549" s="34"/>
      <c r="CB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</row>
    <row r="550" ht="15.75" customHeight="1">
      <c r="B550" s="34"/>
      <c r="E550" s="34"/>
      <c r="F550" s="34"/>
      <c r="G550" s="34"/>
      <c r="H550" s="34"/>
      <c r="I550" s="34"/>
      <c r="J550" s="34"/>
      <c r="K550" s="34"/>
      <c r="L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AA550" s="34"/>
      <c r="AB550" s="34"/>
      <c r="AC550" s="34"/>
      <c r="AD550" s="34"/>
      <c r="AE550" s="34"/>
      <c r="AF550" s="34"/>
      <c r="AG550" s="34"/>
      <c r="AH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I550" s="34"/>
      <c r="BJ550" s="34"/>
      <c r="BK550" s="34"/>
      <c r="BL550" s="34"/>
      <c r="BM550" s="34"/>
      <c r="BN550" s="34"/>
      <c r="BO550" s="34"/>
      <c r="BP550" s="34"/>
      <c r="BY550" s="34"/>
      <c r="BZ550" s="34"/>
      <c r="CA550" s="34"/>
      <c r="CB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</row>
    <row r="551" ht="15.75" customHeight="1">
      <c r="B551" s="34"/>
      <c r="E551" s="34"/>
      <c r="F551" s="34"/>
      <c r="G551" s="34"/>
      <c r="H551" s="34"/>
      <c r="I551" s="34"/>
      <c r="J551" s="34"/>
      <c r="K551" s="34"/>
      <c r="L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AA551" s="34"/>
      <c r="AB551" s="34"/>
      <c r="AC551" s="34"/>
      <c r="AD551" s="34"/>
      <c r="AE551" s="34"/>
      <c r="AF551" s="34"/>
      <c r="AG551" s="34"/>
      <c r="AH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I551" s="34"/>
      <c r="BJ551" s="34"/>
      <c r="BK551" s="34"/>
      <c r="BL551" s="34"/>
      <c r="BM551" s="34"/>
      <c r="BN551" s="34"/>
      <c r="BO551" s="34"/>
      <c r="BP551" s="34"/>
      <c r="BY551" s="34"/>
      <c r="BZ551" s="34"/>
      <c r="CA551" s="34"/>
      <c r="CB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</row>
    <row r="552" ht="15.75" customHeight="1">
      <c r="B552" s="34"/>
      <c r="E552" s="34"/>
      <c r="F552" s="34"/>
      <c r="G552" s="34"/>
      <c r="H552" s="34"/>
      <c r="I552" s="34"/>
      <c r="J552" s="34"/>
      <c r="K552" s="34"/>
      <c r="L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AA552" s="34"/>
      <c r="AB552" s="34"/>
      <c r="AC552" s="34"/>
      <c r="AD552" s="34"/>
      <c r="AE552" s="34"/>
      <c r="AF552" s="34"/>
      <c r="AG552" s="34"/>
      <c r="AH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I552" s="34"/>
      <c r="BJ552" s="34"/>
      <c r="BK552" s="34"/>
      <c r="BL552" s="34"/>
      <c r="BM552" s="34"/>
      <c r="BN552" s="34"/>
      <c r="BO552" s="34"/>
      <c r="BP552" s="34"/>
      <c r="BY552" s="34"/>
      <c r="BZ552" s="34"/>
      <c r="CA552" s="34"/>
      <c r="CB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</row>
    <row r="553" ht="15.75" customHeight="1">
      <c r="B553" s="34"/>
      <c r="E553" s="34"/>
      <c r="F553" s="34"/>
      <c r="G553" s="34"/>
      <c r="H553" s="34"/>
      <c r="I553" s="34"/>
      <c r="J553" s="34"/>
      <c r="K553" s="34"/>
      <c r="L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AA553" s="34"/>
      <c r="AB553" s="34"/>
      <c r="AC553" s="34"/>
      <c r="AD553" s="34"/>
      <c r="AE553" s="34"/>
      <c r="AF553" s="34"/>
      <c r="AG553" s="34"/>
      <c r="AH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I553" s="34"/>
      <c r="BJ553" s="34"/>
      <c r="BK553" s="34"/>
      <c r="BL553" s="34"/>
      <c r="BM553" s="34"/>
      <c r="BN553" s="34"/>
      <c r="BO553" s="34"/>
      <c r="BP553" s="34"/>
      <c r="BY553" s="34"/>
      <c r="BZ553" s="34"/>
      <c r="CA553" s="34"/>
      <c r="CB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</row>
    <row r="554" ht="15.75" customHeight="1">
      <c r="B554" s="34"/>
      <c r="E554" s="34"/>
      <c r="F554" s="34"/>
      <c r="G554" s="34"/>
      <c r="H554" s="34"/>
      <c r="I554" s="34"/>
      <c r="J554" s="34"/>
      <c r="K554" s="34"/>
      <c r="L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AA554" s="34"/>
      <c r="AB554" s="34"/>
      <c r="AC554" s="34"/>
      <c r="AD554" s="34"/>
      <c r="AE554" s="34"/>
      <c r="AF554" s="34"/>
      <c r="AG554" s="34"/>
      <c r="AH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I554" s="34"/>
      <c r="BJ554" s="34"/>
      <c r="BK554" s="34"/>
      <c r="BL554" s="34"/>
      <c r="BM554" s="34"/>
      <c r="BN554" s="34"/>
      <c r="BO554" s="34"/>
      <c r="BP554" s="34"/>
      <c r="BY554" s="34"/>
      <c r="BZ554" s="34"/>
      <c r="CA554" s="34"/>
      <c r="CB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</row>
    <row r="555" ht="15.75" customHeight="1">
      <c r="B555" s="34"/>
      <c r="E555" s="34"/>
      <c r="F555" s="34"/>
      <c r="G555" s="34"/>
      <c r="H555" s="34"/>
      <c r="I555" s="34"/>
      <c r="J555" s="34"/>
      <c r="K555" s="34"/>
      <c r="L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AA555" s="34"/>
      <c r="AB555" s="34"/>
      <c r="AC555" s="34"/>
      <c r="AD555" s="34"/>
      <c r="AE555" s="34"/>
      <c r="AF555" s="34"/>
      <c r="AG555" s="34"/>
      <c r="AH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I555" s="34"/>
      <c r="BJ555" s="34"/>
      <c r="BK555" s="34"/>
      <c r="BL555" s="34"/>
      <c r="BM555" s="34"/>
      <c r="BN555" s="34"/>
      <c r="BO555" s="34"/>
      <c r="BP555" s="34"/>
      <c r="BY555" s="34"/>
      <c r="BZ555" s="34"/>
      <c r="CA555" s="34"/>
      <c r="CB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</row>
    <row r="556" ht="15.75" customHeight="1">
      <c r="B556" s="34"/>
      <c r="E556" s="34"/>
      <c r="F556" s="34"/>
      <c r="G556" s="34"/>
      <c r="H556" s="34"/>
      <c r="I556" s="34"/>
      <c r="J556" s="34"/>
      <c r="K556" s="34"/>
      <c r="L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AA556" s="34"/>
      <c r="AB556" s="34"/>
      <c r="AC556" s="34"/>
      <c r="AD556" s="34"/>
      <c r="AE556" s="34"/>
      <c r="AF556" s="34"/>
      <c r="AG556" s="34"/>
      <c r="AH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I556" s="34"/>
      <c r="BJ556" s="34"/>
      <c r="BK556" s="34"/>
      <c r="BL556" s="34"/>
      <c r="BM556" s="34"/>
      <c r="BN556" s="34"/>
      <c r="BO556" s="34"/>
      <c r="BP556" s="34"/>
      <c r="BY556" s="34"/>
      <c r="BZ556" s="34"/>
      <c r="CA556" s="34"/>
      <c r="CB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</row>
    <row r="557" ht="15.75" customHeight="1">
      <c r="B557" s="34"/>
      <c r="E557" s="34"/>
      <c r="F557" s="34"/>
      <c r="G557" s="34"/>
      <c r="H557" s="34"/>
      <c r="I557" s="34"/>
      <c r="J557" s="34"/>
      <c r="K557" s="34"/>
      <c r="L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AA557" s="34"/>
      <c r="AB557" s="34"/>
      <c r="AC557" s="34"/>
      <c r="AD557" s="34"/>
      <c r="AE557" s="34"/>
      <c r="AF557" s="34"/>
      <c r="AG557" s="34"/>
      <c r="AH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I557" s="34"/>
      <c r="BJ557" s="34"/>
      <c r="BK557" s="34"/>
      <c r="BL557" s="34"/>
      <c r="BM557" s="34"/>
      <c r="BN557" s="34"/>
      <c r="BO557" s="34"/>
      <c r="BP557" s="34"/>
      <c r="BY557" s="34"/>
      <c r="BZ557" s="34"/>
      <c r="CA557" s="34"/>
      <c r="CB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</row>
    <row r="558" ht="15.75" customHeight="1">
      <c r="B558" s="34"/>
      <c r="E558" s="34"/>
      <c r="F558" s="34"/>
      <c r="G558" s="34"/>
      <c r="H558" s="34"/>
      <c r="I558" s="34"/>
      <c r="J558" s="34"/>
      <c r="K558" s="34"/>
      <c r="L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AA558" s="34"/>
      <c r="AB558" s="34"/>
      <c r="AC558" s="34"/>
      <c r="AD558" s="34"/>
      <c r="AE558" s="34"/>
      <c r="AF558" s="34"/>
      <c r="AG558" s="34"/>
      <c r="AH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I558" s="34"/>
      <c r="BJ558" s="34"/>
      <c r="BK558" s="34"/>
      <c r="BL558" s="34"/>
      <c r="BM558" s="34"/>
      <c r="BN558" s="34"/>
      <c r="BO558" s="34"/>
      <c r="BP558" s="34"/>
      <c r="BY558" s="34"/>
      <c r="BZ558" s="34"/>
      <c r="CA558" s="34"/>
      <c r="CB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</row>
    <row r="559" ht="15.75" customHeight="1">
      <c r="B559" s="34"/>
      <c r="E559" s="34"/>
      <c r="F559" s="34"/>
      <c r="G559" s="34"/>
      <c r="H559" s="34"/>
      <c r="I559" s="34"/>
      <c r="J559" s="34"/>
      <c r="K559" s="34"/>
      <c r="L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AA559" s="34"/>
      <c r="AB559" s="34"/>
      <c r="AC559" s="34"/>
      <c r="AD559" s="34"/>
      <c r="AE559" s="34"/>
      <c r="AF559" s="34"/>
      <c r="AG559" s="34"/>
      <c r="AH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I559" s="34"/>
      <c r="BJ559" s="34"/>
      <c r="BK559" s="34"/>
      <c r="BL559" s="34"/>
      <c r="BM559" s="34"/>
      <c r="BN559" s="34"/>
      <c r="BO559" s="34"/>
      <c r="BP559" s="34"/>
      <c r="BY559" s="34"/>
      <c r="BZ559" s="34"/>
      <c r="CA559" s="34"/>
      <c r="CB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</row>
    <row r="560" ht="15.75" customHeight="1">
      <c r="B560" s="34"/>
      <c r="E560" s="34"/>
      <c r="F560" s="34"/>
      <c r="G560" s="34"/>
      <c r="H560" s="34"/>
      <c r="I560" s="34"/>
      <c r="J560" s="34"/>
      <c r="K560" s="34"/>
      <c r="L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AA560" s="34"/>
      <c r="AB560" s="34"/>
      <c r="AC560" s="34"/>
      <c r="AD560" s="34"/>
      <c r="AE560" s="34"/>
      <c r="AF560" s="34"/>
      <c r="AG560" s="34"/>
      <c r="AH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I560" s="34"/>
      <c r="BJ560" s="34"/>
      <c r="BK560" s="34"/>
      <c r="BL560" s="34"/>
      <c r="BM560" s="34"/>
      <c r="BN560" s="34"/>
      <c r="BO560" s="34"/>
      <c r="BP560" s="34"/>
      <c r="BY560" s="34"/>
      <c r="BZ560" s="34"/>
      <c r="CA560" s="34"/>
      <c r="CB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</row>
    <row r="561" ht="15.75" customHeight="1">
      <c r="B561" s="34"/>
      <c r="E561" s="34"/>
      <c r="F561" s="34"/>
      <c r="G561" s="34"/>
      <c r="H561" s="34"/>
      <c r="I561" s="34"/>
      <c r="J561" s="34"/>
      <c r="K561" s="34"/>
      <c r="L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AA561" s="34"/>
      <c r="AB561" s="34"/>
      <c r="AC561" s="34"/>
      <c r="AD561" s="34"/>
      <c r="AE561" s="34"/>
      <c r="AF561" s="34"/>
      <c r="AG561" s="34"/>
      <c r="AH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I561" s="34"/>
      <c r="BJ561" s="34"/>
      <c r="BK561" s="34"/>
      <c r="BL561" s="34"/>
      <c r="BM561" s="34"/>
      <c r="BN561" s="34"/>
      <c r="BO561" s="34"/>
      <c r="BP561" s="34"/>
      <c r="BY561" s="34"/>
      <c r="BZ561" s="34"/>
      <c r="CA561" s="34"/>
      <c r="CB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</row>
    <row r="562" ht="15.75" customHeight="1">
      <c r="B562" s="34"/>
      <c r="E562" s="34"/>
      <c r="F562" s="34"/>
      <c r="G562" s="34"/>
      <c r="H562" s="34"/>
      <c r="I562" s="34"/>
      <c r="J562" s="34"/>
      <c r="K562" s="34"/>
      <c r="L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AA562" s="34"/>
      <c r="AB562" s="34"/>
      <c r="AC562" s="34"/>
      <c r="AD562" s="34"/>
      <c r="AE562" s="34"/>
      <c r="AF562" s="34"/>
      <c r="AG562" s="34"/>
      <c r="AH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I562" s="34"/>
      <c r="BJ562" s="34"/>
      <c r="BK562" s="34"/>
      <c r="BL562" s="34"/>
      <c r="BM562" s="34"/>
      <c r="BN562" s="34"/>
      <c r="BO562" s="34"/>
      <c r="BP562" s="34"/>
      <c r="BY562" s="34"/>
      <c r="BZ562" s="34"/>
      <c r="CA562" s="34"/>
      <c r="CB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</row>
    <row r="563" ht="15.75" customHeight="1">
      <c r="B563" s="34"/>
      <c r="E563" s="34"/>
      <c r="F563" s="34"/>
      <c r="G563" s="34"/>
      <c r="H563" s="34"/>
      <c r="I563" s="34"/>
      <c r="J563" s="34"/>
      <c r="K563" s="34"/>
      <c r="L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AA563" s="34"/>
      <c r="AB563" s="34"/>
      <c r="AC563" s="34"/>
      <c r="AD563" s="34"/>
      <c r="AE563" s="34"/>
      <c r="AF563" s="34"/>
      <c r="AG563" s="34"/>
      <c r="AH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I563" s="34"/>
      <c r="BJ563" s="34"/>
      <c r="BK563" s="34"/>
      <c r="BL563" s="34"/>
      <c r="BM563" s="34"/>
      <c r="BN563" s="34"/>
      <c r="BO563" s="34"/>
      <c r="BP563" s="34"/>
      <c r="BY563" s="34"/>
      <c r="BZ563" s="34"/>
      <c r="CA563" s="34"/>
      <c r="CB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</row>
    <row r="564" ht="15.75" customHeight="1">
      <c r="B564" s="34"/>
      <c r="E564" s="34"/>
      <c r="F564" s="34"/>
      <c r="G564" s="34"/>
      <c r="H564" s="34"/>
      <c r="I564" s="34"/>
      <c r="J564" s="34"/>
      <c r="K564" s="34"/>
      <c r="L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AA564" s="34"/>
      <c r="AB564" s="34"/>
      <c r="AC564" s="34"/>
      <c r="AD564" s="34"/>
      <c r="AE564" s="34"/>
      <c r="AF564" s="34"/>
      <c r="AG564" s="34"/>
      <c r="AH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I564" s="34"/>
      <c r="BJ564" s="34"/>
      <c r="BK564" s="34"/>
      <c r="BL564" s="34"/>
      <c r="BM564" s="34"/>
      <c r="BN564" s="34"/>
      <c r="BO564" s="34"/>
      <c r="BP564" s="34"/>
      <c r="BY564" s="34"/>
      <c r="BZ564" s="34"/>
      <c r="CA564" s="34"/>
      <c r="CB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</row>
    <row r="565" ht="15.75" customHeight="1">
      <c r="B565" s="34"/>
      <c r="E565" s="34"/>
      <c r="F565" s="34"/>
      <c r="G565" s="34"/>
      <c r="H565" s="34"/>
      <c r="I565" s="34"/>
      <c r="J565" s="34"/>
      <c r="K565" s="34"/>
      <c r="L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AA565" s="34"/>
      <c r="AB565" s="34"/>
      <c r="AC565" s="34"/>
      <c r="AD565" s="34"/>
      <c r="AE565" s="34"/>
      <c r="AF565" s="34"/>
      <c r="AG565" s="34"/>
      <c r="AH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I565" s="34"/>
      <c r="BJ565" s="34"/>
      <c r="BK565" s="34"/>
      <c r="BL565" s="34"/>
      <c r="BM565" s="34"/>
      <c r="BN565" s="34"/>
      <c r="BO565" s="34"/>
      <c r="BP565" s="34"/>
      <c r="BY565" s="34"/>
      <c r="BZ565" s="34"/>
      <c r="CA565" s="34"/>
      <c r="CB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</row>
    <row r="566" ht="15.75" customHeight="1">
      <c r="B566" s="34"/>
      <c r="E566" s="34"/>
      <c r="F566" s="34"/>
      <c r="G566" s="34"/>
      <c r="H566" s="34"/>
      <c r="I566" s="34"/>
      <c r="J566" s="34"/>
      <c r="K566" s="34"/>
      <c r="L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AA566" s="34"/>
      <c r="AB566" s="34"/>
      <c r="AC566" s="34"/>
      <c r="AD566" s="34"/>
      <c r="AE566" s="34"/>
      <c r="AF566" s="34"/>
      <c r="AG566" s="34"/>
      <c r="AH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I566" s="34"/>
      <c r="BJ566" s="34"/>
      <c r="BK566" s="34"/>
      <c r="BL566" s="34"/>
      <c r="BM566" s="34"/>
      <c r="BN566" s="34"/>
      <c r="BO566" s="34"/>
      <c r="BP566" s="34"/>
      <c r="BY566" s="34"/>
      <c r="BZ566" s="34"/>
      <c r="CA566" s="34"/>
      <c r="CB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</row>
    <row r="567" ht="15.75" customHeight="1">
      <c r="B567" s="34"/>
      <c r="E567" s="34"/>
      <c r="F567" s="34"/>
      <c r="G567" s="34"/>
      <c r="H567" s="34"/>
      <c r="I567" s="34"/>
      <c r="J567" s="34"/>
      <c r="K567" s="34"/>
      <c r="L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AA567" s="34"/>
      <c r="AB567" s="34"/>
      <c r="AC567" s="34"/>
      <c r="AD567" s="34"/>
      <c r="AE567" s="34"/>
      <c r="AF567" s="34"/>
      <c r="AG567" s="34"/>
      <c r="AH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I567" s="34"/>
      <c r="BJ567" s="34"/>
      <c r="BK567" s="34"/>
      <c r="BL567" s="34"/>
      <c r="BM567" s="34"/>
      <c r="BN567" s="34"/>
      <c r="BO567" s="34"/>
      <c r="BP567" s="34"/>
      <c r="BY567" s="34"/>
      <c r="BZ567" s="34"/>
      <c r="CA567" s="34"/>
      <c r="CB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</row>
    <row r="568" ht="15.75" customHeight="1">
      <c r="B568" s="34"/>
      <c r="E568" s="34"/>
      <c r="F568" s="34"/>
      <c r="G568" s="34"/>
      <c r="H568" s="34"/>
      <c r="I568" s="34"/>
      <c r="J568" s="34"/>
      <c r="K568" s="34"/>
      <c r="L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AA568" s="34"/>
      <c r="AB568" s="34"/>
      <c r="AC568" s="34"/>
      <c r="AD568" s="34"/>
      <c r="AE568" s="34"/>
      <c r="AF568" s="34"/>
      <c r="AG568" s="34"/>
      <c r="AH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I568" s="34"/>
      <c r="BJ568" s="34"/>
      <c r="BK568" s="34"/>
      <c r="BL568" s="34"/>
      <c r="BM568" s="34"/>
      <c r="BN568" s="34"/>
      <c r="BO568" s="34"/>
      <c r="BP568" s="34"/>
      <c r="BY568" s="34"/>
      <c r="BZ568" s="34"/>
      <c r="CA568" s="34"/>
      <c r="CB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</row>
    <row r="569" ht="15.75" customHeight="1">
      <c r="B569" s="34"/>
      <c r="E569" s="34"/>
      <c r="F569" s="34"/>
      <c r="G569" s="34"/>
      <c r="H569" s="34"/>
      <c r="I569" s="34"/>
      <c r="J569" s="34"/>
      <c r="K569" s="34"/>
      <c r="L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AA569" s="34"/>
      <c r="AB569" s="34"/>
      <c r="AC569" s="34"/>
      <c r="AD569" s="34"/>
      <c r="AE569" s="34"/>
      <c r="AF569" s="34"/>
      <c r="AG569" s="34"/>
      <c r="AH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I569" s="34"/>
      <c r="BJ569" s="34"/>
      <c r="BK569" s="34"/>
      <c r="BL569" s="34"/>
      <c r="BM569" s="34"/>
      <c r="BN569" s="34"/>
      <c r="BO569" s="34"/>
      <c r="BP569" s="34"/>
      <c r="BY569" s="34"/>
      <c r="BZ569" s="34"/>
      <c r="CA569" s="34"/>
      <c r="CB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</row>
    <row r="570" ht="15.75" customHeight="1">
      <c r="B570" s="34"/>
      <c r="E570" s="34"/>
      <c r="F570" s="34"/>
      <c r="G570" s="34"/>
      <c r="H570" s="34"/>
      <c r="I570" s="34"/>
      <c r="J570" s="34"/>
      <c r="K570" s="34"/>
      <c r="L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AA570" s="34"/>
      <c r="AB570" s="34"/>
      <c r="AC570" s="34"/>
      <c r="AD570" s="34"/>
      <c r="AE570" s="34"/>
      <c r="AF570" s="34"/>
      <c r="AG570" s="34"/>
      <c r="AH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I570" s="34"/>
      <c r="BJ570" s="34"/>
      <c r="BK570" s="34"/>
      <c r="BL570" s="34"/>
      <c r="BM570" s="34"/>
      <c r="BN570" s="34"/>
      <c r="BO570" s="34"/>
      <c r="BP570" s="34"/>
      <c r="BY570" s="34"/>
      <c r="BZ570" s="34"/>
      <c r="CA570" s="34"/>
      <c r="CB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</row>
    <row r="571" ht="15.75" customHeight="1">
      <c r="B571" s="34"/>
      <c r="E571" s="34"/>
      <c r="F571" s="34"/>
      <c r="G571" s="34"/>
      <c r="H571" s="34"/>
      <c r="I571" s="34"/>
      <c r="J571" s="34"/>
      <c r="K571" s="34"/>
      <c r="L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AA571" s="34"/>
      <c r="AB571" s="34"/>
      <c r="AC571" s="34"/>
      <c r="AD571" s="34"/>
      <c r="AE571" s="34"/>
      <c r="AF571" s="34"/>
      <c r="AG571" s="34"/>
      <c r="AH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I571" s="34"/>
      <c r="BJ571" s="34"/>
      <c r="BK571" s="34"/>
      <c r="BL571" s="34"/>
      <c r="BM571" s="34"/>
      <c r="BN571" s="34"/>
      <c r="BO571" s="34"/>
      <c r="BP571" s="34"/>
      <c r="BY571" s="34"/>
      <c r="BZ571" s="34"/>
      <c r="CA571" s="34"/>
      <c r="CB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</row>
    <row r="572" ht="15.75" customHeight="1">
      <c r="B572" s="34"/>
      <c r="E572" s="34"/>
      <c r="F572" s="34"/>
      <c r="G572" s="34"/>
      <c r="H572" s="34"/>
      <c r="I572" s="34"/>
      <c r="J572" s="34"/>
      <c r="K572" s="34"/>
      <c r="L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AA572" s="34"/>
      <c r="AB572" s="34"/>
      <c r="AC572" s="34"/>
      <c r="AD572" s="34"/>
      <c r="AE572" s="34"/>
      <c r="AF572" s="34"/>
      <c r="AG572" s="34"/>
      <c r="AH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I572" s="34"/>
      <c r="BJ572" s="34"/>
      <c r="BK572" s="34"/>
      <c r="BL572" s="34"/>
      <c r="BM572" s="34"/>
      <c r="BN572" s="34"/>
      <c r="BO572" s="34"/>
      <c r="BP572" s="34"/>
      <c r="BY572" s="34"/>
      <c r="BZ572" s="34"/>
      <c r="CA572" s="34"/>
      <c r="CB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</row>
    <row r="573" ht="15.75" customHeight="1">
      <c r="B573" s="34"/>
      <c r="E573" s="34"/>
      <c r="F573" s="34"/>
      <c r="G573" s="34"/>
      <c r="H573" s="34"/>
      <c r="I573" s="34"/>
      <c r="J573" s="34"/>
      <c r="K573" s="34"/>
      <c r="L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AA573" s="34"/>
      <c r="AB573" s="34"/>
      <c r="AC573" s="34"/>
      <c r="AD573" s="34"/>
      <c r="AE573" s="34"/>
      <c r="AF573" s="34"/>
      <c r="AG573" s="34"/>
      <c r="AH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I573" s="34"/>
      <c r="BJ573" s="34"/>
      <c r="BK573" s="34"/>
      <c r="BL573" s="34"/>
      <c r="BM573" s="34"/>
      <c r="BN573" s="34"/>
      <c r="BO573" s="34"/>
      <c r="BP573" s="34"/>
      <c r="BY573" s="34"/>
      <c r="BZ573" s="34"/>
      <c r="CA573" s="34"/>
      <c r="CB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</row>
    <row r="574" ht="15.75" customHeight="1">
      <c r="B574" s="34"/>
      <c r="E574" s="34"/>
      <c r="F574" s="34"/>
      <c r="G574" s="34"/>
      <c r="H574" s="34"/>
      <c r="I574" s="34"/>
      <c r="J574" s="34"/>
      <c r="K574" s="34"/>
      <c r="L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AA574" s="34"/>
      <c r="AB574" s="34"/>
      <c r="AC574" s="34"/>
      <c r="AD574" s="34"/>
      <c r="AE574" s="34"/>
      <c r="AF574" s="34"/>
      <c r="AG574" s="34"/>
      <c r="AH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I574" s="34"/>
      <c r="BJ574" s="34"/>
      <c r="BK574" s="34"/>
      <c r="BL574" s="34"/>
      <c r="BM574" s="34"/>
      <c r="BN574" s="34"/>
      <c r="BO574" s="34"/>
      <c r="BP574" s="34"/>
      <c r="BY574" s="34"/>
      <c r="BZ574" s="34"/>
      <c r="CA574" s="34"/>
      <c r="CB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</row>
    <row r="575" ht="15.75" customHeight="1">
      <c r="B575" s="34"/>
      <c r="E575" s="34"/>
      <c r="F575" s="34"/>
      <c r="G575" s="34"/>
      <c r="H575" s="34"/>
      <c r="I575" s="34"/>
      <c r="J575" s="34"/>
      <c r="K575" s="34"/>
      <c r="L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AA575" s="34"/>
      <c r="AB575" s="34"/>
      <c r="AC575" s="34"/>
      <c r="AD575" s="34"/>
      <c r="AE575" s="34"/>
      <c r="AF575" s="34"/>
      <c r="AG575" s="34"/>
      <c r="AH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I575" s="34"/>
      <c r="BJ575" s="34"/>
      <c r="BK575" s="34"/>
      <c r="BL575" s="34"/>
      <c r="BM575" s="34"/>
      <c r="BN575" s="34"/>
      <c r="BO575" s="34"/>
      <c r="BP575" s="34"/>
      <c r="BY575" s="34"/>
      <c r="BZ575" s="34"/>
      <c r="CA575" s="34"/>
      <c r="CB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</row>
    <row r="576" ht="15.75" customHeight="1">
      <c r="B576" s="34"/>
      <c r="E576" s="34"/>
      <c r="F576" s="34"/>
      <c r="G576" s="34"/>
      <c r="H576" s="34"/>
      <c r="I576" s="34"/>
      <c r="J576" s="34"/>
      <c r="K576" s="34"/>
      <c r="L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AA576" s="34"/>
      <c r="AB576" s="34"/>
      <c r="AC576" s="34"/>
      <c r="AD576" s="34"/>
      <c r="AE576" s="34"/>
      <c r="AF576" s="34"/>
      <c r="AG576" s="34"/>
      <c r="AH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I576" s="34"/>
      <c r="BJ576" s="34"/>
      <c r="BK576" s="34"/>
      <c r="BL576" s="34"/>
      <c r="BM576" s="34"/>
      <c r="BN576" s="34"/>
      <c r="BO576" s="34"/>
      <c r="BP576" s="34"/>
      <c r="BY576" s="34"/>
      <c r="BZ576" s="34"/>
      <c r="CA576" s="34"/>
      <c r="CB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</row>
    <row r="577" ht="15.75" customHeight="1">
      <c r="B577" s="34"/>
      <c r="E577" s="34"/>
      <c r="F577" s="34"/>
      <c r="G577" s="34"/>
      <c r="H577" s="34"/>
      <c r="I577" s="34"/>
      <c r="J577" s="34"/>
      <c r="K577" s="34"/>
      <c r="L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AA577" s="34"/>
      <c r="AB577" s="34"/>
      <c r="AC577" s="34"/>
      <c r="AD577" s="34"/>
      <c r="AE577" s="34"/>
      <c r="AF577" s="34"/>
      <c r="AG577" s="34"/>
      <c r="AH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I577" s="34"/>
      <c r="BJ577" s="34"/>
      <c r="BK577" s="34"/>
      <c r="BL577" s="34"/>
      <c r="BM577" s="34"/>
      <c r="BN577" s="34"/>
      <c r="BO577" s="34"/>
      <c r="BP577" s="34"/>
      <c r="BY577" s="34"/>
      <c r="BZ577" s="34"/>
      <c r="CA577" s="34"/>
      <c r="CB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</row>
    <row r="578" ht="15.75" customHeight="1">
      <c r="B578" s="34"/>
      <c r="E578" s="34"/>
      <c r="F578" s="34"/>
      <c r="G578" s="34"/>
      <c r="H578" s="34"/>
      <c r="I578" s="34"/>
      <c r="J578" s="34"/>
      <c r="K578" s="34"/>
      <c r="L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AA578" s="34"/>
      <c r="AB578" s="34"/>
      <c r="AC578" s="34"/>
      <c r="AD578" s="34"/>
      <c r="AE578" s="34"/>
      <c r="AF578" s="34"/>
      <c r="AG578" s="34"/>
      <c r="AH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I578" s="34"/>
      <c r="BJ578" s="34"/>
      <c r="BK578" s="34"/>
      <c r="BL578" s="34"/>
      <c r="BM578" s="34"/>
      <c r="BN578" s="34"/>
      <c r="BO578" s="34"/>
      <c r="BP578" s="34"/>
      <c r="BY578" s="34"/>
      <c r="BZ578" s="34"/>
      <c r="CA578" s="34"/>
      <c r="CB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</row>
    <row r="579" ht="15.75" customHeight="1">
      <c r="B579" s="34"/>
      <c r="E579" s="34"/>
      <c r="F579" s="34"/>
      <c r="G579" s="34"/>
      <c r="H579" s="34"/>
      <c r="I579" s="34"/>
      <c r="J579" s="34"/>
      <c r="K579" s="34"/>
      <c r="L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AA579" s="34"/>
      <c r="AB579" s="34"/>
      <c r="AC579" s="34"/>
      <c r="AD579" s="34"/>
      <c r="AE579" s="34"/>
      <c r="AF579" s="34"/>
      <c r="AG579" s="34"/>
      <c r="AH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I579" s="34"/>
      <c r="BJ579" s="34"/>
      <c r="BK579" s="34"/>
      <c r="BL579" s="34"/>
      <c r="BM579" s="34"/>
      <c r="BN579" s="34"/>
      <c r="BO579" s="34"/>
      <c r="BP579" s="34"/>
      <c r="BY579" s="34"/>
      <c r="BZ579" s="34"/>
      <c r="CA579" s="34"/>
      <c r="CB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</row>
    <row r="580" ht="15.75" customHeight="1">
      <c r="B580" s="34"/>
      <c r="E580" s="34"/>
      <c r="F580" s="34"/>
      <c r="G580" s="34"/>
      <c r="H580" s="34"/>
      <c r="I580" s="34"/>
      <c r="J580" s="34"/>
      <c r="K580" s="34"/>
      <c r="L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AA580" s="34"/>
      <c r="AB580" s="34"/>
      <c r="AC580" s="34"/>
      <c r="AD580" s="34"/>
      <c r="AE580" s="34"/>
      <c r="AF580" s="34"/>
      <c r="AG580" s="34"/>
      <c r="AH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I580" s="34"/>
      <c r="BJ580" s="34"/>
      <c r="BK580" s="34"/>
      <c r="BL580" s="34"/>
      <c r="BM580" s="34"/>
      <c r="BN580" s="34"/>
      <c r="BO580" s="34"/>
      <c r="BP580" s="34"/>
      <c r="BY580" s="34"/>
      <c r="BZ580" s="34"/>
      <c r="CA580" s="34"/>
      <c r="CB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</row>
    <row r="581" ht="15.75" customHeight="1">
      <c r="B581" s="34"/>
      <c r="E581" s="34"/>
      <c r="F581" s="34"/>
      <c r="G581" s="34"/>
      <c r="H581" s="34"/>
      <c r="I581" s="34"/>
      <c r="J581" s="34"/>
      <c r="K581" s="34"/>
      <c r="L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AA581" s="34"/>
      <c r="AB581" s="34"/>
      <c r="AC581" s="34"/>
      <c r="AD581" s="34"/>
      <c r="AE581" s="34"/>
      <c r="AF581" s="34"/>
      <c r="AG581" s="34"/>
      <c r="AH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I581" s="34"/>
      <c r="BJ581" s="34"/>
      <c r="BK581" s="34"/>
      <c r="BL581" s="34"/>
      <c r="BM581" s="34"/>
      <c r="BN581" s="34"/>
      <c r="BO581" s="34"/>
      <c r="BP581" s="34"/>
      <c r="BY581" s="34"/>
      <c r="BZ581" s="34"/>
      <c r="CA581" s="34"/>
      <c r="CB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</row>
    <row r="582" ht="15.75" customHeight="1">
      <c r="B582" s="34"/>
      <c r="E582" s="34"/>
      <c r="F582" s="34"/>
      <c r="G582" s="34"/>
      <c r="H582" s="34"/>
      <c r="I582" s="34"/>
      <c r="J582" s="34"/>
      <c r="K582" s="34"/>
      <c r="L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AA582" s="34"/>
      <c r="AB582" s="34"/>
      <c r="AC582" s="34"/>
      <c r="AD582" s="34"/>
      <c r="AE582" s="34"/>
      <c r="AF582" s="34"/>
      <c r="AG582" s="34"/>
      <c r="AH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I582" s="34"/>
      <c r="BJ582" s="34"/>
      <c r="BK582" s="34"/>
      <c r="BL582" s="34"/>
      <c r="BM582" s="34"/>
      <c r="BN582" s="34"/>
      <c r="BO582" s="34"/>
      <c r="BP582" s="34"/>
      <c r="BY582" s="34"/>
      <c r="BZ582" s="34"/>
      <c r="CA582" s="34"/>
      <c r="CB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</row>
    <row r="583" ht="15.75" customHeight="1">
      <c r="B583" s="34"/>
      <c r="E583" s="34"/>
      <c r="F583" s="34"/>
      <c r="G583" s="34"/>
      <c r="H583" s="34"/>
      <c r="I583" s="34"/>
      <c r="J583" s="34"/>
      <c r="K583" s="34"/>
      <c r="L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AA583" s="34"/>
      <c r="AB583" s="34"/>
      <c r="AC583" s="34"/>
      <c r="AD583" s="34"/>
      <c r="AE583" s="34"/>
      <c r="AF583" s="34"/>
      <c r="AG583" s="34"/>
      <c r="AH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I583" s="34"/>
      <c r="BJ583" s="34"/>
      <c r="BK583" s="34"/>
      <c r="BL583" s="34"/>
      <c r="BM583" s="34"/>
      <c r="BN583" s="34"/>
      <c r="BO583" s="34"/>
      <c r="BP583" s="34"/>
      <c r="BY583" s="34"/>
      <c r="BZ583" s="34"/>
      <c r="CA583" s="34"/>
      <c r="CB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</row>
    <row r="584" ht="15.75" customHeight="1">
      <c r="B584" s="34"/>
      <c r="E584" s="34"/>
      <c r="F584" s="34"/>
      <c r="G584" s="34"/>
      <c r="H584" s="34"/>
      <c r="I584" s="34"/>
      <c r="J584" s="34"/>
      <c r="K584" s="34"/>
      <c r="L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AA584" s="34"/>
      <c r="AB584" s="34"/>
      <c r="AC584" s="34"/>
      <c r="AD584" s="34"/>
      <c r="AE584" s="34"/>
      <c r="AF584" s="34"/>
      <c r="AG584" s="34"/>
      <c r="AH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I584" s="34"/>
      <c r="BJ584" s="34"/>
      <c r="BK584" s="34"/>
      <c r="BL584" s="34"/>
      <c r="BM584" s="34"/>
      <c r="BN584" s="34"/>
      <c r="BO584" s="34"/>
      <c r="BP584" s="34"/>
      <c r="BY584" s="34"/>
      <c r="BZ584" s="34"/>
      <c r="CA584" s="34"/>
      <c r="CB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</row>
    <row r="585" ht="15.75" customHeight="1">
      <c r="B585" s="34"/>
      <c r="E585" s="34"/>
      <c r="F585" s="34"/>
      <c r="G585" s="34"/>
      <c r="H585" s="34"/>
      <c r="I585" s="34"/>
      <c r="J585" s="34"/>
      <c r="K585" s="34"/>
      <c r="L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AA585" s="34"/>
      <c r="AB585" s="34"/>
      <c r="AC585" s="34"/>
      <c r="AD585" s="34"/>
      <c r="AE585" s="34"/>
      <c r="AF585" s="34"/>
      <c r="AG585" s="34"/>
      <c r="AH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I585" s="34"/>
      <c r="BJ585" s="34"/>
      <c r="BK585" s="34"/>
      <c r="BL585" s="34"/>
      <c r="BM585" s="34"/>
      <c r="BN585" s="34"/>
      <c r="BO585" s="34"/>
      <c r="BP585" s="34"/>
      <c r="BY585" s="34"/>
      <c r="BZ585" s="34"/>
      <c r="CA585" s="34"/>
      <c r="CB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</row>
    <row r="586" ht="15.75" customHeight="1">
      <c r="B586" s="34"/>
      <c r="E586" s="34"/>
      <c r="F586" s="34"/>
      <c r="G586" s="34"/>
      <c r="H586" s="34"/>
      <c r="I586" s="34"/>
      <c r="J586" s="34"/>
      <c r="K586" s="34"/>
      <c r="L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AA586" s="34"/>
      <c r="AB586" s="34"/>
      <c r="AC586" s="34"/>
      <c r="AD586" s="34"/>
      <c r="AE586" s="34"/>
      <c r="AF586" s="34"/>
      <c r="AG586" s="34"/>
      <c r="AH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I586" s="34"/>
      <c r="BJ586" s="34"/>
      <c r="BK586" s="34"/>
      <c r="BL586" s="34"/>
      <c r="BM586" s="34"/>
      <c r="BN586" s="34"/>
      <c r="BO586" s="34"/>
      <c r="BP586" s="34"/>
      <c r="BY586" s="34"/>
      <c r="BZ586" s="34"/>
      <c r="CA586" s="34"/>
      <c r="CB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</row>
    <row r="587" ht="15.75" customHeight="1">
      <c r="B587" s="34"/>
      <c r="E587" s="34"/>
      <c r="F587" s="34"/>
      <c r="G587" s="34"/>
      <c r="H587" s="34"/>
      <c r="I587" s="34"/>
      <c r="J587" s="34"/>
      <c r="K587" s="34"/>
      <c r="L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AA587" s="34"/>
      <c r="AB587" s="34"/>
      <c r="AC587" s="34"/>
      <c r="AD587" s="34"/>
      <c r="AE587" s="34"/>
      <c r="AF587" s="34"/>
      <c r="AG587" s="34"/>
      <c r="AH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I587" s="34"/>
      <c r="BJ587" s="34"/>
      <c r="BK587" s="34"/>
      <c r="BL587" s="34"/>
      <c r="BM587" s="34"/>
      <c r="BN587" s="34"/>
      <c r="BO587" s="34"/>
      <c r="BP587" s="34"/>
      <c r="BY587" s="34"/>
      <c r="BZ587" s="34"/>
      <c r="CA587" s="34"/>
      <c r="CB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</row>
    <row r="588" ht="15.75" customHeight="1">
      <c r="B588" s="34"/>
      <c r="E588" s="34"/>
      <c r="F588" s="34"/>
      <c r="G588" s="34"/>
      <c r="H588" s="34"/>
      <c r="I588" s="34"/>
      <c r="J588" s="34"/>
      <c r="K588" s="34"/>
      <c r="L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AA588" s="34"/>
      <c r="AB588" s="34"/>
      <c r="AC588" s="34"/>
      <c r="AD588" s="34"/>
      <c r="AE588" s="34"/>
      <c r="AF588" s="34"/>
      <c r="AG588" s="34"/>
      <c r="AH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I588" s="34"/>
      <c r="BJ588" s="34"/>
      <c r="BK588" s="34"/>
      <c r="BL588" s="34"/>
      <c r="BM588" s="34"/>
      <c r="BN588" s="34"/>
      <c r="BO588" s="34"/>
      <c r="BP588" s="34"/>
      <c r="BY588" s="34"/>
      <c r="BZ588" s="34"/>
      <c r="CA588" s="34"/>
      <c r="CB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</row>
    <row r="589" ht="15.75" customHeight="1">
      <c r="B589" s="34"/>
      <c r="E589" s="34"/>
      <c r="F589" s="34"/>
      <c r="G589" s="34"/>
      <c r="H589" s="34"/>
      <c r="I589" s="34"/>
      <c r="J589" s="34"/>
      <c r="K589" s="34"/>
      <c r="L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AA589" s="34"/>
      <c r="AB589" s="34"/>
      <c r="AC589" s="34"/>
      <c r="AD589" s="34"/>
      <c r="AE589" s="34"/>
      <c r="AF589" s="34"/>
      <c r="AG589" s="34"/>
      <c r="AH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I589" s="34"/>
      <c r="BJ589" s="34"/>
      <c r="BK589" s="34"/>
      <c r="BL589" s="34"/>
      <c r="BM589" s="34"/>
      <c r="BN589" s="34"/>
      <c r="BO589" s="34"/>
      <c r="BP589" s="34"/>
      <c r="BY589" s="34"/>
      <c r="BZ589" s="34"/>
      <c r="CA589" s="34"/>
      <c r="CB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</row>
    <row r="590" ht="15.75" customHeight="1">
      <c r="B590" s="34"/>
      <c r="E590" s="34"/>
      <c r="F590" s="34"/>
      <c r="G590" s="34"/>
      <c r="H590" s="34"/>
      <c r="I590" s="34"/>
      <c r="J590" s="34"/>
      <c r="K590" s="34"/>
      <c r="L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AA590" s="34"/>
      <c r="AB590" s="34"/>
      <c r="AC590" s="34"/>
      <c r="AD590" s="34"/>
      <c r="AE590" s="34"/>
      <c r="AF590" s="34"/>
      <c r="AG590" s="34"/>
      <c r="AH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I590" s="34"/>
      <c r="BJ590" s="34"/>
      <c r="BK590" s="34"/>
      <c r="BL590" s="34"/>
      <c r="BM590" s="34"/>
      <c r="BN590" s="34"/>
      <c r="BO590" s="34"/>
      <c r="BP590" s="34"/>
      <c r="BY590" s="34"/>
      <c r="BZ590" s="34"/>
      <c r="CA590" s="34"/>
      <c r="CB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</row>
    <row r="591" ht="15.75" customHeight="1">
      <c r="B591" s="34"/>
      <c r="E591" s="34"/>
      <c r="F591" s="34"/>
      <c r="G591" s="34"/>
      <c r="H591" s="34"/>
      <c r="I591" s="34"/>
      <c r="J591" s="34"/>
      <c r="K591" s="34"/>
      <c r="L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AA591" s="34"/>
      <c r="AB591" s="34"/>
      <c r="AC591" s="34"/>
      <c r="AD591" s="34"/>
      <c r="AE591" s="34"/>
      <c r="AF591" s="34"/>
      <c r="AG591" s="34"/>
      <c r="AH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I591" s="34"/>
      <c r="BJ591" s="34"/>
      <c r="BK591" s="34"/>
      <c r="BL591" s="34"/>
      <c r="BM591" s="34"/>
      <c r="BN591" s="34"/>
      <c r="BO591" s="34"/>
      <c r="BP591" s="34"/>
      <c r="BY591" s="34"/>
      <c r="BZ591" s="34"/>
      <c r="CA591" s="34"/>
      <c r="CB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</row>
    <row r="592" ht="15.75" customHeight="1">
      <c r="B592" s="34"/>
      <c r="E592" s="34"/>
      <c r="F592" s="34"/>
      <c r="G592" s="34"/>
      <c r="H592" s="34"/>
      <c r="I592" s="34"/>
      <c r="J592" s="34"/>
      <c r="K592" s="34"/>
      <c r="L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AA592" s="34"/>
      <c r="AB592" s="34"/>
      <c r="AC592" s="34"/>
      <c r="AD592" s="34"/>
      <c r="AE592" s="34"/>
      <c r="AF592" s="34"/>
      <c r="AG592" s="34"/>
      <c r="AH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I592" s="34"/>
      <c r="BJ592" s="34"/>
      <c r="BK592" s="34"/>
      <c r="BL592" s="34"/>
      <c r="BM592" s="34"/>
      <c r="BN592" s="34"/>
      <c r="BO592" s="34"/>
      <c r="BP592" s="34"/>
      <c r="BY592" s="34"/>
      <c r="BZ592" s="34"/>
      <c r="CA592" s="34"/>
      <c r="CB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</row>
    <row r="593" ht="15.75" customHeight="1">
      <c r="B593" s="34"/>
      <c r="E593" s="34"/>
      <c r="F593" s="34"/>
      <c r="G593" s="34"/>
      <c r="H593" s="34"/>
      <c r="I593" s="34"/>
      <c r="J593" s="34"/>
      <c r="K593" s="34"/>
      <c r="L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AA593" s="34"/>
      <c r="AB593" s="34"/>
      <c r="AC593" s="34"/>
      <c r="AD593" s="34"/>
      <c r="AE593" s="34"/>
      <c r="AF593" s="34"/>
      <c r="AG593" s="34"/>
      <c r="AH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I593" s="34"/>
      <c r="BJ593" s="34"/>
      <c r="BK593" s="34"/>
      <c r="BL593" s="34"/>
      <c r="BM593" s="34"/>
      <c r="BN593" s="34"/>
      <c r="BO593" s="34"/>
      <c r="BP593" s="34"/>
      <c r="BY593" s="34"/>
      <c r="BZ593" s="34"/>
      <c r="CA593" s="34"/>
      <c r="CB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</row>
    <row r="594" ht="15.75" customHeight="1">
      <c r="B594" s="34"/>
      <c r="E594" s="34"/>
      <c r="F594" s="34"/>
      <c r="G594" s="34"/>
      <c r="H594" s="34"/>
      <c r="I594" s="34"/>
      <c r="J594" s="34"/>
      <c r="K594" s="34"/>
      <c r="L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AA594" s="34"/>
      <c r="AB594" s="34"/>
      <c r="AC594" s="34"/>
      <c r="AD594" s="34"/>
      <c r="AE594" s="34"/>
      <c r="AF594" s="34"/>
      <c r="AG594" s="34"/>
      <c r="AH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I594" s="34"/>
      <c r="BJ594" s="34"/>
      <c r="BK594" s="34"/>
      <c r="BL594" s="34"/>
      <c r="BM594" s="34"/>
      <c r="BN594" s="34"/>
      <c r="BO594" s="34"/>
      <c r="BP594" s="34"/>
      <c r="BY594" s="34"/>
      <c r="BZ594" s="34"/>
      <c r="CA594" s="34"/>
      <c r="CB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</row>
    <row r="595" ht="15.75" customHeight="1">
      <c r="B595" s="34"/>
      <c r="E595" s="34"/>
      <c r="F595" s="34"/>
      <c r="G595" s="34"/>
      <c r="H595" s="34"/>
      <c r="I595" s="34"/>
      <c r="J595" s="34"/>
      <c r="K595" s="34"/>
      <c r="L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AA595" s="34"/>
      <c r="AB595" s="34"/>
      <c r="AC595" s="34"/>
      <c r="AD595" s="34"/>
      <c r="AE595" s="34"/>
      <c r="AF595" s="34"/>
      <c r="AG595" s="34"/>
      <c r="AH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I595" s="34"/>
      <c r="BJ595" s="34"/>
      <c r="BK595" s="34"/>
      <c r="BL595" s="34"/>
      <c r="BM595" s="34"/>
      <c r="BN595" s="34"/>
      <c r="BO595" s="34"/>
      <c r="BP595" s="34"/>
      <c r="BY595" s="34"/>
      <c r="BZ595" s="34"/>
      <c r="CA595" s="34"/>
      <c r="CB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</row>
    <row r="596" ht="15.75" customHeight="1">
      <c r="B596" s="34"/>
      <c r="E596" s="34"/>
      <c r="F596" s="34"/>
      <c r="G596" s="34"/>
      <c r="H596" s="34"/>
      <c r="I596" s="34"/>
      <c r="J596" s="34"/>
      <c r="K596" s="34"/>
      <c r="L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AA596" s="34"/>
      <c r="AB596" s="34"/>
      <c r="AC596" s="34"/>
      <c r="AD596" s="34"/>
      <c r="AE596" s="34"/>
      <c r="AF596" s="34"/>
      <c r="AG596" s="34"/>
      <c r="AH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I596" s="34"/>
      <c r="BJ596" s="34"/>
      <c r="BK596" s="34"/>
      <c r="BL596" s="34"/>
      <c r="BM596" s="34"/>
      <c r="BN596" s="34"/>
      <c r="BO596" s="34"/>
      <c r="BP596" s="34"/>
      <c r="BY596" s="34"/>
      <c r="BZ596" s="34"/>
      <c r="CA596" s="34"/>
      <c r="CB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</row>
    <row r="597" ht="15.75" customHeight="1">
      <c r="B597" s="34"/>
      <c r="E597" s="34"/>
      <c r="F597" s="34"/>
      <c r="G597" s="34"/>
      <c r="H597" s="34"/>
      <c r="I597" s="34"/>
      <c r="J597" s="34"/>
      <c r="K597" s="34"/>
      <c r="L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AA597" s="34"/>
      <c r="AB597" s="34"/>
      <c r="AC597" s="34"/>
      <c r="AD597" s="34"/>
      <c r="AE597" s="34"/>
      <c r="AF597" s="34"/>
      <c r="AG597" s="34"/>
      <c r="AH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I597" s="34"/>
      <c r="BJ597" s="34"/>
      <c r="BK597" s="34"/>
      <c r="BL597" s="34"/>
      <c r="BM597" s="34"/>
      <c r="BN597" s="34"/>
      <c r="BO597" s="34"/>
      <c r="BP597" s="34"/>
      <c r="BY597" s="34"/>
      <c r="BZ597" s="34"/>
      <c r="CA597" s="34"/>
      <c r="CB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</row>
    <row r="598" ht="15.75" customHeight="1">
      <c r="B598" s="34"/>
      <c r="E598" s="34"/>
      <c r="F598" s="34"/>
      <c r="G598" s="34"/>
      <c r="H598" s="34"/>
      <c r="I598" s="34"/>
      <c r="J598" s="34"/>
      <c r="K598" s="34"/>
      <c r="L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AA598" s="34"/>
      <c r="AB598" s="34"/>
      <c r="AC598" s="34"/>
      <c r="AD598" s="34"/>
      <c r="AE598" s="34"/>
      <c r="AF598" s="34"/>
      <c r="AG598" s="34"/>
      <c r="AH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I598" s="34"/>
      <c r="BJ598" s="34"/>
      <c r="BK598" s="34"/>
      <c r="BL598" s="34"/>
      <c r="BM598" s="34"/>
      <c r="BN598" s="34"/>
      <c r="BO598" s="34"/>
      <c r="BP598" s="34"/>
      <c r="BY598" s="34"/>
      <c r="BZ598" s="34"/>
      <c r="CA598" s="34"/>
      <c r="CB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</row>
    <row r="599" ht="15.75" customHeight="1">
      <c r="B599" s="34"/>
      <c r="E599" s="34"/>
      <c r="F599" s="34"/>
      <c r="G599" s="34"/>
      <c r="H599" s="34"/>
      <c r="I599" s="34"/>
      <c r="J599" s="34"/>
      <c r="K599" s="34"/>
      <c r="L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AA599" s="34"/>
      <c r="AB599" s="34"/>
      <c r="AC599" s="34"/>
      <c r="AD599" s="34"/>
      <c r="AE599" s="34"/>
      <c r="AF599" s="34"/>
      <c r="AG599" s="34"/>
      <c r="AH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I599" s="34"/>
      <c r="BJ599" s="34"/>
      <c r="BK599" s="34"/>
      <c r="BL599" s="34"/>
      <c r="BM599" s="34"/>
      <c r="BN599" s="34"/>
      <c r="BO599" s="34"/>
      <c r="BP599" s="34"/>
      <c r="BY599" s="34"/>
      <c r="BZ599" s="34"/>
      <c r="CA599" s="34"/>
      <c r="CB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</row>
    <row r="600" ht="15.75" customHeight="1">
      <c r="B600" s="34"/>
      <c r="E600" s="34"/>
      <c r="F600" s="34"/>
      <c r="G600" s="34"/>
      <c r="H600" s="34"/>
      <c r="I600" s="34"/>
      <c r="J600" s="34"/>
      <c r="K600" s="34"/>
      <c r="L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AA600" s="34"/>
      <c r="AB600" s="34"/>
      <c r="AC600" s="34"/>
      <c r="AD600" s="34"/>
      <c r="AE600" s="34"/>
      <c r="AF600" s="34"/>
      <c r="AG600" s="34"/>
      <c r="AH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I600" s="34"/>
      <c r="BJ600" s="34"/>
      <c r="BK600" s="34"/>
      <c r="BL600" s="34"/>
      <c r="BM600" s="34"/>
      <c r="BN600" s="34"/>
      <c r="BO600" s="34"/>
      <c r="BP600" s="34"/>
      <c r="BY600" s="34"/>
      <c r="BZ600" s="34"/>
      <c r="CA600" s="34"/>
      <c r="CB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</row>
    <row r="601" ht="15.75" customHeight="1">
      <c r="B601" s="34"/>
      <c r="E601" s="34"/>
      <c r="F601" s="34"/>
      <c r="G601" s="34"/>
      <c r="H601" s="34"/>
      <c r="I601" s="34"/>
      <c r="J601" s="34"/>
      <c r="K601" s="34"/>
      <c r="L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AA601" s="34"/>
      <c r="AB601" s="34"/>
      <c r="AC601" s="34"/>
      <c r="AD601" s="34"/>
      <c r="AE601" s="34"/>
      <c r="AF601" s="34"/>
      <c r="AG601" s="34"/>
      <c r="AH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I601" s="34"/>
      <c r="BJ601" s="34"/>
      <c r="BK601" s="34"/>
      <c r="BL601" s="34"/>
      <c r="BM601" s="34"/>
      <c r="BN601" s="34"/>
      <c r="BO601" s="34"/>
      <c r="BP601" s="34"/>
      <c r="BY601" s="34"/>
      <c r="BZ601" s="34"/>
      <c r="CA601" s="34"/>
      <c r="CB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</row>
    <row r="602" ht="15.75" customHeight="1">
      <c r="B602" s="34"/>
      <c r="E602" s="34"/>
      <c r="F602" s="34"/>
      <c r="G602" s="34"/>
      <c r="H602" s="34"/>
      <c r="I602" s="34"/>
      <c r="J602" s="34"/>
      <c r="K602" s="34"/>
      <c r="L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AA602" s="34"/>
      <c r="AB602" s="34"/>
      <c r="AC602" s="34"/>
      <c r="AD602" s="34"/>
      <c r="AE602" s="34"/>
      <c r="AF602" s="34"/>
      <c r="AG602" s="34"/>
      <c r="AH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I602" s="34"/>
      <c r="BJ602" s="34"/>
      <c r="BK602" s="34"/>
      <c r="BL602" s="34"/>
      <c r="BM602" s="34"/>
      <c r="BN602" s="34"/>
      <c r="BO602" s="34"/>
      <c r="BP602" s="34"/>
      <c r="BY602" s="34"/>
      <c r="BZ602" s="34"/>
      <c r="CA602" s="34"/>
      <c r="CB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</row>
    <row r="603" ht="15.75" customHeight="1">
      <c r="B603" s="34"/>
      <c r="E603" s="34"/>
      <c r="F603" s="34"/>
      <c r="G603" s="34"/>
      <c r="H603" s="34"/>
      <c r="I603" s="34"/>
      <c r="J603" s="34"/>
      <c r="K603" s="34"/>
      <c r="L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AA603" s="34"/>
      <c r="AB603" s="34"/>
      <c r="AC603" s="34"/>
      <c r="AD603" s="34"/>
      <c r="AE603" s="34"/>
      <c r="AF603" s="34"/>
      <c r="AG603" s="34"/>
      <c r="AH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I603" s="34"/>
      <c r="BJ603" s="34"/>
      <c r="BK603" s="34"/>
      <c r="BL603" s="34"/>
      <c r="BM603" s="34"/>
      <c r="BN603" s="34"/>
      <c r="BO603" s="34"/>
      <c r="BP603" s="34"/>
      <c r="BY603" s="34"/>
      <c r="BZ603" s="34"/>
      <c r="CA603" s="34"/>
      <c r="CB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</row>
    <row r="604" ht="15.75" customHeight="1">
      <c r="B604" s="34"/>
      <c r="E604" s="34"/>
      <c r="F604" s="34"/>
      <c r="G604" s="34"/>
      <c r="H604" s="34"/>
      <c r="I604" s="34"/>
      <c r="J604" s="34"/>
      <c r="K604" s="34"/>
      <c r="L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AA604" s="34"/>
      <c r="AB604" s="34"/>
      <c r="AC604" s="34"/>
      <c r="AD604" s="34"/>
      <c r="AE604" s="34"/>
      <c r="AF604" s="34"/>
      <c r="AG604" s="34"/>
      <c r="AH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I604" s="34"/>
      <c r="BJ604" s="34"/>
      <c r="BK604" s="34"/>
      <c r="BL604" s="34"/>
      <c r="BM604" s="34"/>
      <c r="BN604" s="34"/>
      <c r="BO604" s="34"/>
      <c r="BP604" s="34"/>
      <c r="BY604" s="34"/>
      <c r="BZ604" s="34"/>
      <c r="CA604" s="34"/>
      <c r="CB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</row>
    <row r="605" ht="15.75" customHeight="1">
      <c r="B605" s="34"/>
      <c r="E605" s="34"/>
      <c r="F605" s="34"/>
      <c r="G605" s="34"/>
      <c r="H605" s="34"/>
      <c r="I605" s="34"/>
      <c r="J605" s="34"/>
      <c r="K605" s="34"/>
      <c r="L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AA605" s="34"/>
      <c r="AB605" s="34"/>
      <c r="AC605" s="34"/>
      <c r="AD605" s="34"/>
      <c r="AE605" s="34"/>
      <c r="AF605" s="34"/>
      <c r="AG605" s="34"/>
      <c r="AH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I605" s="34"/>
      <c r="BJ605" s="34"/>
      <c r="BK605" s="34"/>
      <c r="BL605" s="34"/>
      <c r="BM605" s="34"/>
      <c r="BN605" s="34"/>
      <c r="BO605" s="34"/>
      <c r="BP605" s="34"/>
      <c r="BY605" s="34"/>
      <c r="BZ605" s="34"/>
      <c r="CA605" s="34"/>
      <c r="CB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</row>
    <row r="606" ht="15.75" customHeight="1">
      <c r="B606" s="34"/>
      <c r="E606" s="34"/>
      <c r="F606" s="34"/>
      <c r="G606" s="34"/>
      <c r="H606" s="34"/>
      <c r="I606" s="34"/>
      <c r="J606" s="34"/>
      <c r="K606" s="34"/>
      <c r="L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AA606" s="34"/>
      <c r="AB606" s="34"/>
      <c r="AC606" s="34"/>
      <c r="AD606" s="34"/>
      <c r="AE606" s="34"/>
      <c r="AF606" s="34"/>
      <c r="AG606" s="34"/>
      <c r="AH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I606" s="34"/>
      <c r="BJ606" s="34"/>
      <c r="BK606" s="34"/>
      <c r="BL606" s="34"/>
      <c r="BM606" s="34"/>
      <c r="BN606" s="34"/>
      <c r="BO606" s="34"/>
      <c r="BP606" s="34"/>
      <c r="BY606" s="34"/>
      <c r="BZ606" s="34"/>
      <c r="CA606" s="34"/>
      <c r="CB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</row>
    <row r="607" ht="15.75" customHeight="1">
      <c r="B607" s="34"/>
      <c r="E607" s="34"/>
      <c r="F607" s="34"/>
      <c r="G607" s="34"/>
      <c r="H607" s="34"/>
      <c r="I607" s="34"/>
      <c r="J607" s="34"/>
      <c r="K607" s="34"/>
      <c r="L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AA607" s="34"/>
      <c r="AB607" s="34"/>
      <c r="AC607" s="34"/>
      <c r="AD607" s="34"/>
      <c r="AE607" s="34"/>
      <c r="AF607" s="34"/>
      <c r="AG607" s="34"/>
      <c r="AH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I607" s="34"/>
      <c r="BJ607" s="34"/>
      <c r="BK607" s="34"/>
      <c r="BL607" s="34"/>
      <c r="BM607" s="34"/>
      <c r="BN607" s="34"/>
      <c r="BO607" s="34"/>
      <c r="BP607" s="34"/>
      <c r="BY607" s="34"/>
      <c r="BZ607" s="34"/>
      <c r="CA607" s="34"/>
      <c r="CB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</row>
    <row r="608" ht="15.75" customHeight="1">
      <c r="B608" s="34"/>
      <c r="E608" s="34"/>
      <c r="F608" s="34"/>
      <c r="G608" s="34"/>
      <c r="H608" s="34"/>
      <c r="I608" s="34"/>
      <c r="J608" s="34"/>
      <c r="K608" s="34"/>
      <c r="L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AA608" s="34"/>
      <c r="AB608" s="34"/>
      <c r="AC608" s="34"/>
      <c r="AD608" s="34"/>
      <c r="AE608" s="34"/>
      <c r="AF608" s="34"/>
      <c r="AG608" s="34"/>
      <c r="AH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I608" s="34"/>
      <c r="BJ608" s="34"/>
      <c r="BK608" s="34"/>
      <c r="BL608" s="34"/>
      <c r="BM608" s="34"/>
      <c r="BN608" s="34"/>
      <c r="BO608" s="34"/>
      <c r="BP608" s="34"/>
      <c r="BY608" s="34"/>
      <c r="BZ608" s="34"/>
      <c r="CA608" s="34"/>
      <c r="CB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</row>
    <row r="609" ht="15.75" customHeight="1">
      <c r="B609" s="34"/>
      <c r="E609" s="34"/>
      <c r="F609" s="34"/>
      <c r="G609" s="34"/>
      <c r="H609" s="34"/>
      <c r="I609" s="34"/>
      <c r="J609" s="34"/>
      <c r="K609" s="34"/>
      <c r="L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AA609" s="34"/>
      <c r="AB609" s="34"/>
      <c r="AC609" s="34"/>
      <c r="AD609" s="34"/>
      <c r="AE609" s="34"/>
      <c r="AF609" s="34"/>
      <c r="AG609" s="34"/>
      <c r="AH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I609" s="34"/>
      <c r="BJ609" s="34"/>
      <c r="BK609" s="34"/>
      <c r="BL609" s="34"/>
      <c r="BM609" s="34"/>
      <c r="BN609" s="34"/>
      <c r="BO609" s="34"/>
      <c r="BP609" s="34"/>
      <c r="BY609" s="34"/>
      <c r="BZ609" s="34"/>
      <c r="CA609" s="34"/>
      <c r="CB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</row>
    <row r="610" ht="15.75" customHeight="1">
      <c r="B610" s="34"/>
      <c r="E610" s="34"/>
      <c r="F610" s="34"/>
      <c r="G610" s="34"/>
      <c r="H610" s="34"/>
      <c r="I610" s="34"/>
      <c r="J610" s="34"/>
      <c r="K610" s="34"/>
      <c r="L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AA610" s="34"/>
      <c r="AB610" s="34"/>
      <c r="AC610" s="34"/>
      <c r="AD610" s="34"/>
      <c r="AE610" s="34"/>
      <c r="AF610" s="34"/>
      <c r="AG610" s="34"/>
      <c r="AH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I610" s="34"/>
      <c r="BJ610" s="34"/>
      <c r="BK610" s="34"/>
      <c r="BL610" s="34"/>
      <c r="BM610" s="34"/>
      <c r="BN610" s="34"/>
      <c r="BO610" s="34"/>
      <c r="BP610" s="34"/>
      <c r="BY610" s="34"/>
      <c r="BZ610" s="34"/>
      <c r="CA610" s="34"/>
      <c r="CB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</row>
    <row r="611" ht="15.75" customHeight="1">
      <c r="B611" s="34"/>
      <c r="E611" s="34"/>
      <c r="F611" s="34"/>
      <c r="G611" s="34"/>
      <c r="H611" s="34"/>
      <c r="I611" s="34"/>
      <c r="J611" s="34"/>
      <c r="K611" s="34"/>
      <c r="L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AA611" s="34"/>
      <c r="AB611" s="34"/>
      <c r="AC611" s="34"/>
      <c r="AD611" s="34"/>
      <c r="AE611" s="34"/>
      <c r="AF611" s="34"/>
      <c r="AG611" s="34"/>
      <c r="AH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I611" s="34"/>
      <c r="BJ611" s="34"/>
      <c r="BK611" s="34"/>
      <c r="BL611" s="34"/>
      <c r="BM611" s="34"/>
      <c r="BN611" s="34"/>
      <c r="BO611" s="34"/>
      <c r="BP611" s="34"/>
      <c r="BY611" s="34"/>
      <c r="BZ611" s="34"/>
      <c r="CA611" s="34"/>
      <c r="CB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</row>
    <row r="612" ht="15.75" customHeight="1">
      <c r="B612" s="34"/>
      <c r="E612" s="34"/>
      <c r="F612" s="34"/>
      <c r="G612" s="34"/>
      <c r="H612" s="34"/>
      <c r="I612" s="34"/>
      <c r="J612" s="34"/>
      <c r="K612" s="34"/>
      <c r="L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AA612" s="34"/>
      <c r="AB612" s="34"/>
      <c r="AC612" s="34"/>
      <c r="AD612" s="34"/>
      <c r="AE612" s="34"/>
      <c r="AF612" s="34"/>
      <c r="AG612" s="34"/>
      <c r="AH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I612" s="34"/>
      <c r="BJ612" s="34"/>
      <c r="BK612" s="34"/>
      <c r="BL612" s="34"/>
      <c r="BM612" s="34"/>
      <c r="BN612" s="34"/>
      <c r="BO612" s="34"/>
      <c r="BP612" s="34"/>
      <c r="BY612" s="34"/>
      <c r="BZ612" s="34"/>
      <c r="CA612" s="34"/>
      <c r="CB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</row>
    <row r="613" ht="15.75" customHeight="1">
      <c r="B613" s="34"/>
      <c r="E613" s="34"/>
      <c r="F613" s="34"/>
      <c r="G613" s="34"/>
      <c r="H613" s="34"/>
      <c r="I613" s="34"/>
      <c r="J613" s="34"/>
      <c r="K613" s="34"/>
      <c r="L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AA613" s="34"/>
      <c r="AB613" s="34"/>
      <c r="AC613" s="34"/>
      <c r="AD613" s="34"/>
      <c r="AE613" s="34"/>
      <c r="AF613" s="34"/>
      <c r="AG613" s="34"/>
      <c r="AH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I613" s="34"/>
      <c r="BJ613" s="34"/>
      <c r="BK613" s="34"/>
      <c r="BL613" s="34"/>
      <c r="BM613" s="34"/>
      <c r="BN613" s="34"/>
      <c r="BO613" s="34"/>
      <c r="BP613" s="34"/>
      <c r="BY613" s="34"/>
      <c r="BZ613" s="34"/>
      <c r="CA613" s="34"/>
      <c r="CB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</row>
    <row r="614" ht="15.75" customHeight="1">
      <c r="B614" s="34"/>
      <c r="E614" s="34"/>
      <c r="F614" s="34"/>
      <c r="G614" s="34"/>
      <c r="H614" s="34"/>
      <c r="I614" s="34"/>
      <c r="J614" s="34"/>
      <c r="K614" s="34"/>
      <c r="L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AA614" s="34"/>
      <c r="AB614" s="34"/>
      <c r="AC614" s="34"/>
      <c r="AD614" s="34"/>
      <c r="AE614" s="34"/>
      <c r="AF614" s="34"/>
      <c r="AG614" s="34"/>
      <c r="AH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I614" s="34"/>
      <c r="BJ614" s="34"/>
      <c r="BK614" s="34"/>
      <c r="BL614" s="34"/>
      <c r="BM614" s="34"/>
      <c r="BN614" s="34"/>
      <c r="BO614" s="34"/>
      <c r="BP614" s="34"/>
      <c r="BY614" s="34"/>
      <c r="BZ614" s="34"/>
      <c r="CA614" s="34"/>
      <c r="CB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</row>
    <row r="615" ht="15.75" customHeight="1">
      <c r="B615" s="34"/>
      <c r="E615" s="34"/>
      <c r="F615" s="34"/>
      <c r="G615" s="34"/>
      <c r="H615" s="34"/>
      <c r="I615" s="34"/>
      <c r="J615" s="34"/>
      <c r="K615" s="34"/>
      <c r="L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AA615" s="34"/>
      <c r="AB615" s="34"/>
      <c r="AC615" s="34"/>
      <c r="AD615" s="34"/>
      <c r="AE615" s="34"/>
      <c r="AF615" s="34"/>
      <c r="AG615" s="34"/>
      <c r="AH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I615" s="34"/>
      <c r="BJ615" s="34"/>
      <c r="BK615" s="34"/>
      <c r="BL615" s="34"/>
      <c r="BM615" s="34"/>
      <c r="BN615" s="34"/>
      <c r="BO615" s="34"/>
      <c r="BP615" s="34"/>
      <c r="BY615" s="34"/>
      <c r="BZ615" s="34"/>
      <c r="CA615" s="34"/>
      <c r="CB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</row>
    <row r="616" ht="15.75" customHeight="1">
      <c r="B616" s="34"/>
      <c r="E616" s="34"/>
      <c r="F616" s="34"/>
      <c r="G616" s="34"/>
      <c r="H616" s="34"/>
      <c r="I616" s="34"/>
      <c r="J616" s="34"/>
      <c r="K616" s="34"/>
      <c r="L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AA616" s="34"/>
      <c r="AB616" s="34"/>
      <c r="AC616" s="34"/>
      <c r="AD616" s="34"/>
      <c r="AE616" s="34"/>
      <c r="AF616" s="34"/>
      <c r="AG616" s="34"/>
      <c r="AH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I616" s="34"/>
      <c r="BJ616" s="34"/>
      <c r="BK616" s="34"/>
      <c r="BL616" s="34"/>
      <c r="BM616" s="34"/>
      <c r="BN616" s="34"/>
      <c r="BO616" s="34"/>
      <c r="BP616" s="34"/>
      <c r="BY616" s="34"/>
      <c r="BZ616" s="34"/>
      <c r="CA616" s="34"/>
      <c r="CB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</row>
    <row r="617" ht="15.75" customHeight="1">
      <c r="B617" s="34"/>
      <c r="E617" s="34"/>
      <c r="F617" s="34"/>
      <c r="G617" s="34"/>
      <c r="H617" s="34"/>
      <c r="I617" s="34"/>
      <c r="J617" s="34"/>
      <c r="K617" s="34"/>
      <c r="L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AA617" s="34"/>
      <c r="AB617" s="34"/>
      <c r="AC617" s="34"/>
      <c r="AD617" s="34"/>
      <c r="AE617" s="34"/>
      <c r="AF617" s="34"/>
      <c r="AG617" s="34"/>
      <c r="AH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I617" s="34"/>
      <c r="BJ617" s="34"/>
      <c r="BK617" s="34"/>
      <c r="BL617" s="34"/>
      <c r="BM617" s="34"/>
      <c r="BN617" s="34"/>
      <c r="BO617" s="34"/>
      <c r="BP617" s="34"/>
      <c r="BY617" s="34"/>
      <c r="BZ617" s="34"/>
      <c r="CA617" s="34"/>
      <c r="CB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</row>
    <row r="618" ht="15.75" customHeight="1">
      <c r="B618" s="34"/>
      <c r="E618" s="34"/>
      <c r="F618" s="34"/>
      <c r="G618" s="34"/>
      <c r="H618" s="34"/>
      <c r="I618" s="34"/>
      <c r="J618" s="34"/>
      <c r="K618" s="34"/>
      <c r="L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AA618" s="34"/>
      <c r="AB618" s="34"/>
      <c r="AC618" s="34"/>
      <c r="AD618" s="34"/>
      <c r="AE618" s="34"/>
      <c r="AF618" s="34"/>
      <c r="AG618" s="34"/>
      <c r="AH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I618" s="34"/>
      <c r="BJ618" s="34"/>
      <c r="BK618" s="34"/>
      <c r="BL618" s="34"/>
      <c r="BM618" s="34"/>
      <c r="BN618" s="34"/>
      <c r="BO618" s="34"/>
      <c r="BP618" s="34"/>
      <c r="BY618" s="34"/>
      <c r="BZ618" s="34"/>
      <c r="CA618" s="34"/>
      <c r="CB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</row>
    <row r="619" ht="15.75" customHeight="1">
      <c r="B619" s="34"/>
      <c r="E619" s="34"/>
      <c r="F619" s="34"/>
      <c r="G619" s="34"/>
      <c r="H619" s="34"/>
      <c r="I619" s="34"/>
      <c r="J619" s="34"/>
      <c r="K619" s="34"/>
      <c r="L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AA619" s="34"/>
      <c r="AB619" s="34"/>
      <c r="AC619" s="34"/>
      <c r="AD619" s="34"/>
      <c r="AE619" s="34"/>
      <c r="AF619" s="34"/>
      <c r="AG619" s="34"/>
      <c r="AH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I619" s="34"/>
      <c r="BJ619" s="34"/>
      <c r="BK619" s="34"/>
      <c r="BL619" s="34"/>
      <c r="BM619" s="34"/>
      <c r="BN619" s="34"/>
      <c r="BO619" s="34"/>
      <c r="BP619" s="34"/>
      <c r="BY619" s="34"/>
      <c r="BZ619" s="34"/>
      <c r="CA619" s="34"/>
      <c r="CB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</row>
    <row r="620" ht="15.75" customHeight="1">
      <c r="B620" s="34"/>
      <c r="E620" s="34"/>
      <c r="F620" s="34"/>
      <c r="G620" s="34"/>
      <c r="H620" s="34"/>
      <c r="I620" s="34"/>
      <c r="J620" s="34"/>
      <c r="K620" s="34"/>
      <c r="L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AA620" s="34"/>
      <c r="AB620" s="34"/>
      <c r="AC620" s="34"/>
      <c r="AD620" s="34"/>
      <c r="AE620" s="34"/>
      <c r="AF620" s="34"/>
      <c r="AG620" s="34"/>
      <c r="AH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I620" s="34"/>
      <c r="BJ620" s="34"/>
      <c r="BK620" s="34"/>
      <c r="BL620" s="34"/>
      <c r="BM620" s="34"/>
      <c r="BN620" s="34"/>
      <c r="BO620" s="34"/>
      <c r="BP620" s="34"/>
      <c r="BY620" s="34"/>
      <c r="BZ620" s="34"/>
      <c r="CA620" s="34"/>
      <c r="CB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</row>
    <row r="621" ht="15.75" customHeight="1">
      <c r="B621" s="34"/>
      <c r="E621" s="34"/>
      <c r="F621" s="34"/>
      <c r="G621" s="34"/>
      <c r="H621" s="34"/>
      <c r="I621" s="34"/>
      <c r="J621" s="34"/>
      <c r="K621" s="34"/>
      <c r="L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AA621" s="34"/>
      <c r="AB621" s="34"/>
      <c r="AC621" s="34"/>
      <c r="AD621" s="34"/>
      <c r="AE621" s="34"/>
      <c r="AF621" s="34"/>
      <c r="AG621" s="34"/>
      <c r="AH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I621" s="34"/>
      <c r="BJ621" s="34"/>
      <c r="BK621" s="34"/>
      <c r="BL621" s="34"/>
      <c r="BM621" s="34"/>
      <c r="BN621" s="34"/>
      <c r="BO621" s="34"/>
      <c r="BP621" s="34"/>
      <c r="BY621" s="34"/>
      <c r="BZ621" s="34"/>
      <c r="CA621" s="34"/>
      <c r="CB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</row>
    <row r="622" ht="15.75" customHeight="1">
      <c r="B622" s="34"/>
      <c r="E622" s="34"/>
      <c r="F622" s="34"/>
      <c r="G622" s="34"/>
      <c r="H622" s="34"/>
      <c r="I622" s="34"/>
      <c r="J622" s="34"/>
      <c r="K622" s="34"/>
      <c r="L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AA622" s="34"/>
      <c r="AB622" s="34"/>
      <c r="AC622" s="34"/>
      <c r="AD622" s="34"/>
      <c r="AE622" s="34"/>
      <c r="AF622" s="34"/>
      <c r="AG622" s="34"/>
      <c r="AH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I622" s="34"/>
      <c r="BJ622" s="34"/>
      <c r="BK622" s="34"/>
      <c r="BL622" s="34"/>
      <c r="BM622" s="34"/>
      <c r="BN622" s="34"/>
      <c r="BO622" s="34"/>
      <c r="BP622" s="34"/>
      <c r="BY622" s="34"/>
      <c r="BZ622" s="34"/>
      <c r="CA622" s="34"/>
      <c r="CB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</row>
    <row r="623" ht="15.75" customHeight="1">
      <c r="B623" s="34"/>
      <c r="E623" s="34"/>
      <c r="F623" s="34"/>
      <c r="G623" s="34"/>
      <c r="H623" s="34"/>
      <c r="I623" s="34"/>
      <c r="J623" s="34"/>
      <c r="K623" s="34"/>
      <c r="L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AA623" s="34"/>
      <c r="AB623" s="34"/>
      <c r="AC623" s="34"/>
      <c r="AD623" s="34"/>
      <c r="AE623" s="34"/>
      <c r="AF623" s="34"/>
      <c r="AG623" s="34"/>
      <c r="AH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I623" s="34"/>
      <c r="BJ623" s="34"/>
      <c r="BK623" s="34"/>
      <c r="BL623" s="34"/>
      <c r="BM623" s="34"/>
      <c r="BN623" s="34"/>
      <c r="BO623" s="34"/>
      <c r="BP623" s="34"/>
      <c r="BY623" s="34"/>
      <c r="BZ623" s="34"/>
      <c r="CA623" s="34"/>
      <c r="CB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</row>
    <row r="624" ht="15.75" customHeight="1">
      <c r="B624" s="34"/>
      <c r="E624" s="34"/>
      <c r="F624" s="34"/>
      <c r="G624" s="34"/>
      <c r="H624" s="34"/>
      <c r="I624" s="34"/>
      <c r="J624" s="34"/>
      <c r="K624" s="34"/>
      <c r="L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AA624" s="34"/>
      <c r="AB624" s="34"/>
      <c r="AC624" s="34"/>
      <c r="AD624" s="34"/>
      <c r="AE624" s="34"/>
      <c r="AF624" s="34"/>
      <c r="AG624" s="34"/>
      <c r="AH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I624" s="34"/>
      <c r="BJ624" s="34"/>
      <c r="BK624" s="34"/>
      <c r="BL624" s="34"/>
      <c r="BM624" s="34"/>
      <c r="BN624" s="34"/>
      <c r="BO624" s="34"/>
      <c r="BP624" s="34"/>
      <c r="BY624" s="34"/>
      <c r="BZ624" s="34"/>
      <c r="CA624" s="34"/>
      <c r="CB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</row>
    <row r="625" ht="15.75" customHeight="1">
      <c r="B625" s="34"/>
      <c r="E625" s="34"/>
      <c r="F625" s="34"/>
      <c r="G625" s="34"/>
      <c r="H625" s="34"/>
      <c r="I625" s="34"/>
      <c r="J625" s="34"/>
      <c r="K625" s="34"/>
      <c r="L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AA625" s="34"/>
      <c r="AB625" s="34"/>
      <c r="AC625" s="34"/>
      <c r="AD625" s="34"/>
      <c r="AE625" s="34"/>
      <c r="AF625" s="34"/>
      <c r="AG625" s="34"/>
      <c r="AH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I625" s="34"/>
      <c r="BJ625" s="34"/>
      <c r="BK625" s="34"/>
      <c r="BL625" s="34"/>
      <c r="BM625" s="34"/>
      <c r="BN625" s="34"/>
      <c r="BO625" s="34"/>
      <c r="BP625" s="34"/>
      <c r="BY625" s="34"/>
      <c r="BZ625" s="34"/>
      <c r="CA625" s="34"/>
      <c r="CB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</row>
    <row r="626" ht="15.75" customHeight="1">
      <c r="B626" s="34"/>
      <c r="E626" s="34"/>
      <c r="F626" s="34"/>
      <c r="G626" s="34"/>
      <c r="H626" s="34"/>
      <c r="I626" s="34"/>
      <c r="J626" s="34"/>
      <c r="K626" s="34"/>
      <c r="L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AA626" s="34"/>
      <c r="AB626" s="34"/>
      <c r="AC626" s="34"/>
      <c r="AD626" s="34"/>
      <c r="AE626" s="34"/>
      <c r="AF626" s="34"/>
      <c r="AG626" s="34"/>
      <c r="AH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I626" s="34"/>
      <c r="BJ626" s="34"/>
      <c r="BK626" s="34"/>
      <c r="BL626" s="34"/>
      <c r="BM626" s="34"/>
      <c r="BN626" s="34"/>
      <c r="BO626" s="34"/>
      <c r="BP626" s="34"/>
      <c r="BY626" s="34"/>
      <c r="BZ626" s="34"/>
      <c r="CA626" s="34"/>
      <c r="CB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</row>
    <row r="627" ht="15.75" customHeight="1">
      <c r="B627" s="34"/>
      <c r="E627" s="34"/>
      <c r="F627" s="34"/>
      <c r="G627" s="34"/>
      <c r="H627" s="34"/>
      <c r="I627" s="34"/>
      <c r="J627" s="34"/>
      <c r="K627" s="34"/>
      <c r="L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AA627" s="34"/>
      <c r="AB627" s="34"/>
      <c r="AC627" s="34"/>
      <c r="AD627" s="34"/>
      <c r="AE627" s="34"/>
      <c r="AF627" s="34"/>
      <c r="AG627" s="34"/>
      <c r="AH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I627" s="34"/>
      <c r="BJ627" s="34"/>
      <c r="BK627" s="34"/>
      <c r="BL627" s="34"/>
      <c r="BM627" s="34"/>
      <c r="BN627" s="34"/>
      <c r="BO627" s="34"/>
      <c r="BP627" s="34"/>
      <c r="BY627" s="34"/>
      <c r="BZ627" s="34"/>
      <c r="CA627" s="34"/>
      <c r="CB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Q627" s="34"/>
      <c r="CR627" s="34"/>
      <c r="CS627" s="34"/>
      <c r="CT627" s="34"/>
      <c r="CU627" s="34"/>
      <c r="CV627" s="34"/>
      <c r="CW627" s="34"/>
      <c r="CX627" s="34"/>
      <c r="CY627" s="34"/>
      <c r="CZ627" s="34"/>
      <c r="DC627" s="34"/>
      <c r="DD627" s="34"/>
      <c r="DE627" s="34"/>
      <c r="DF627" s="34"/>
      <c r="DG627" s="34"/>
      <c r="DH627" s="34"/>
      <c r="DI627" s="34"/>
      <c r="DJ627" s="34"/>
      <c r="DK627" s="34"/>
      <c r="DL627" s="34"/>
    </row>
    <row r="628" ht="15.75" customHeight="1">
      <c r="B628" s="34"/>
      <c r="E628" s="34"/>
      <c r="F628" s="34"/>
      <c r="G628" s="34"/>
      <c r="H628" s="34"/>
      <c r="I628" s="34"/>
      <c r="J628" s="34"/>
      <c r="K628" s="34"/>
      <c r="L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AA628" s="34"/>
      <c r="AB628" s="34"/>
      <c r="AC628" s="34"/>
      <c r="AD628" s="34"/>
      <c r="AE628" s="34"/>
      <c r="AF628" s="34"/>
      <c r="AG628" s="34"/>
      <c r="AH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I628" s="34"/>
      <c r="BJ628" s="34"/>
      <c r="BK628" s="34"/>
      <c r="BL628" s="34"/>
      <c r="BM628" s="34"/>
      <c r="BN628" s="34"/>
      <c r="BO628" s="34"/>
      <c r="BP628" s="34"/>
      <c r="BY628" s="34"/>
      <c r="BZ628" s="34"/>
      <c r="CA628" s="34"/>
      <c r="CB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Q628" s="34"/>
      <c r="CR628" s="34"/>
      <c r="CS628" s="34"/>
      <c r="CT628" s="34"/>
      <c r="CU628" s="34"/>
      <c r="CV628" s="34"/>
      <c r="CW628" s="34"/>
      <c r="CX628" s="34"/>
      <c r="CY628" s="34"/>
      <c r="CZ628" s="34"/>
      <c r="DC628" s="34"/>
      <c r="DD628" s="34"/>
      <c r="DE628" s="34"/>
      <c r="DF628" s="34"/>
      <c r="DG628" s="34"/>
      <c r="DH628" s="34"/>
      <c r="DI628" s="34"/>
      <c r="DJ628" s="34"/>
      <c r="DK628" s="34"/>
      <c r="DL628" s="34"/>
    </row>
    <row r="629" ht="15.75" customHeight="1">
      <c r="B629" s="34"/>
      <c r="E629" s="34"/>
      <c r="F629" s="34"/>
      <c r="G629" s="34"/>
      <c r="H629" s="34"/>
      <c r="I629" s="34"/>
      <c r="J629" s="34"/>
      <c r="K629" s="34"/>
      <c r="L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AA629" s="34"/>
      <c r="AB629" s="34"/>
      <c r="AC629" s="34"/>
      <c r="AD629" s="34"/>
      <c r="AE629" s="34"/>
      <c r="AF629" s="34"/>
      <c r="AG629" s="34"/>
      <c r="AH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I629" s="34"/>
      <c r="BJ629" s="34"/>
      <c r="BK629" s="34"/>
      <c r="BL629" s="34"/>
      <c r="BM629" s="34"/>
      <c r="BN629" s="34"/>
      <c r="BO629" s="34"/>
      <c r="BP629" s="34"/>
      <c r="BY629" s="34"/>
      <c r="BZ629" s="34"/>
      <c r="CA629" s="34"/>
      <c r="CB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Q629" s="34"/>
      <c r="CR629" s="34"/>
      <c r="CS629" s="34"/>
      <c r="CT629" s="34"/>
      <c r="CU629" s="34"/>
      <c r="CV629" s="34"/>
      <c r="CW629" s="34"/>
      <c r="CX629" s="34"/>
      <c r="CY629" s="34"/>
      <c r="CZ629" s="34"/>
      <c r="DC629" s="34"/>
      <c r="DD629" s="34"/>
      <c r="DE629" s="34"/>
      <c r="DF629" s="34"/>
      <c r="DG629" s="34"/>
      <c r="DH629" s="34"/>
      <c r="DI629" s="34"/>
      <c r="DJ629" s="34"/>
      <c r="DK629" s="34"/>
      <c r="DL629" s="34"/>
    </row>
    <row r="630" ht="15.75" customHeight="1">
      <c r="B630" s="34"/>
      <c r="E630" s="34"/>
      <c r="F630" s="34"/>
      <c r="G630" s="34"/>
      <c r="H630" s="34"/>
      <c r="I630" s="34"/>
      <c r="J630" s="34"/>
      <c r="K630" s="34"/>
      <c r="L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AA630" s="34"/>
      <c r="AB630" s="34"/>
      <c r="AC630" s="34"/>
      <c r="AD630" s="34"/>
      <c r="AE630" s="34"/>
      <c r="AF630" s="34"/>
      <c r="AG630" s="34"/>
      <c r="AH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I630" s="34"/>
      <c r="BJ630" s="34"/>
      <c r="BK630" s="34"/>
      <c r="BL630" s="34"/>
      <c r="BM630" s="34"/>
      <c r="BN630" s="34"/>
      <c r="BO630" s="34"/>
      <c r="BP630" s="34"/>
      <c r="BY630" s="34"/>
      <c r="BZ630" s="34"/>
      <c r="CA630" s="34"/>
      <c r="CB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Q630" s="34"/>
      <c r="CR630" s="34"/>
      <c r="CS630" s="34"/>
      <c r="CT630" s="34"/>
      <c r="CU630" s="34"/>
      <c r="CV630" s="34"/>
      <c r="CW630" s="34"/>
      <c r="CX630" s="34"/>
      <c r="CY630" s="34"/>
      <c r="CZ630" s="34"/>
      <c r="DC630" s="34"/>
      <c r="DD630" s="34"/>
      <c r="DE630" s="34"/>
      <c r="DF630" s="34"/>
      <c r="DG630" s="34"/>
      <c r="DH630" s="34"/>
      <c r="DI630" s="34"/>
      <c r="DJ630" s="34"/>
      <c r="DK630" s="34"/>
      <c r="DL630" s="34"/>
    </row>
    <row r="631" ht="15.75" customHeight="1">
      <c r="B631" s="34"/>
      <c r="E631" s="34"/>
      <c r="F631" s="34"/>
      <c r="G631" s="34"/>
      <c r="H631" s="34"/>
      <c r="I631" s="34"/>
      <c r="J631" s="34"/>
      <c r="K631" s="34"/>
      <c r="L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AA631" s="34"/>
      <c r="AB631" s="34"/>
      <c r="AC631" s="34"/>
      <c r="AD631" s="34"/>
      <c r="AE631" s="34"/>
      <c r="AF631" s="34"/>
      <c r="AG631" s="34"/>
      <c r="AH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I631" s="34"/>
      <c r="BJ631" s="34"/>
      <c r="BK631" s="34"/>
      <c r="BL631" s="34"/>
      <c r="BM631" s="34"/>
      <c r="BN631" s="34"/>
      <c r="BO631" s="34"/>
      <c r="BP631" s="34"/>
      <c r="BY631" s="34"/>
      <c r="BZ631" s="34"/>
      <c r="CA631" s="34"/>
      <c r="CB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Q631" s="34"/>
      <c r="CR631" s="34"/>
      <c r="CS631" s="34"/>
      <c r="CT631" s="34"/>
      <c r="CU631" s="34"/>
      <c r="CV631" s="34"/>
      <c r="CW631" s="34"/>
      <c r="CX631" s="34"/>
      <c r="CY631" s="34"/>
      <c r="CZ631" s="34"/>
      <c r="DC631" s="34"/>
      <c r="DD631" s="34"/>
      <c r="DE631" s="34"/>
      <c r="DF631" s="34"/>
      <c r="DG631" s="34"/>
      <c r="DH631" s="34"/>
      <c r="DI631" s="34"/>
      <c r="DJ631" s="34"/>
      <c r="DK631" s="34"/>
      <c r="DL631" s="34"/>
    </row>
    <row r="632" ht="15.75" customHeight="1">
      <c r="B632" s="34"/>
      <c r="E632" s="34"/>
      <c r="F632" s="34"/>
      <c r="G632" s="34"/>
      <c r="H632" s="34"/>
      <c r="I632" s="34"/>
      <c r="J632" s="34"/>
      <c r="K632" s="34"/>
      <c r="L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AA632" s="34"/>
      <c r="AB632" s="34"/>
      <c r="AC632" s="34"/>
      <c r="AD632" s="34"/>
      <c r="AE632" s="34"/>
      <c r="AF632" s="34"/>
      <c r="AG632" s="34"/>
      <c r="AH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I632" s="34"/>
      <c r="BJ632" s="34"/>
      <c r="BK632" s="34"/>
      <c r="BL632" s="34"/>
      <c r="BM632" s="34"/>
      <c r="BN632" s="34"/>
      <c r="BO632" s="34"/>
      <c r="BP632" s="34"/>
      <c r="BY632" s="34"/>
      <c r="BZ632" s="34"/>
      <c r="CA632" s="34"/>
      <c r="CB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Q632" s="34"/>
      <c r="CR632" s="34"/>
      <c r="CS632" s="34"/>
      <c r="CT632" s="34"/>
      <c r="CU632" s="34"/>
      <c r="CV632" s="34"/>
      <c r="CW632" s="34"/>
      <c r="CX632" s="34"/>
      <c r="CY632" s="34"/>
      <c r="CZ632" s="34"/>
      <c r="DC632" s="34"/>
      <c r="DD632" s="34"/>
      <c r="DE632" s="34"/>
      <c r="DF632" s="34"/>
      <c r="DG632" s="34"/>
      <c r="DH632" s="34"/>
      <c r="DI632" s="34"/>
      <c r="DJ632" s="34"/>
      <c r="DK632" s="34"/>
      <c r="DL632" s="34"/>
    </row>
    <row r="633" ht="15.75" customHeight="1">
      <c r="B633" s="34"/>
      <c r="E633" s="34"/>
      <c r="F633" s="34"/>
      <c r="G633" s="34"/>
      <c r="H633" s="34"/>
      <c r="I633" s="34"/>
      <c r="J633" s="34"/>
      <c r="K633" s="34"/>
      <c r="L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AA633" s="34"/>
      <c r="AB633" s="34"/>
      <c r="AC633" s="34"/>
      <c r="AD633" s="34"/>
      <c r="AE633" s="34"/>
      <c r="AF633" s="34"/>
      <c r="AG633" s="34"/>
      <c r="AH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I633" s="34"/>
      <c r="BJ633" s="34"/>
      <c r="BK633" s="34"/>
      <c r="BL633" s="34"/>
      <c r="BM633" s="34"/>
      <c r="BN633" s="34"/>
      <c r="BO633" s="34"/>
      <c r="BP633" s="34"/>
      <c r="BY633" s="34"/>
      <c r="BZ633" s="34"/>
      <c r="CA633" s="34"/>
      <c r="CB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Q633" s="34"/>
      <c r="CR633" s="34"/>
      <c r="CS633" s="34"/>
      <c r="CT633" s="34"/>
      <c r="CU633" s="34"/>
      <c r="CV633" s="34"/>
      <c r="CW633" s="34"/>
      <c r="CX633" s="34"/>
      <c r="CY633" s="34"/>
      <c r="CZ633" s="34"/>
      <c r="DC633" s="34"/>
      <c r="DD633" s="34"/>
      <c r="DE633" s="34"/>
      <c r="DF633" s="34"/>
      <c r="DG633" s="34"/>
      <c r="DH633" s="34"/>
      <c r="DI633" s="34"/>
      <c r="DJ633" s="34"/>
      <c r="DK633" s="34"/>
      <c r="DL633" s="34"/>
    </row>
    <row r="634" ht="15.75" customHeight="1">
      <c r="B634" s="34"/>
      <c r="E634" s="34"/>
      <c r="F634" s="34"/>
      <c r="G634" s="34"/>
      <c r="H634" s="34"/>
      <c r="I634" s="34"/>
      <c r="J634" s="34"/>
      <c r="K634" s="34"/>
      <c r="L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AA634" s="34"/>
      <c r="AB634" s="34"/>
      <c r="AC634" s="34"/>
      <c r="AD634" s="34"/>
      <c r="AE634" s="34"/>
      <c r="AF634" s="34"/>
      <c r="AG634" s="34"/>
      <c r="AH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I634" s="34"/>
      <c r="BJ634" s="34"/>
      <c r="BK634" s="34"/>
      <c r="BL634" s="34"/>
      <c r="BM634" s="34"/>
      <c r="BN634" s="34"/>
      <c r="BO634" s="34"/>
      <c r="BP634" s="34"/>
      <c r="BY634" s="34"/>
      <c r="BZ634" s="34"/>
      <c r="CA634" s="34"/>
      <c r="CB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Q634" s="34"/>
      <c r="CR634" s="34"/>
      <c r="CS634" s="34"/>
      <c r="CT634" s="34"/>
      <c r="CU634" s="34"/>
      <c r="CV634" s="34"/>
      <c r="CW634" s="34"/>
      <c r="CX634" s="34"/>
      <c r="CY634" s="34"/>
      <c r="CZ634" s="34"/>
      <c r="DC634" s="34"/>
      <c r="DD634" s="34"/>
      <c r="DE634" s="34"/>
      <c r="DF634" s="34"/>
      <c r="DG634" s="34"/>
      <c r="DH634" s="34"/>
      <c r="DI634" s="34"/>
      <c r="DJ634" s="34"/>
      <c r="DK634" s="34"/>
      <c r="DL634" s="34"/>
    </row>
    <row r="635" ht="15.75" customHeight="1">
      <c r="B635" s="34"/>
      <c r="E635" s="34"/>
      <c r="F635" s="34"/>
      <c r="G635" s="34"/>
      <c r="H635" s="34"/>
      <c r="I635" s="34"/>
      <c r="J635" s="34"/>
      <c r="K635" s="34"/>
      <c r="L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AA635" s="34"/>
      <c r="AB635" s="34"/>
      <c r="AC635" s="34"/>
      <c r="AD635" s="34"/>
      <c r="AE635" s="34"/>
      <c r="AF635" s="34"/>
      <c r="AG635" s="34"/>
      <c r="AH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I635" s="34"/>
      <c r="BJ635" s="34"/>
      <c r="BK635" s="34"/>
      <c r="BL635" s="34"/>
      <c r="BM635" s="34"/>
      <c r="BN635" s="34"/>
      <c r="BO635" s="34"/>
      <c r="BP635" s="34"/>
      <c r="BY635" s="34"/>
      <c r="BZ635" s="34"/>
      <c r="CA635" s="34"/>
      <c r="CB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Q635" s="34"/>
      <c r="CR635" s="34"/>
      <c r="CS635" s="34"/>
      <c r="CT635" s="34"/>
      <c r="CU635" s="34"/>
      <c r="CV635" s="34"/>
      <c r="CW635" s="34"/>
      <c r="CX635" s="34"/>
      <c r="CY635" s="34"/>
      <c r="CZ635" s="34"/>
      <c r="DC635" s="34"/>
      <c r="DD635" s="34"/>
      <c r="DE635" s="34"/>
      <c r="DF635" s="34"/>
      <c r="DG635" s="34"/>
      <c r="DH635" s="34"/>
      <c r="DI635" s="34"/>
      <c r="DJ635" s="34"/>
      <c r="DK635" s="34"/>
      <c r="DL635" s="34"/>
    </row>
    <row r="636" ht="15.75" customHeight="1">
      <c r="B636" s="34"/>
      <c r="E636" s="34"/>
      <c r="F636" s="34"/>
      <c r="G636" s="34"/>
      <c r="H636" s="34"/>
      <c r="I636" s="34"/>
      <c r="J636" s="34"/>
      <c r="K636" s="34"/>
      <c r="L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AA636" s="34"/>
      <c r="AB636" s="34"/>
      <c r="AC636" s="34"/>
      <c r="AD636" s="34"/>
      <c r="AE636" s="34"/>
      <c r="AF636" s="34"/>
      <c r="AG636" s="34"/>
      <c r="AH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I636" s="34"/>
      <c r="BJ636" s="34"/>
      <c r="BK636" s="34"/>
      <c r="BL636" s="34"/>
      <c r="BM636" s="34"/>
      <c r="BN636" s="34"/>
      <c r="BO636" s="34"/>
      <c r="BP636" s="34"/>
      <c r="BY636" s="34"/>
      <c r="BZ636" s="34"/>
      <c r="CA636" s="34"/>
      <c r="CB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Q636" s="34"/>
      <c r="CR636" s="34"/>
      <c r="CS636" s="34"/>
      <c r="CT636" s="34"/>
      <c r="CU636" s="34"/>
      <c r="CV636" s="34"/>
      <c r="CW636" s="34"/>
      <c r="CX636" s="34"/>
      <c r="CY636" s="34"/>
      <c r="CZ636" s="34"/>
      <c r="DC636" s="34"/>
      <c r="DD636" s="34"/>
      <c r="DE636" s="34"/>
      <c r="DF636" s="34"/>
      <c r="DG636" s="34"/>
      <c r="DH636" s="34"/>
      <c r="DI636" s="34"/>
      <c r="DJ636" s="34"/>
      <c r="DK636" s="34"/>
      <c r="DL636" s="34"/>
    </row>
    <row r="637" ht="15.75" customHeight="1">
      <c r="B637" s="34"/>
      <c r="E637" s="34"/>
      <c r="F637" s="34"/>
      <c r="G637" s="34"/>
      <c r="H637" s="34"/>
      <c r="I637" s="34"/>
      <c r="J637" s="34"/>
      <c r="K637" s="34"/>
      <c r="L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AA637" s="34"/>
      <c r="AB637" s="34"/>
      <c r="AC637" s="34"/>
      <c r="AD637" s="34"/>
      <c r="AE637" s="34"/>
      <c r="AF637" s="34"/>
      <c r="AG637" s="34"/>
      <c r="AH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I637" s="34"/>
      <c r="BJ637" s="34"/>
      <c r="BK637" s="34"/>
      <c r="BL637" s="34"/>
      <c r="BM637" s="34"/>
      <c r="BN637" s="34"/>
      <c r="BO637" s="34"/>
      <c r="BP637" s="34"/>
      <c r="BY637" s="34"/>
      <c r="BZ637" s="34"/>
      <c r="CA637" s="34"/>
      <c r="CB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Q637" s="34"/>
      <c r="CR637" s="34"/>
      <c r="CS637" s="34"/>
      <c r="CT637" s="34"/>
      <c r="CU637" s="34"/>
      <c r="CV637" s="34"/>
      <c r="CW637" s="34"/>
      <c r="CX637" s="34"/>
      <c r="CY637" s="34"/>
      <c r="CZ637" s="34"/>
      <c r="DC637" s="34"/>
      <c r="DD637" s="34"/>
      <c r="DE637" s="34"/>
      <c r="DF637" s="34"/>
      <c r="DG637" s="34"/>
      <c r="DH637" s="34"/>
      <c r="DI637" s="34"/>
      <c r="DJ637" s="34"/>
      <c r="DK637" s="34"/>
      <c r="DL637" s="34"/>
    </row>
    <row r="638" ht="15.75" customHeight="1">
      <c r="B638" s="34"/>
      <c r="E638" s="34"/>
      <c r="F638" s="34"/>
      <c r="G638" s="34"/>
      <c r="H638" s="34"/>
      <c r="I638" s="34"/>
      <c r="J638" s="34"/>
      <c r="K638" s="34"/>
      <c r="L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AA638" s="34"/>
      <c r="AB638" s="34"/>
      <c r="AC638" s="34"/>
      <c r="AD638" s="34"/>
      <c r="AE638" s="34"/>
      <c r="AF638" s="34"/>
      <c r="AG638" s="34"/>
      <c r="AH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I638" s="34"/>
      <c r="BJ638" s="34"/>
      <c r="BK638" s="34"/>
      <c r="BL638" s="34"/>
      <c r="BM638" s="34"/>
      <c r="BN638" s="34"/>
      <c r="BO638" s="34"/>
      <c r="BP638" s="34"/>
      <c r="BY638" s="34"/>
      <c r="BZ638" s="34"/>
      <c r="CA638" s="34"/>
      <c r="CB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Q638" s="34"/>
      <c r="CR638" s="34"/>
      <c r="CS638" s="34"/>
      <c r="CT638" s="34"/>
      <c r="CU638" s="34"/>
      <c r="CV638" s="34"/>
      <c r="CW638" s="34"/>
      <c r="CX638" s="34"/>
      <c r="CY638" s="34"/>
      <c r="CZ638" s="34"/>
      <c r="DC638" s="34"/>
      <c r="DD638" s="34"/>
      <c r="DE638" s="34"/>
      <c r="DF638" s="34"/>
      <c r="DG638" s="34"/>
      <c r="DH638" s="34"/>
      <c r="DI638" s="34"/>
      <c r="DJ638" s="34"/>
      <c r="DK638" s="34"/>
      <c r="DL638" s="34"/>
    </row>
    <row r="639" ht="15.75" customHeight="1">
      <c r="B639" s="34"/>
      <c r="E639" s="34"/>
      <c r="F639" s="34"/>
      <c r="G639" s="34"/>
      <c r="H639" s="34"/>
      <c r="I639" s="34"/>
      <c r="J639" s="34"/>
      <c r="K639" s="34"/>
      <c r="L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AA639" s="34"/>
      <c r="AB639" s="34"/>
      <c r="AC639" s="34"/>
      <c r="AD639" s="34"/>
      <c r="AE639" s="34"/>
      <c r="AF639" s="34"/>
      <c r="AG639" s="34"/>
      <c r="AH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I639" s="34"/>
      <c r="BJ639" s="34"/>
      <c r="BK639" s="34"/>
      <c r="BL639" s="34"/>
      <c r="BM639" s="34"/>
      <c r="BN639" s="34"/>
      <c r="BO639" s="34"/>
      <c r="BP639" s="34"/>
      <c r="BY639" s="34"/>
      <c r="BZ639" s="34"/>
      <c r="CA639" s="34"/>
      <c r="CB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Q639" s="34"/>
      <c r="CR639" s="34"/>
      <c r="CS639" s="34"/>
      <c r="CT639" s="34"/>
      <c r="CU639" s="34"/>
      <c r="CV639" s="34"/>
      <c r="CW639" s="34"/>
      <c r="CX639" s="34"/>
      <c r="CY639" s="34"/>
      <c r="CZ639" s="34"/>
      <c r="DC639" s="34"/>
      <c r="DD639" s="34"/>
      <c r="DE639" s="34"/>
      <c r="DF639" s="34"/>
      <c r="DG639" s="34"/>
      <c r="DH639" s="34"/>
      <c r="DI639" s="34"/>
      <c r="DJ639" s="34"/>
      <c r="DK639" s="34"/>
      <c r="DL639" s="34"/>
    </row>
    <row r="640" ht="15.75" customHeight="1">
      <c r="B640" s="34"/>
      <c r="E640" s="34"/>
      <c r="F640" s="34"/>
      <c r="G640" s="34"/>
      <c r="H640" s="34"/>
      <c r="I640" s="34"/>
      <c r="J640" s="34"/>
      <c r="K640" s="34"/>
      <c r="L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AA640" s="34"/>
      <c r="AB640" s="34"/>
      <c r="AC640" s="34"/>
      <c r="AD640" s="34"/>
      <c r="AE640" s="34"/>
      <c r="AF640" s="34"/>
      <c r="AG640" s="34"/>
      <c r="AH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I640" s="34"/>
      <c r="BJ640" s="34"/>
      <c r="BK640" s="34"/>
      <c r="BL640" s="34"/>
      <c r="BM640" s="34"/>
      <c r="BN640" s="34"/>
      <c r="BO640" s="34"/>
      <c r="BP640" s="34"/>
      <c r="BY640" s="34"/>
      <c r="BZ640" s="34"/>
      <c r="CA640" s="34"/>
      <c r="CB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Q640" s="34"/>
      <c r="CR640" s="34"/>
      <c r="CS640" s="34"/>
      <c r="CT640" s="34"/>
      <c r="CU640" s="34"/>
      <c r="CV640" s="34"/>
      <c r="CW640" s="34"/>
      <c r="CX640" s="34"/>
      <c r="CY640" s="34"/>
      <c r="CZ640" s="34"/>
      <c r="DC640" s="34"/>
      <c r="DD640" s="34"/>
      <c r="DE640" s="34"/>
      <c r="DF640" s="34"/>
      <c r="DG640" s="34"/>
      <c r="DH640" s="34"/>
      <c r="DI640" s="34"/>
      <c r="DJ640" s="34"/>
      <c r="DK640" s="34"/>
      <c r="DL640" s="34"/>
    </row>
    <row r="641" ht="15.75" customHeight="1">
      <c r="B641" s="34"/>
      <c r="E641" s="34"/>
      <c r="F641" s="34"/>
      <c r="G641" s="34"/>
      <c r="H641" s="34"/>
      <c r="I641" s="34"/>
      <c r="J641" s="34"/>
      <c r="K641" s="34"/>
      <c r="L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AA641" s="34"/>
      <c r="AB641" s="34"/>
      <c r="AC641" s="34"/>
      <c r="AD641" s="34"/>
      <c r="AE641" s="34"/>
      <c r="AF641" s="34"/>
      <c r="AG641" s="34"/>
      <c r="AH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I641" s="34"/>
      <c r="BJ641" s="34"/>
      <c r="BK641" s="34"/>
      <c r="BL641" s="34"/>
      <c r="BM641" s="34"/>
      <c r="BN641" s="34"/>
      <c r="BO641" s="34"/>
      <c r="BP641" s="34"/>
      <c r="BY641" s="34"/>
      <c r="BZ641" s="34"/>
      <c r="CA641" s="34"/>
      <c r="CB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Q641" s="34"/>
      <c r="CR641" s="34"/>
      <c r="CS641" s="34"/>
      <c r="CT641" s="34"/>
      <c r="CU641" s="34"/>
      <c r="CV641" s="34"/>
      <c r="CW641" s="34"/>
      <c r="CX641" s="34"/>
      <c r="CY641" s="34"/>
      <c r="CZ641" s="34"/>
      <c r="DC641" s="34"/>
      <c r="DD641" s="34"/>
      <c r="DE641" s="34"/>
      <c r="DF641" s="34"/>
      <c r="DG641" s="34"/>
      <c r="DH641" s="34"/>
      <c r="DI641" s="34"/>
      <c r="DJ641" s="34"/>
      <c r="DK641" s="34"/>
      <c r="DL641" s="34"/>
    </row>
    <row r="642" ht="15.75" customHeight="1">
      <c r="B642" s="34"/>
      <c r="E642" s="34"/>
      <c r="F642" s="34"/>
      <c r="G642" s="34"/>
      <c r="H642" s="34"/>
      <c r="I642" s="34"/>
      <c r="J642" s="34"/>
      <c r="K642" s="34"/>
      <c r="L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AA642" s="34"/>
      <c r="AB642" s="34"/>
      <c r="AC642" s="34"/>
      <c r="AD642" s="34"/>
      <c r="AE642" s="34"/>
      <c r="AF642" s="34"/>
      <c r="AG642" s="34"/>
      <c r="AH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I642" s="34"/>
      <c r="BJ642" s="34"/>
      <c r="BK642" s="34"/>
      <c r="BL642" s="34"/>
      <c r="BM642" s="34"/>
      <c r="BN642" s="34"/>
      <c r="BO642" s="34"/>
      <c r="BP642" s="34"/>
      <c r="BY642" s="34"/>
      <c r="BZ642" s="34"/>
      <c r="CA642" s="34"/>
      <c r="CB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Q642" s="34"/>
      <c r="CR642" s="34"/>
      <c r="CS642" s="34"/>
      <c r="CT642" s="34"/>
      <c r="CU642" s="34"/>
      <c r="CV642" s="34"/>
      <c r="CW642" s="34"/>
      <c r="CX642" s="34"/>
      <c r="CY642" s="34"/>
      <c r="CZ642" s="34"/>
      <c r="DC642" s="34"/>
      <c r="DD642" s="34"/>
      <c r="DE642" s="34"/>
      <c r="DF642" s="34"/>
      <c r="DG642" s="34"/>
      <c r="DH642" s="34"/>
      <c r="DI642" s="34"/>
      <c r="DJ642" s="34"/>
      <c r="DK642" s="34"/>
      <c r="DL642" s="34"/>
    </row>
    <row r="643" ht="15.75" customHeight="1">
      <c r="B643" s="34"/>
      <c r="E643" s="34"/>
      <c r="F643" s="34"/>
      <c r="G643" s="34"/>
      <c r="H643" s="34"/>
      <c r="I643" s="34"/>
      <c r="J643" s="34"/>
      <c r="K643" s="34"/>
      <c r="L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AA643" s="34"/>
      <c r="AB643" s="34"/>
      <c r="AC643" s="34"/>
      <c r="AD643" s="34"/>
      <c r="AE643" s="34"/>
      <c r="AF643" s="34"/>
      <c r="AG643" s="34"/>
      <c r="AH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I643" s="34"/>
      <c r="BJ643" s="34"/>
      <c r="BK643" s="34"/>
      <c r="BL643" s="34"/>
      <c r="BM643" s="34"/>
      <c r="BN643" s="34"/>
      <c r="BO643" s="34"/>
      <c r="BP643" s="34"/>
      <c r="BY643" s="34"/>
      <c r="BZ643" s="34"/>
      <c r="CA643" s="34"/>
      <c r="CB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</row>
    <row r="644" ht="15.75" customHeight="1">
      <c r="B644" s="34"/>
      <c r="E644" s="34"/>
      <c r="F644" s="34"/>
      <c r="G644" s="34"/>
      <c r="H644" s="34"/>
      <c r="I644" s="34"/>
      <c r="J644" s="34"/>
      <c r="K644" s="34"/>
      <c r="L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AA644" s="34"/>
      <c r="AB644" s="34"/>
      <c r="AC644" s="34"/>
      <c r="AD644" s="34"/>
      <c r="AE644" s="34"/>
      <c r="AF644" s="34"/>
      <c r="AG644" s="34"/>
      <c r="AH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I644" s="34"/>
      <c r="BJ644" s="34"/>
      <c r="BK644" s="34"/>
      <c r="BL644" s="34"/>
      <c r="BM644" s="34"/>
      <c r="BN644" s="34"/>
      <c r="BO644" s="34"/>
      <c r="BP644" s="34"/>
      <c r="BY644" s="34"/>
      <c r="BZ644" s="34"/>
      <c r="CA644" s="34"/>
      <c r="CB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</row>
    <row r="645" ht="15.75" customHeight="1">
      <c r="B645" s="34"/>
      <c r="E645" s="34"/>
      <c r="F645" s="34"/>
      <c r="G645" s="34"/>
      <c r="H645" s="34"/>
      <c r="I645" s="34"/>
      <c r="J645" s="34"/>
      <c r="K645" s="34"/>
      <c r="L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AA645" s="34"/>
      <c r="AB645" s="34"/>
      <c r="AC645" s="34"/>
      <c r="AD645" s="34"/>
      <c r="AE645" s="34"/>
      <c r="AF645" s="34"/>
      <c r="AG645" s="34"/>
      <c r="AH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I645" s="34"/>
      <c r="BJ645" s="34"/>
      <c r="BK645" s="34"/>
      <c r="BL645" s="34"/>
      <c r="BM645" s="34"/>
      <c r="BN645" s="34"/>
      <c r="BO645" s="34"/>
      <c r="BP645" s="34"/>
      <c r="BY645" s="34"/>
      <c r="BZ645" s="34"/>
      <c r="CA645" s="34"/>
      <c r="CB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</row>
    <row r="646" ht="15.75" customHeight="1">
      <c r="B646" s="34"/>
      <c r="E646" s="34"/>
      <c r="F646" s="34"/>
      <c r="G646" s="34"/>
      <c r="H646" s="34"/>
      <c r="I646" s="34"/>
      <c r="J646" s="34"/>
      <c r="K646" s="34"/>
      <c r="L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AA646" s="34"/>
      <c r="AB646" s="34"/>
      <c r="AC646" s="34"/>
      <c r="AD646" s="34"/>
      <c r="AE646" s="34"/>
      <c r="AF646" s="34"/>
      <c r="AG646" s="34"/>
      <c r="AH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I646" s="34"/>
      <c r="BJ646" s="34"/>
      <c r="BK646" s="34"/>
      <c r="BL646" s="34"/>
      <c r="BM646" s="34"/>
      <c r="BN646" s="34"/>
      <c r="BO646" s="34"/>
      <c r="BP646" s="34"/>
      <c r="BY646" s="34"/>
      <c r="BZ646" s="34"/>
      <c r="CA646" s="34"/>
      <c r="CB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</row>
    <row r="647" ht="15.75" customHeight="1">
      <c r="B647" s="34"/>
      <c r="E647" s="34"/>
      <c r="F647" s="34"/>
      <c r="G647" s="34"/>
      <c r="H647" s="34"/>
      <c r="I647" s="34"/>
      <c r="J647" s="34"/>
      <c r="K647" s="34"/>
      <c r="L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AA647" s="34"/>
      <c r="AB647" s="34"/>
      <c r="AC647" s="34"/>
      <c r="AD647" s="34"/>
      <c r="AE647" s="34"/>
      <c r="AF647" s="34"/>
      <c r="AG647" s="34"/>
      <c r="AH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I647" s="34"/>
      <c r="BJ647" s="34"/>
      <c r="BK647" s="34"/>
      <c r="BL647" s="34"/>
      <c r="BM647" s="34"/>
      <c r="BN647" s="34"/>
      <c r="BO647" s="34"/>
      <c r="BP647" s="34"/>
      <c r="BY647" s="34"/>
      <c r="BZ647" s="34"/>
      <c r="CA647" s="34"/>
      <c r="CB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</row>
    <row r="648" ht="15.75" customHeight="1">
      <c r="B648" s="34"/>
      <c r="E648" s="34"/>
      <c r="F648" s="34"/>
      <c r="G648" s="34"/>
      <c r="H648" s="34"/>
      <c r="I648" s="34"/>
      <c r="J648" s="34"/>
      <c r="K648" s="34"/>
      <c r="L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AA648" s="34"/>
      <c r="AB648" s="34"/>
      <c r="AC648" s="34"/>
      <c r="AD648" s="34"/>
      <c r="AE648" s="34"/>
      <c r="AF648" s="34"/>
      <c r="AG648" s="34"/>
      <c r="AH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I648" s="34"/>
      <c r="BJ648" s="34"/>
      <c r="BK648" s="34"/>
      <c r="BL648" s="34"/>
      <c r="BM648" s="34"/>
      <c r="BN648" s="34"/>
      <c r="BO648" s="34"/>
      <c r="BP648" s="34"/>
      <c r="BY648" s="34"/>
      <c r="BZ648" s="34"/>
      <c r="CA648" s="34"/>
      <c r="CB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</row>
    <row r="649" ht="15.75" customHeight="1">
      <c r="B649" s="34"/>
      <c r="E649" s="34"/>
      <c r="F649" s="34"/>
      <c r="G649" s="34"/>
      <c r="H649" s="34"/>
      <c r="I649" s="34"/>
      <c r="J649" s="34"/>
      <c r="K649" s="34"/>
      <c r="L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AA649" s="34"/>
      <c r="AB649" s="34"/>
      <c r="AC649" s="34"/>
      <c r="AD649" s="34"/>
      <c r="AE649" s="34"/>
      <c r="AF649" s="34"/>
      <c r="AG649" s="34"/>
      <c r="AH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I649" s="34"/>
      <c r="BJ649" s="34"/>
      <c r="BK649" s="34"/>
      <c r="BL649" s="34"/>
      <c r="BM649" s="34"/>
      <c r="BN649" s="34"/>
      <c r="BO649" s="34"/>
      <c r="BP649" s="34"/>
      <c r="BY649" s="34"/>
      <c r="BZ649" s="34"/>
      <c r="CA649" s="34"/>
      <c r="CB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</row>
    <row r="650" ht="15.75" customHeight="1">
      <c r="B650" s="34"/>
      <c r="E650" s="34"/>
      <c r="F650" s="34"/>
      <c r="G650" s="34"/>
      <c r="H650" s="34"/>
      <c r="I650" s="34"/>
      <c r="J650" s="34"/>
      <c r="K650" s="34"/>
      <c r="L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AA650" s="34"/>
      <c r="AB650" s="34"/>
      <c r="AC650" s="34"/>
      <c r="AD650" s="34"/>
      <c r="AE650" s="34"/>
      <c r="AF650" s="34"/>
      <c r="AG650" s="34"/>
      <c r="AH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I650" s="34"/>
      <c r="BJ650" s="34"/>
      <c r="BK650" s="34"/>
      <c r="BL650" s="34"/>
      <c r="BM650" s="34"/>
      <c r="BN650" s="34"/>
      <c r="BO650" s="34"/>
      <c r="BP650" s="34"/>
      <c r="BY650" s="34"/>
      <c r="BZ650" s="34"/>
      <c r="CA650" s="34"/>
      <c r="CB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</row>
    <row r="651" ht="15.75" customHeight="1">
      <c r="B651" s="34"/>
      <c r="E651" s="34"/>
      <c r="F651" s="34"/>
      <c r="G651" s="34"/>
      <c r="H651" s="34"/>
      <c r="I651" s="34"/>
      <c r="J651" s="34"/>
      <c r="K651" s="34"/>
      <c r="L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AA651" s="34"/>
      <c r="AB651" s="34"/>
      <c r="AC651" s="34"/>
      <c r="AD651" s="34"/>
      <c r="AE651" s="34"/>
      <c r="AF651" s="34"/>
      <c r="AG651" s="34"/>
      <c r="AH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I651" s="34"/>
      <c r="BJ651" s="34"/>
      <c r="BK651" s="34"/>
      <c r="BL651" s="34"/>
      <c r="BM651" s="34"/>
      <c r="BN651" s="34"/>
      <c r="BO651" s="34"/>
      <c r="BP651" s="34"/>
      <c r="BY651" s="34"/>
      <c r="BZ651" s="34"/>
      <c r="CA651" s="34"/>
      <c r="CB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</row>
    <row r="652" ht="15.75" customHeight="1">
      <c r="B652" s="34"/>
      <c r="E652" s="34"/>
      <c r="F652" s="34"/>
      <c r="G652" s="34"/>
      <c r="H652" s="34"/>
      <c r="I652" s="34"/>
      <c r="J652" s="34"/>
      <c r="K652" s="34"/>
      <c r="L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AA652" s="34"/>
      <c r="AB652" s="34"/>
      <c r="AC652" s="34"/>
      <c r="AD652" s="34"/>
      <c r="AE652" s="34"/>
      <c r="AF652" s="34"/>
      <c r="AG652" s="34"/>
      <c r="AH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I652" s="34"/>
      <c r="BJ652" s="34"/>
      <c r="BK652" s="34"/>
      <c r="BL652" s="34"/>
      <c r="BM652" s="34"/>
      <c r="BN652" s="34"/>
      <c r="BO652" s="34"/>
      <c r="BP652" s="34"/>
      <c r="BY652" s="34"/>
      <c r="BZ652" s="34"/>
      <c r="CA652" s="34"/>
      <c r="CB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</row>
    <row r="653" ht="15.75" customHeight="1">
      <c r="B653" s="34"/>
      <c r="E653" s="34"/>
      <c r="F653" s="34"/>
      <c r="G653" s="34"/>
      <c r="H653" s="34"/>
      <c r="I653" s="34"/>
      <c r="J653" s="34"/>
      <c r="K653" s="34"/>
      <c r="L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AA653" s="34"/>
      <c r="AB653" s="34"/>
      <c r="AC653" s="34"/>
      <c r="AD653" s="34"/>
      <c r="AE653" s="34"/>
      <c r="AF653" s="34"/>
      <c r="AG653" s="34"/>
      <c r="AH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I653" s="34"/>
      <c r="BJ653" s="34"/>
      <c r="BK653" s="34"/>
      <c r="BL653" s="34"/>
      <c r="BM653" s="34"/>
      <c r="BN653" s="34"/>
      <c r="BO653" s="34"/>
      <c r="BP653" s="34"/>
      <c r="BY653" s="34"/>
      <c r="BZ653" s="34"/>
      <c r="CA653" s="34"/>
      <c r="CB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</row>
    <row r="654" ht="15.75" customHeight="1">
      <c r="B654" s="34"/>
      <c r="E654" s="34"/>
      <c r="F654" s="34"/>
      <c r="G654" s="34"/>
      <c r="H654" s="34"/>
      <c r="I654" s="34"/>
      <c r="J654" s="34"/>
      <c r="K654" s="34"/>
      <c r="L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AA654" s="34"/>
      <c r="AB654" s="34"/>
      <c r="AC654" s="34"/>
      <c r="AD654" s="34"/>
      <c r="AE654" s="34"/>
      <c r="AF654" s="34"/>
      <c r="AG654" s="34"/>
      <c r="AH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I654" s="34"/>
      <c r="BJ654" s="34"/>
      <c r="BK654" s="34"/>
      <c r="BL654" s="34"/>
      <c r="BM654" s="34"/>
      <c r="BN654" s="34"/>
      <c r="BO654" s="34"/>
      <c r="BP654" s="34"/>
      <c r="BY654" s="34"/>
      <c r="BZ654" s="34"/>
      <c r="CA654" s="34"/>
      <c r="CB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</row>
    <row r="655" ht="15.75" customHeight="1">
      <c r="B655" s="34"/>
      <c r="E655" s="34"/>
      <c r="F655" s="34"/>
      <c r="G655" s="34"/>
      <c r="H655" s="34"/>
      <c r="I655" s="34"/>
      <c r="J655" s="34"/>
      <c r="K655" s="34"/>
      <c r="L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AA655" s="34"/>
      <c r="AB655" s="34"/>
      <c r="AC655" s="34"/>
      <c r="AD655" s="34"/>
      <c r="AE655" s="34"/>
      <c r="AF655" s="34"/>
      <c r="AG655" s="34"/>
      <c r="AH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I655" s="34"/>
      <c r="BJ655" s="34"/>
      <c r="BK655" s="34"/>
      <c r="BL655" s="34"/>
      <c r="BM655" s="34"/>
      <c r="BN655" s="34"/>
      <c r="BO655" s="34"/>
      <c r="BP655" s="34"/>
      <c r="BY655" s="34"/>
      <c r="BZ655" s="34"/>
      <c r="CA655" s="34"/>
      <c r="CB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</row>
    <row r="656" ht="15.75" customHeight="1">
      <c r="B656" s="34"/>
      <c r="E656" s="34"/>
      <c r="F656" s="34"/>
      <c r="G656" s="34"/>
      <c r="H656" s="34"/>
      <c r="I656" s="34"/>
      <c r="J656" s="34"/>
      <c r="K656" s="34"/>
      <c r="L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AA656" s="34"/>
      <c r="AB656" s="34"/>
      <c r="AC656" s="34"/>
      <c r="AD656" s="34"/>
      <c r="AE656" s="34"/>
      <c r="AF656" s="34"/>
      <c r="AG656" s="34"/>
      <c r="AH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I656" s="34"/>
      <c r="BJ656" s="34"/>
      <c r="BK656" s="34"/>
      <c r="BL656" s="34"/>
      <c r="BM656" s="34"/>
      <c r="BN656" s="34"/>
      <c r="BO656" s="34"/>
      <c r="BP656" s="34"/>
      <c r="BY656" s="34"/>
      <c r="BZ656" s="34"/>
      <c r="CA656" s="34"/>
      <c r="CB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</row>
    <row r="657" ht="15.75" customHeight="1">
      <c r="B657" s="34"/>
      <c r="E657" s="34"/>
      <c r="F657" s="34"/>
      <c r="G657" s="34"/>
      <c r="H657" s="34"/>
      <c r="I657" s="34"/>
      <c r="J657" s="34"/>
      <c r="K657" s="34"/>
      <c r="L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AA657" s="34"/>
      <c r="AB657" s="34"/>
      <c r="AC657" s="34"/>
      <c r="AD657" s="34"/>
      <c r="AE657" s="34"/>
      <c r="AF657" s="34"/>
      <c r="AG657" s="34"/>
      <c r="AH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I657" s="34"/>
      <c r="BJ657" s="34"/>
      <c r="BK657" s="34"/>
      <c r="BL657" s="34"/>
      <c r="BM657" s="34"/>
      <c r="BN657" s="34"/>
      <c r="BO657" s="34"/>
      <c r="BP657" s="34"/>
      <c r="BY657" s="34"/>
      <c r="BZ657" s="34"/>
      <c r="CA657" s="34"/>
      <c r="CB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</row>
    <row r="658" ht="15.75" customHeight="1">
      <c r="B658" s="34"/>
      <c r="E658" s="34"/>
      <c r="F658" s="34"/>
      <c r="G658" s="34"/>
      <c r="H658" s="34"/>
      <c r="I658" s="34"/>
      <c r="J658" s="34"/>
      <c r="K658" s="34"/>
      <c r="L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AA658" s="34"/>
      <c r="AB658" s="34"/>
      <c r="AC658" s="34"/>
      <c r="AD658" s="34"/>
      <c r="AE658" s="34"/>
      <c r="AF658" s="34"/>
      <c r="AG658" s="34"/>
      <c r="AH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I658" s="34"/>
      <c r="BJ658" s="34"/>
      <c r="BK658" s="34"/>
      <c r="BL658" s="34"/>
      <c r="BM658" s="34"/>
      <c r="BN658" s="34"/>
      <c r="BO658" s="34"/>
      <c r="BP658" s="34"/>
      <c r="BY658" s="34"/>
      <c r="BZ658" s="34"/>
      <c r="CA658" s="34"/>
      <c r="CB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</row>
    <row r="659" ht="15.75" customHeight="1">
      <c r="B659" s="34"/>
      <c r="E659" s="34"/>
      <c r="F659" s="34"/>
      <c r="G659" s="34"/>
      <c r="H659" s="34"/>
      <c r="I659" s="34"/>
      <c r="J659" s="34"/>
      <c r="K659" s="34"/>
      <c r="L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AA659" s="34"/>
      <c r="AB659" s="34"/>
      <c r="AC659" s="34"/>
      <c r="AD659" s="34"/>
      <c r="AE659" s="34"/>
      <c r="AF659" s="34"/>
      <c r="AG659" s="34"/>
      <c r="AH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I659" s="34"/>
      <c r="BJ659" s="34"/>
      <c r="BK659" s="34"/>
      <c r="BL659" s="34"/>
      <c r="BM659" s="34"/>
      <c r="BN659" s="34"/>
      <c r="BO659" s="34"/>
      <c r="BP659" s="34"/>
      <c r="BY659" s="34"/>
      <c r="BZ659" s="34"/>
      <c r="CA659" s="34"/>
      <c r="CB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</row>
    <row r="660" ht="15.75" customHeight="1">
      <c r="B660" s="34"/>
      <c r="E660" s="34"/>
      <c r="F660" s="34"/>
      <c r="G660" s="34"/>
      <c r="H660" s="34"/>
      <c r="I660" s="34"/>
      <c r="J660" s="34"/>
      <c r="K660" s="34"/>
      <c r="L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AA660" s="34"/>
      <c r="AB660" s="34"/>
      <c r="AC660" s="34"/>
      <c r="AD660" s="34"/>
      <c r="AE660" s="34"/>
      <c r="AF660" s="34"/>
      <c r="AG660" s="34"/>
      <c r="AH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I660" s="34"/>
      <c r="BJ660" s="34"/>
      <c r="BK660" s="34"/>
      <c r="BL660" s="34"/>
      <c r="BM660" s="34"/>
      <c r="BN660" s="34"/>
      <c r="BO660" s="34"/>
      <c r="BP660" s="34"/>
      <c r="BY660" s="34"/>
      <c r="BZ660" s="34"/>
      <c r="CA660" s="34"/>
      <c r="CB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</row>
    <row r="661" ht="15.75" customHeight="1">
      <c r="B661" s="34"/>
      <c r="E661" s="34"/>
      <c r="F661" s="34"/>
      <c r="G661" s="34"/>
      <c r="H661" s="34"/>
      <c r="I661" s="34"/>
      <c r="J661" s="34"/>
      <c r="K661" s="34"/>
      <c r="L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AA661" s="34"/>
      <c r="AB661" s="34"/>
      <c r="AC661" s="34"/>
      <c r="AD661" s="34"/>
      <c r="AE661" s="34"/>
      <c r="AF661" s="34"/>
      <c r="AG661" s="34"/>
      <c r="AH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I661" s="34"/>
      <c r="BJ661" s="34"/>
      <c r="BK661" s="34"/>
      <c r="BL661" s="34"/>
      <c r="BM661" s="34"/>
      <c r="BN661" s="34"/>
      <c r="BO661" s="34"/>
      <c r="BP661" s="34"/>
      <c r="BY661" s="34"/>
      <c r="BZ661" s="34"/>
      <c r="CA661" s="34"/>
      <c r="CB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</row>
    <row r="662" ht="15.75" customHeight="1">
      <c r="B662" s="34"/>
      <c r="E662" s="34"/>
      <c r="F662" s="34"/>
      <c r="G662" s="34"/>
      <c r="H662" s="34"/>
      <c r="I662" s="34"/>
      <c r="J662" s="34"/>
      <c r="K662" s="34"/>
      <c r="L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AA662" s="34"/>
      <c r="AB662" s="34"/>
      <c r="AC662" s="34"/>
      <c r="AD662" s="34"/>
      <c r="AE662" s="34"/>
      <c r="AF662" s="34"/>
      <c r="AG662" s="34"/>
      <c r="AH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I662" s="34"/>
      <c r="BJ662" s="34"/>
      <c r="BK662" s="34"/>
      <c r="BL662" s="34"/>
      <c r="BM662" s="34"/>
      <c r="BN662" s="34"/>
      <c r="BO662" s="34"/>
      <c r="BP662" s="34"/>
      <c r="BY662" s="34"/>
      <c r="BZ662" s="34"/>
      <c r="CA662" s="34"/>
      <c r="CB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</row>
    <row r="663" ht="15.75" customHeight="1">
      <c r="B663" s="34"/>
      <c r="E663" s="34"/>
      <c r="F663" s="34"/>
      <c r="G663" s="34"/>
      <c r="H663" s="34"/>
      <c r="I663" s="34"/>
      <c r="J663" s="34"/>
      <c r="K663" s="34"/>
      <c r="L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AA663" s="34"/>
      <c r="AB663" s="34"/>
      <c r="AC663" s="34"/>
      <c r="AD663" s="34"/>
      <c r="AE663" s="34"/>
      <c r="AF663" s="34"/>
      <c r="AG663" s="34"/>
      <c r="AH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I663" s="34"/>
      <c r="BJ663" s="34"/>
      <c r="BK663" s="34"/>
      <c r="BL663" s="34"/>
      <c r="BM663" s="34"/>
      <c r="BN663" s="34"/>
      <c r="BO663" s="34"/>
      <c r="BP663" s="34"/>
      <c r="BY663" s="34"/>
      <c r="BZ663" s="34"/>
      <c r="CA663" s="34"/>
      <c r="CB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</row>
    <row r="664" ht="15.75" customHeight="1">
      <c r="B664" s="34"/>
      <c r="E664" s="34"/>
      <c r="F664" s="34"/>
      <c r="G664" s="34"/>
      <c r="H664" s="34"/>
      <c r="I664" s="34"/>
      <c r="J664" s="34"/>
      <c r="K664" s="34"/>
      <c r="L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AA664" s="34"/>
      <c r="AB664" s="34"/>
      <c r="AC664" s="34"/>
      <c r="AD664" s="34"/>
      <c r="AE664" s="34"/>
      <c r="AF664" s="34"/>
      <c r="AG664" s="34"/>
      <c r="AH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I664" s="34"/>
      <c r="BJ664" s="34"/>
      <c r="BK664" s="34"/>
      <c r="BL664" s="34"/>
      <c r="BM664" s="34"/>
      <c r="BN664" s="34"/>
      <c r="BO664" s="34"/>
      <c r="BP664" s="34"/>
      <c r="BY664" s="34"/>
      <c r="BZ664" s="34"/>
      <c r="CA664" s="34"/>
      <c r="CB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</row>
    <row r="665" ht="15.75" customHeight="1">
      <c r="B665" s="34"/>
      <c r="E665" s="34"/>
      <c r="F665" s="34"/>
      <c r="G665" s="34"/>
      <c r="H665" s="34"/>
      <c r="I665" s="34"/>
      <c r="J665" s="34"/>
      <c r="K665" s="34"/>
      <c r="L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AA665" s="34"/>
      <c r="AB665" s="34"/>
      <c r="AC665" s="34"/>
      <c r="AD665" s="34"/>
      <c r="AE665" s="34"/>
      <c r="AF665" s="34"/>
      <c r="AG665" s="34"/>
      <c r="AH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I665" s="34"/>
      <c r="BJ665" s="34"/>
      <c r="BK665" s="34"/>
      <c r="BL665" s="34"/>
      <c r="BM665" s="34"/>
      <c r="BN665" s="34"/>
      <c r="BO665" s="34"/>
      <c r="BP665" s="34"/>
      <c r="BY665" s="34"/>
      <c r="BZ665" s="34"/>
      <c r="CA665" s="34"/>
      <c r="CB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</row>
    <row r="666" ht="15.75" customHeight="1">
      <c r="B666" s="34"/>
      <c r="E666" s="34"/>
      <c r="F666" s="34"/>
      <c r="G666" s="34"/>
      <c r="H666" s="34"/>
      <c r="I666" s="34"/>
      <c r="J666" s="34"/>
      <c r="K666" s="34"/>
      <c r="L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AA666" s="34"/>
      <c r="AB666" s="34"/>
      <c r="AC666" s="34"/>
      <c r="AD666" s="34"/>
      <c r="AE666" s="34"/>
      <c r="AF666" s="34"/>
      <c r="AG666" s="34"/>
      <c r="AH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I666" s="34"/>
      <c r="BJ666" s="34"/>
      <c r="BK666" s="34"/>
      <c r="BL666" s="34"/>
      <c r="BM666" s="34"/>
      <c r="BN666" s="34"/>
      <c r="BO666" s="34"/>
      <c r="BP666" s="34"/>
      <c r="BY666" s="34"/>
      <c r="BZ666" s="34"/>
      <c r="CA666" s="34"/>
      <c r="CB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</row>
    <row r="667" ht="15.75" customHeight="1">
      <c r="B667" s="34"/>
      <c r="E667" s="34"/>
      <c r="F667" s="34"/>
      <c r="G667" s="34"/>
      <c r="H667" s="34"/>
      <c r="I667" s="34"/>
      <c r="J667" s="34"/>
      <c r="K667" s="34"/>
      <c r="L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AA667" s="34"/>
      <c r="AB667" s="34"/>
      <c r="AC667" s="34"/>
      <c r="AD667" s="34"/>
      <c r="AE667" s="34"/>
      <c r="AF667" s="34"/>
      <c r="AG667" s="34"/>
      <c r="AH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I667" s="34"/>
      <c r="BJ667" s="34"/>
      <c r="BK667" s="34"/>
      <c r="BL667" s="34"/>
      <c r="BM667" s="34"/>
      <c r="BN667" s="34"/>
      <c r="BO667" s="34"/>
      <c r="BP667" s="34"/>
      <c r="BY667" s="34"/>
      <c r="BZ667" s="34"/>
      <c r="CA667" s="34"/>
      <c r="CB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</row>
    <row r="668" ht="15.75" customHeight="1">
      <c r="B668" s="34"/>
      <c r="E668" s="34"/>
      <c r="F668" s="34"/>
      <c r="G668" s="34"/>
      <c r="H668" s="34"/>
      <c r="I668" s="34"/>
      <c r="J668" s="34"/>
      <c r="K668" s="34"/>
      <c r="L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AA668" s="34"/>
      <c r="AB668" s="34"/>
      <c r="AC668" s="34"/>
      <c r="AD668" s="34"/>
      <c r="AE668" s="34"/>
      <c r="AF668" s="34"/>
      <c r="AG668" s="34"/>
      <c r="AH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I668" s="34"/>
      <c r="BJ668" s="34"/>
      <c r="BK668" s="34"/>
      <c r="BL668" s="34"/>
      <c r="BM668" s="34"/>
      <c r="BN668" s="34"/>
      <c r="BO668" s="34"/>
      <c r="BP668" s="34"/>
      <c r="BY668" s="34"/>
      <c r="BZ668" s="34"/>
      <c r="CA668" s="34"/>
      <c r="CB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</row>
    <row r="669" ht="15.75" customHeight="1">
      <c r="B669" s="34"/>
      <c r="E669" s="34"/>
      <c r="F669" s="34"/>
      <c r="G669" s="34"/>
      <c r="H669" s="34"/>
      <c r="I669" s="34"/>
      <c r="J669" s="34"/>
      <c r="K669" s="34"/>
      <c r="L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AA669" s="34"/>
      <c r="AB669" s="34"/>
      <c r="AC669" s="34"/>
      <c r="AD669" s="34"/>
      <c r="AE669" s="34"/>
      <c r="AF669" s="34"/>
      <c r="AG669" s="34"/>
      <c r="AH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I669" s="34"/>
      <c r="BJ669" s="34"/>
      <c r="BK669" s="34"/>
      <c r="BL669" s="34"/>
      <c r="BM669" s="34"/>
      <c r="BN669" s="34"/>
      <c r="BO669" s="34"/>
      <c r="BP669" s="34"/>
      <c r="BY669" s="34"/>
      <c r="BZ669" s="34"/>
      <c r="CA669" s="34"/>
      <c r="CB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</row>
    <row r="670" ht="15.75" customHeight="1">
      <c r="B670" s="34"/>
      <c r="E670" s="34"/>
      <c r="F670" s="34"/>
      <c r="G670" s="34"/>
      <c r="H670" s="34"/>
      <c r="I670" s="34"/>
      <c r="J670" s="34"/>
      <c r="K670" s="34"/>
      <c r="L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AA670" s="34"/>
      <c r="AB670" s="34"/>
      <c r="AC670" s="34"/>
      <c r="AD670" s="34"/>
      <c r="AE670" s="34"/>
      <c r="AF670" s="34"/>
      <c r="AG670" s="34"/>
      <c r="AH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I670" s="34"/>
      <c r="BJ670" s="34"/>
      <c r="BK670" s="34"/>
      <c r="BL670" s="34"/>
      <c r="BM670" s="34"/>
      <c r="BN670" s="34"/>
      <c r="BO670" s="34"/>
      <c r="BP670" s="34"/>
      <c r="BY670" s="34"/>
      <c r="BZ670" s="34"/>
      <c r="CA670" s="34"/>
      <c r="CB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</row>
    <row r="671" ht="15.75" customHeight="1">
      <c r="B671" s="34"/>
      <c r="E671" s="34"/>
      <c r="F671" s="34"/>
      <c r="G671" s="34"/>
      <c r="H671" s="34"/>
      <c r="I671" s="34"/>
      <c r="J671" s="34"/>
      <c r="K671" s="34"/>
      <c r="L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AA671" s="34"/>
      <c r="AB671" s="34"/>
      <c r="AC671" s="34"/>
      <c r="AD671" s="34"/>
      <c r="AE671" s="34"/>
      <c r="AF671" s="34"/>
      <c r="AG671" s="34"/>
      <c r="AH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I671" s="34"/>
      <c r="BJ671" s="34"/>
      <c r="BK671" s="34"/>
      <c r="BL671" s="34"/>
      <c r="BM671" s="34"/>
      <c r="BN671" s="34"/>
      <c r="BO671" s="34"/>
      <c r="BP671" s="34"/>
      <c r="BY671" s="34"/>
      <c r="BZ671" s="34"/>
      <c r="CA671" s="34"/>
      <c r="CB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</row>
    <row r="672" ht="15.75" customHeight="1">
      <c r="B672" s="34"/>
      <c r="E672" s="34"/>
      <c r="F672" s="34"/>
      <c r="G672" s="34"/>
      <c r="H672" s="34"/>
      <c r="I672" s="34"/>
      <c r="J672" s="34"/>
      <c r="K672" s="34"/>
      <c r="L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AA672" s="34"/>
      <c r="AB672" s="34"/>
      <c r="AC672" s="34"/>
      <c r="AD672" s="34"/>
      <c r="AE672" s="34"/>
      <c r="AF672" s="34"/>
      <c r="AG672" s="34"/>
      <c r="AH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I672" s="34"/>
      <c r="BJ672" s="34"/>
      <c r="BK672" s="34"/>
      <c r="BL672" s="34"/>
      <c r="BM672" s="34"/>
      <c r="BN672" s="34"/>
      <c r="BO672" s="34"/>
      <c r="BP672" s="34"/>
      <c r="BY672" s="34"/>
      <c r="BZ672" s="34"/>
      <c r="CA672" s="34"/>
      <c r="CB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</row>
    <row r="673" ht="15.75" customHeight="1">
      <c r="B673" s="34"/>
      <c r="E673" s="34"/>
      <c r="F673" s="34"/>
      <c r="G673" s="34"/>
      <c r="H673" s="34"/>
      <c r="I673" s="34"/>
      <c r="J673" s="34"/>
      <c r="K673" s="34"/>
      <c r="L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AA673" s="34"/>
      <c r="AB673" s="34"/>
      <c r="AC673" s="34"/>
      <c r="AD673" s="34"/>
      <c r="AE673" s="34"/>
      <c r="AF673" s="34"/>
      <c r="AG673" s="34"/>
      <c r="AH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I673" s="34"/>
      <c r="BJ673" s="34"/>
      <c r="BK673" s="34"/>
      <c r="BL673" s="34"/>
      <c r="BM673" s="34"/>
      <c r="BN673" s="34"/>
      <c r="BO673" s="34"/>
      <c r="BP673" s="34"/>
      <c r="BY673" s="34"/>
      <c r="BZ673" s="34"/>
      <c r="CA673" s="34"/>
      <c r="CB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</row>
    <row r="674" ht="15.75" customHeight="1">
      <c r="B674" s="34"/>
      <c r="E674" s="34"/>
      <c r="F674" s="34"/>
      <c r="G674" s="34"/>
      <c r="H674" s="34"/>
      <c r="I674" s="34"/>
      <c r="J674" s="34"/>
      <c r="K674" s="34"/>
      <c r="L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AA674" s="34"/>
      <c r="AB674" s="34"/>
      <c r="AC674" s="34"/>
      <c r="AD674" s="34"/>
      <c r="AE674" s="34"/>
      <c r="AF674" s="34"/>
      <c r="AG674" s="34"/>
      <c r="AH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I674" s="34"/>
      <c r="BJ674" s="34"/>
      <c r="BK674" s="34"/>
      <c r="BL674" s="34"/>
      <c r="BM674" s="34"/>
      <c r="BN674" s="34"/>
      <c r="BO674" s="34"/>
      <c r="BP674" s="34"/>
      <c r="BY674" s="34"/>
      <c r="BZ674" s="34"/>
      <c r="CA674" s="34"/>
      <c r="CB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</row>
    <row r="675" ht="15.75" customHeight="1">
      <c r="B675" s="34"/>
      <c r="E675" s="34"/>
      <c r="F675" s="34"/>
      <c r="G675" s="34"/>
      <c r="H675" s="34"/>
      <c r="I675" s="34"/>
      <c r="J675" s="34"/>
      <c r="K675" s="34"/>
      <c r="L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AA675" s="34"/>
      <c r="AB675" s="34"/>
      <c r="AC675" s="34"/>
      <c r="AD675" s="34"/>
      <c r="AE675" s="34"/>
      <c r="AF675" s="34"/>
      <c r="AG675" s="34"/>
      <c r="AH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I675" s="34"/>
      <c r="BJ675" s="34"/>
      <c r="BK675" s="34"/>
      <c r="BL675" s="34"/>
      <c r="BM675" s="34"/>
      <c r="BN675" s="34"/>
      <c r="BO675" s="34"/>
      <c r="BP675" s="34"/>
      <c r="BY675" s="34"/>
      <c r="BZ675" s="34"/>
      <c r="CA675" s="34"/>
      <c r="CB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</row>
    <row r="676" ht="15.75" customHeight="1">
      <c r="B676" s="34"/>
      <c r="E676" s="34"/>
      <c r="F676" s="34"/>
      <c r="G676" s="34"/>
      <c r="H676" s="34"/>
      <c r="I676" s="34"/>
      <c r="J676" s="34"/>
      <c r="K676" s="34"/>
      <c r="L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AA676" s="34"/>
      <c r="AB676" s="34"/>
      <c r="AC676" s="34"/>
      <c r="AD676" s="34"/>
      <c r="AE676" s="34"/>
      <c r="AF676" s="34"/>
      <c r="AG676" s="34"/>
      <c r="AH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I676" s="34"/>
      <c r="BJ676" s="34"/>
      <c r="BK676" s="34"/>
      <c r="BL676" s="34"/>
      <c r="BM676" s="34"/>
      <c r="BN676" s="34"/>
      <c r="BO676" s="34"/>
      <c r="BP676" s="34"/>
      <c r="BY676" s="34"/>
      <c r="BZ676" s="34"/>
      <c r="CA676" s="34"/>
      <c r="CB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</row>
    <row r="677" ht="15.75" customHeight="1">
      <c r="B677" s="34"/>
      <c r="E677" s="34"/>
      <c r="F677" s="34"/>
      <c r="G677" s="34"/>
      <c r="H677" s="34"/>
      <c r="I677" s="34"/>
      <c r="J677" s="34"/>
      <c r="K677" s="34"/>
      <c r="L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AA677" s="34"/>
      <c r="AB677" s="34"/>
      <c r="AC677" s="34"/>
      <c r="AD677" s="34"/>
      <c r="AE677" s="34"/>
      <c r="AF677" s="34"/>
      <c r="AG677" s="34"/>
      <c r="AH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I677" s="34"/>
      <c r="BJ677" s="34"/>
      <c r="BK677" s="34"/>
      <c r="BL677" s="34"/>
      <c r="BM677" s="34"/>
      <c r="BN677" s="34"/>
      <c r="BO677" s="34"/>
      <c r="BP677" s="34"/>
      <c r="BY677" s="34"/>
      <c r="BZ677" s="34"/>
      <c r="CA677" s="34"/>
      <c r="CB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</row>
    <row r="678" ht="15.75" customHeight="1">
      <c r="B678" s="34"/>
      <c r="E678" s="34"/>
      <c r="F678" s="34"/>
      <c r="G678" s="34"/>
      <c r="H678" s="34"/>
      <c r="I678" s="34"/>
      <c r="J678" s="34"/>
      <c r="K678" s="34"/>
      <c r="L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AA678" s="34"/>
      <c r="AB678" s="34"/>
      <c r="AC678" s="34"/>
      <c r="AD678" s="34"/>
      <c r="AE678" s="34"/>
      <c r="AF678" s="34"/>
      <c r="AG678" s="34"/>
      <c r="AH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I678" s="34"/>
      <c r="BJ678" s="34"/>
      <c r="BK678" s="34"/>
      <c r="BL678" s="34"/>
      <c r="BM678" s="34"/>
      <c r="BN678" s="34"/>
      <c r="BO678" s="34"/>
      <c r="BP678" s="34"/>
      <c r="BY678" s="34"/>
      <c r="BZ678" s="34"/>
      <c r="CA678" s="34"/>
      <c r="CB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</row>
    <row r="679" ht="15.75" customHeight="1">
      <c r="B679" s="34"/>
      <c r="E679" s="34"/>
      <c r="F679" s="34"/>
      <c r="G679" s="34"/>
      <c r="H679" s="34"/>
      <c r="I679" s="34"/>
      <c r="J679" s="34"/>
      <c r="K679" s="34"/>
      <c r="L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AA679" s="34"/>
      <c r="AB679" s="34"/>
      <c r="AC679" s="34"/>
      <c r="AD679" s="34"/>
      <c r="AE679" s="34"/>
      <c r="AF679" s="34"/>
      <c r="AG679" s="34"/>
      <c r="AH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I679" s="34"/>
      <c r="BJ679" s="34"/>
      <c r="BK679" s="34"/>
      <c r="BL679" s="34"/>
      <c r="BM679" s="34"/>
      <c r="BN679" s="34"/>
      <c r="BO679" s="34"/>
      <c r="BP679" s="34"/>
      <c r="BY679" s="34"/>
      <c r="BZ679" s="34"/>
      <c r="CA679" s="34"/>
      <c r="CB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</row>
    <row r="680" ht="15.75" customHeight="1">
      <c r="B680" s="34"/>
      <c r="E680" s="34"/>
      <c r="F680" s="34"/>
      <c r="G680" s="34"/>
      <c r="H680" s="34"/>
      <c r="I680" s="34"/>
      <c r="J680" s="34"/>
      <c r="K680" s="34"/>
      <c r="L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AA680" s="34"/>
      <c r="AB680" s="34"/>
      <c r="AC680" s="34"/>
      <c r="AD680" s="34"/>
      <c r="AE680" s="34"/>
      <c r="AF680" s="34"/>
      <c r="AG680" s="34"/>
      <c r="AH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I680" s="34"/>
      <c r="BJ680" s="34"/>
      <c r="BK680" s="34"/>
      <c r="BL680" s="34"/>
      <c r="BM680" s="34"/>
      <c r="BN680" s="34"/>
      <c r="BO680" s="34"/>
      <c r="BP680" s="34"/>
      <c r="BY680" s="34"/>
      <c r="BZ680" s="34"/>
      <c r="CA680" s="34"/>
      <c r="CB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</row>
    <row r="681" ht="15.75" customHeight="1">
      <c r="B681" s="34"/>
      <c r="E681" s="34"/>
      <c r="F681" s="34"/>
      <c r="G681" s="34"/>
      <c r="H681" s="34"/>
      <c r="I681" s="34"/>
      <c r="J681" s="34"/>
      <c r="K681" s="34"/>
      <c r="L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AA681" s="34"/>
      <c r="AB681" s="34"/>
      <c r="AC681" s="34"/>
      <c r="AD681" s="34"/>
      <c r="AE681" s="34"/>
      <c r="AF681" s="34"/>
      <c r="AG681" s="34"/>
      <c r="AH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I681" s="34"/>
      <c r="BJ681" s="34"/>
      <c r="BK681" s="34"/>
      <c r="BL681" s="34"/>
      <c r="BM681" s="34"/>
      <c r="BN681" s="34"/>
      <c r="BO681" s="34"/>
      <c r="BP681" s="34"/>
      <c r="BY681" s="34"/>
      <c r="BZ681" s="34"/>
      <c r="CA681" s="34"/>
      <c r="CB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</row>
    <row r="682" ht="15.75" customHeight="1">
      <c r="B682" s="34"/>
      <c r="E682" s="34"/>
      <c r="F682" s="34"/>
      <c r="G682" s="34"/>
      <c r="H682" s="34"/>
      <c r="I682" s="34"/>
      <c r="J682" s="34"/>
      <c r="K682" s="34"/>
      <c r="L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AA682" s="34"/>
      <c r="AB682" s="34"/>
      <c r="AC682" s="34"/>
      <c r="AD682" s="34"/>
      <c r="AE682" s="34"/>
      <c r="AF682" s="34"/>
      <c r="AG682" s="34"/>
      <c r="AH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I682" s="34"/>
      <c r="BJ682" s="34"/>
      <c r="BK682" s="34"/>
      <c r="BL682" s="34"/>
      <c r="BM682" s="34"/>
      <c r="BN682" s="34"/>
      <c r="BO682" s="34"/>
      <c r="BP682" s="34"/>
      <c r="BY682" s="34"/>
      <c r="BZ682" s="34"/>
      <c r="CA682" s="34"/>
      <c r="CB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</row>
    <row r="683" ht="15.75" customHeight="1">
      <c r="B683" s="34"/>
      <c r="E683" s="34"/>
      <c r="F683" s="34"/>
      <c r="G683" s="34"/>
      <c r="H683" s="34"/>
      <c r="I683" s="34"/>
      <c r="J683" s="34"/>
      <c r="K683" s="34"/>
      <c r="L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AA683" s="34"/>
      <c r="AB683" s="34"/>
      <c r="AC683" s="34"/>
      <c r="AD683" s="34"/>
      <c r="AE683" s="34"/>
      <c r="AF683" s="34"/>
      <c r="AG683" s="34"/>
      <c r="AH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I683" s="34"/>
      <c r="BJ683" s="34"/>
      <c r="BK683" s="34"/>
      <c r="BL683" s="34"/>
      <c r="BM683" s="34"/>
      <c r="BN683" s="34"/>
      <c r="BO683" s="34"/>
      <c r="BP683" s="34"/>
      <c r="BY683" s="34"/>
      <c r="BZ683" s="34"/>
      <c r="CA683" s="34"/>
      <c r="CB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</row>
    <row r="684" ht="15.75" customHeight="1">
      <c r="B684" s="34"/>
      <c r="E684" s="34"/>
      <c r="F684" s="34"/>
      <c r="G684" s="34"/>
      <c r="H684" s="34"/>
      <c r="I684" s="34"/>
      <c r="J684" s="34"/>
      <c r="K684" s="34"/>
      <c r="L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AA684" s="34"/>
      <c r="AB684" s="34"/>
      <c r="AC684" s="34"/>
      <c r="AD684" s="34"/>
      <c r="AE684" s="34"/>
      <c r="AF684" s="34"/>
      <c r="AG684" s="34"/>
      <c r="AH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I684" s="34"/>
      <c r="BJ684" s="34"/>
      <c r="BK684" s="34"/>
      <c r="BL684" s="34"/>
      <c r="BM684" s="34"/>
      <c r="BN684" s="34"/>
      <c r="BO684" s="34"/>
      <c r="BP684" s="34"/>
      <c r="BY684" s="34"/>
      <c r="BZ684" s="34"/>
      <c r="CA684" s="34"/>
      <c r="CB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</row>
    <row r="685" ht="15.75" customHeight="1">
      <c r="B685" s="34"/>
      <c r="E685" s="34"/>
      <c r="F685" s="34"/>
      <c r="G685" s="34"/>
      <c r="H685" s="34"/>
      <c r="I685" s="34"/>
      <c r="J685" s="34"/>
      <c r="K685" s="34"/>
      <c r="L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AA685" s="34"/>
      <c r="AB685" s="34"/>
      <c r="AC685" s="34"/>
      <c r="AD685" s="34"/>
      <c r="AE685" s="34"/>
      <c r="AF685" s="34"/>
      <c r="AG685" s="34"/>
      <c r="AH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I685" s="34"/>
      <c r="BJ685" s="34"/>
      <c r="BK685" s="34"/>
      <c r="BL685" s="34"/>
      <c r="BM685" s="34"/>
      <c r="BN685" s="34"/>
      <c r="BO685" s="34"/>
      <c r="BP685" s="34"/>
      <c r="BY685" s="34"/>
      <c r="BZ685" s="34"/>
      <c r="CA685" s="34"/>
      <c r="CB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</row>
    <row r="686" ht="15.75" customHeight="1">
      <c r="B686" s="34"/>
      <c r="E686" s="34"/>
      <c r="F686" s="34"/>
      <c r="G686" s="34"/>
      <c r="H686" s="34"/>
      <c r="I686" s="34"/>
      <c r="J686" s="34"/>
      <c r="K686" s="34"/>
      <c r="L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AA686" s="34"/>
      <c r="AB686" s="34"/>
      <c r="AC686" s="34"/>
      <c r="AD686" s="34"/>
      <c r="AE686" s="34"/>
      <c r="AF686" s="34"/>
      <c r="AG686" s="34"/>
      <c r="AH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I686" s="34"/>
      <c r="BJ686" s="34"/>
      <c r="BK686" s="34"/>
      <c r="BL686" s="34"/>
      <c r="BM686" s="34"/>
      <c r="BN686" s="34"/>
      <c r="BO686" s="34"/>
      <c r="BP686" s="34"/>
      <c r="BY686" s="34"/>
      <c r="BZ686" s="34"/>
      <c r="CA686" s="34"/>
      <c r="CB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</row>
    <row r="687" ht="15.75" customHeight="1">
      <c r="B687" s="34"/>
      <c r="E687" s="34"/>
      <c r="F687" s="34"/>
      <c r="G687" s="34"/>
      <c r="H687" s="34"/>
      <c r="I687" s="34"/>
      <c r="J687" s="34"/>
      <c r="K687" s="34"/>
      <c r="L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AA687" s="34"/>
      <c r="AB687" s="34"/>
      <c r="AC687" s="34"/>
      <c r="AD687" s="34"/>
      <c r="AE687" s="34"/>
      <c r="AF687" s="34"/>
      <c r="AG687" s="34"/>
      <c r="AH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I687" s="34"/>
      <c r="BJ687" s="34"/>
      <c r="BK687" s="34"/>
      <c r="BL687" s="34"/>
      <c r="BM687" s="34"/>
      <c r="BN687" s="34"/>
      <c r="BO687" s="34"/>
      <c r="BP687" s="34"/>
      <c r="BY687" s="34"/>
      <c r="BZ687" s="34"/>
      <c r="CA687" s="34"/>
      <c r="CB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</row>
    <row r="688" ht="15.75" customHeight="1">
      <c r="B688" s="34"/>
      <c r="E688" s="34"/>
      <c r="F688" s="34"/>
      <c r="G688" s="34"/>
      <c r="H688" s="34"/>
      <c r="I688" s="34"/>
      <c r="J688" s="34"/>
      <c r="K688" s="34"/>
      <c r="L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AA688" s="34"/>
      <c r="AB688" s="34"/>
      <c r="AC688" s="34"/>
      <c r="AD688" s="34"/>
      <c r="AE688" s="34"/>
      <c r="AF688" s="34"/>
      <c r="AG688" s="34"/>
      <c r="AH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I688" s="34"/>
      <c r="BJ688" s="34"/>
      <c r="BK688" s="34"/>
      <c r="BL688" s="34"/>
      <c r="BM688" s="34"/>
      <c r="BN688" s="34"/>
      <c r="BO688" s="34"/>
      <c r="BP688" s="34"/>
      <c r="BY688" s="34"/>
      <c r="BZ688" s="34"/>
      <c r="CA688" s="34"/>
      <c r="CB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</row>
    <row r="689" ht="15.75" customHeight="1">
      <c r="B689" s="34"/>
      <c r="E689" s="34"/>
      <c r="F689" s="34"/>
      <c r="G689" s="34"/>
      <c r="H689" s="34"/>
      <c r="I689" s="34"/>
      <c r="J689" s="34"/>
      <c r="K689" s="34"/>
      <c r="L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AA689" s="34"/>
      <c r="AB689" s="34"/>
      <c r="AC689" s="34"/>
      <c r="AD689" s="34"/>
      <c r="AE689" s="34"/>
      <c r="AF689" s="34"/>
      <c r="AG689" s="34"/>
      <c r="AH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I689" s="34"/>
      <c r="BJ689" s="34"/>
      <c r="BK689" s="34"/>
      <c r="BL689" s="34"/>
      <c r="BM689" s="34"/>
      <c r="BN689" s="34"/>
      <c r="BO689" s="34"/>
      <c r="BP689" s="34"/>
      <c r="BY689" s="34"/>
      <c r="BZ689" s="34"/>
      <c r="CA689" s="34"/>
      <c r="CB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</row>
    <row r="690" ht="15.75" customHeight="1">
      <c r="B690" s="34"/>
      <c r="E690" s="34"/>
      <c r="F690" s="34"/>
      <c r="G690" s="34"/>
      <c r="H690" s="34"/>
      <c r="I690" s="34"/>
      <c r="J690" s="34"/>
      <c r="K690" s="34"/>
      <c r="L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AA690" s="34"/>
      <c r="AB690" s="34"/>
      <c r="AC690" s="34"/>
      <c r="AD690" s="34"/>
      <c r="AE690" s="34"/>
      <c r="AF690" s="34"/>
      <c r="AG690" s="34"/>
      <c r="AH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I690" s="34"/>
      <c r="BJ690" s="34"/>
      <c r="BK690" s="34"/>
      <c r="BL690" s="34"/>
      <c r="BM690" s="34"/>
      <c r="BN690" s="34"/>
      <c r="BO690" s="34"/>
      <c r="BP690" s="34"/>
      <c r="BY690" s="34"/>
      <c r="BZ690" s="34"/>
      <c r="CA690" s="34"/>
      <c r="CB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</row>
    <row r="691" ht="15.75" customHeight="1">
      <c r="B691" s="34"/>
      <c r="E691" s="34"/>
      <c r="F691" s="34"/>
      <c r="G691" s="34"/>
      <c r="H691" s="34"/>
      <c r="I691" s="34"/>
      <c r="J691" s="34"/>
      <c r="K691" s="34"/>
      <c r="L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AA691" s="34"/>
      <c r="AB691" s="34"/>
      <c r="AC691" s="34"/>
      <c r="AD691" s="34"/>
      <c r="AE691" s="34"/>
      <c r="AF691" s="34"/>
      <c r="AG691" s="34"/>
      <c r="AH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I691" s="34"/>
      <c r="BJ691" s="34"/>
      <c r="BK691" s="34"/>
      <c r="BL691" s="34"/>
      <c r="BM691" s="34"/>
      <c r="BN691" s="34"/>
      <c r="BO691" s="34"/>
      <c r="BP691" s="34"/>
      <c r="BY691" s="34"/>
      <c r="BZ691" s="34"/>
      <c r="CA691" s="34"/>
      <c r="CB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</row>
    <row r="692" ht="15.75" customHeight="1">
      <c r="B692" s="34"/>
      <c r="E692" s="34"/>
      <c r="F692" s="34"/>
      <c r="G692" s="34"/>
      <c r="H692" s="34"/>
      <c r="I692" s="34"/>
      <c r="J692" s="34"/>
      <c r="K692" s="34"/>
      <c r="L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AA692" s="34"/>
      <c r="AB692" s="34"/>
      <c r="AC692" s="34"/>
      <c r="AD692" s="34"/>
      <c r="AE692" s="34"/>
      <c r="AF692" s="34"/>
      <c r="AG692" s="34"/>
      <c r="AH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I692" s="34"/>
      <c r="BJ692" s="34"/>
      <c r="BK692" s="34"/>
      <c r="BL692" s="34"/>
      <c r="BM692" s="34"/>
      <c r="BN692" s="34"/>
      <c r="BO692" s="34"/>
      <c r="BP692" s="34"/>
      <c r="BY692" s="34"/>
      <c r="BZ692" s="34"/>
      <c r="CA692" s="34"/>
      <c r="CB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</row>
    <row r="693" ht="15.75" customHeight="1">
      <c r="B693" s="34"/>
      <c r="E693" s="34"/>
      <c r="F693" s="34"/>
      <c r="G693" s="34"/>
      <c r="H693" s="34"/>
      <c r="I693" s="34"/>
      <c r="J693" s="34"/>
      <c r="K693" s="34"/>
      <c r="L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AA693" s="34"/>
      <c r="AB693" s="34"/>
      <c r="AC693" s="34"/>
      <c r="AD693" s="34"/>
      <c r="AE693" s="34"/>
      <c r="AF693" s="34"/>
      <c r="AG693" s="34"/>
      <c r="AH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I693" s="34"/>
      <c r="BJ693" s="34"/>
      <c r="BK693" s="34"/>
      <c r="BL693" s="34"/>
      <c r="BM693" s="34"/>
      <c r="BN693" s="34"/>
      <c r="BO693" s="34"/>
      <c r="BP693" s="34"/>
      <c r="BY693" s="34"/>
      <c r="BZ693" s="34"/>
      <c r="CA693" s="34"/>
      <c r="CB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</row>
    <row r="694" ht="15.75" customHeight="1">
      <c r="B694" s="34"/>
      <c r="E694" s="34"/>
      <c r="F694" s="34"/>
      <c r="G694" s="34"/>
      <c r="H694" s="34"/>
      <c r="I694" s="34"/>
      <c r="J694" s="34"/>
      <c r="K694" s="34"/>
      <c r="L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AA694" s="34"/>
      <c r="AB694" s="34"/>
      <c r="AC694" s="34"/>
      <c r="AD694" s="34"/>
      <c r="AE694" s="34"/>
      <c r="AF694" s="34"/>
      <c r="AG694" s="34"/>
      <c r="AH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I694" s="34"/>
      <c r="BJ694" s="34"/>
      <c r="BK694" s="34"/>
      <c r="BL694" s="34"/>
      <c r="BM694" s="34"/>
      <c r="BN694" s="34"/>
      <c r="BO694" s="34"/>
      <c r="BP694" s="34"/>
      <c r="BY694" s="34"/>
      <c r="BZ694" s="34"/>
      <c r="CA694" s="34"/>
      <c r="CB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</row>
    <row r="695" ht="15.75" customHeight="1">
      <c r="B695" s="34"/>
      <c r="E695" s="34"/>
      <c r="F695" s="34"/>
      <c r="G695" s="34"/>
      <c r="H695" s="34"/>
      <c r="I695" s="34"/>
      <c r="J695" s="34"/>
      <c r="K695" s="34"/>
      <c r="L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AA695" s="34"/>
      <c r="AB695" s="34"/>
      <c r="AC695" s="34"/>
      <c r="AD695" s="34"/>
      <c r="AE695" s="34"/>
      <c r="AF695" s="34"/>
      <c r="AG695" s="34"/>
      <c r="AH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I695" s="34"/>
      <c r="BJ695" s="34"/>
      <c r="BK695" s="34"/>
      <c r="BL695" s="34"/>
      <c r="BM695" s="34"/>
      <c r="BN695" s="34"/>
      <c r="BO695" s="34"/>
      <c r="BP695" s="34"/>
      <c r="BY695" s="34"/>
      <c r="BZ695" s="34"/>
      <c r="CA695" s="34"/>
      <c r="CB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</row>
    <row r="696" ht="15.75" customHeight="1">
      <c r="B696" s="34"/>
      <c r="E696" s="34"/>
      <c r="F696" s="34"/>
      <c r="G696" s="34"/>
      <c r="H696" s="34"/>
      <c r="I696" s="34"/>
      <c r="J696" s="34"/>
      <c r="K696" s="34"/>
      <c r="L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AA696" s="34"/>
      <c r="AB696" s="34"/>
      <c r="AC696" s="34"/>
      <c r="AD696" s="34"/>
      <c r="AE696" s="34"/>
      <c r="AF696" s="34"/>
      <c r="AG696" s="34"/>
      <c r="AH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I696" s="34"/>
      <c r="BJ696" s="34"/>
      <c r="BK696" s="34"/>
      <c r="BL696" s="34"/>
      <c r="BM696" s="34"/>
      <c r="BN696" s="34"/>
      <c r="BO696" s="34"/>
      <c r="BP696" s="34"/>
      <c r="BY696" s="34"/>
      <c r="BZ696" s="34"/>
      <c r="CA696" s="34"/>
      <c r="CB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</row>
    <row r="697" ht="15.75" customHeight="1">
      <c r="B697" s="34"/>
      <c r="E697" s="34"/>
      <c r="F697" s="34"/>
      <c r="G697" s="34"/>
      <c r="H697" s="34"/>
      <c r="I697" s="34"/>
      <c r="J697" s="34"/>
      <c r="K697" s="34"/>
      <c r="L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AA697" s="34"/>
      <c r="AB697" s="34"/>
      <c r="AC697" s="34"/>
      <c r="AD697" s="34"/>
      <c r="AE697" s="34"/>
      <c r="AF697" s="34"/>
      <c r="AG697" s="34"/>
      <c r="AH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I697" s="34"/>
      <c r="BJ697" s="34"/>
      <c r="BK697" s="34"/>
      <c r="BL697" s="34"/>
      <c r="BM697" s="34"/>
      <c r="BN697" s="34"/>
      <c r="BO697" s="34"/>
      <c r="BP697" s="34"/>
      <c r="BY697" s="34"/>
      <c r="BZ697" s="34"/>
      <c r="CA697" s="34"/>
      <c r="CB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</row>
    <row r="698" ht="15.75" customHeight="1">
      <c r="B698" s="34"/>
      <c r="E698" s="34"/>
      <c r="F698" s="34"/>
      <c r="G698" s="34"/>
      <c r="H698" s="34"/>
      <c r="I698" s="34"/>
      <c r="J698" s="34"/>
      <c r="K698" s="34"/>
      <c r="L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AA698" s="34"/>
      <c r="AB698" s="34"/>
      <c r="AC698" s="34"/>
      <c r="AD698" s="34"/>
      <c r="AE698" s="34"/>
      <c r="AF698" s="34"/>
      <c r="AG698" s="34"/>
      <c r="AH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I698" s="34"/>
      <c r="BJ698" s="34"/>
      <c r="BK698" s="34"/>
      <c r="BL698" s="34"/>
      <c r="BM698" s="34"/>
      <c r="BN698" s="34"/>
      <c r="BO698" s="34"/>
      <c r="BP698" s="34"/>
      <c r="BY698" s="34"/>
      <c r="BZ698" s="34"/>
      <c r="CA698" s="34"/>
      <c r="CB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</row>
    <row r="699" ht="15.75" customHeight="1">
      <c r="B699" s="34"/>
      <c r="E699" s="34"/>
      <c r="F699" s="34"/>
      <c r="G699" s="34"/>
      <c r="H699" s="34"/>
      <c r="I699" s="34"/>
      <c r="J699" s="34"/>
      <c r="K699" s="34"/>
      <c r="L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AA699" s="34"/>
      <c r="AB699" s="34"/>
      <c r="AC699" s="34"/>
      <c r="AD699" s="34"/>
      <c r="AE699" s="34"/>
      <c r="AF699" s="34"/>
      <c r="AG699" s="34"/>
      <c r="AH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I699" s="34"/>
      <c r="BJ699" s="34"/>
      <c r="BK699" s="34"/>
      <c r="BL699" s="34"/>
      <c r="BM699" s="34"/>
      <c r="BN699" s="34"/>
      <c r="BO699" s="34"/>
      <c r="BP699" s="34"/>
      <c r="BY699" s="34"/>
      <c r="BZ699" s="34"/>
      <c r="CA699" s="34"/>
      <c r="CB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</row>
    <row r="700" ht="15.75" customHeight="1">
      <c r="B700" s="34"/>
      <c r="E700" s="34"/>
      <c r="F700" s="34"/>
      <c r="G700" s="34"/>
      <c r="H700" s="34"/>
      <c r="I700" s="34"/>
      <c r="J700" s="34"/>
      <c r="K700" s="34"/>
      <c r="L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AA700" s="34"/>
      <c r="AB700" s="34"/>
      <c r="AC700" s="34"/>
      <c r="AD700" s="34"/>
      <c r="AE700" s="34"/>
      <c r="AF700" s="34"/>
      <c r="AG700" s="34"/>
      <c r="AH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I700" s="34"/>
      <c r="BJ700" s="34"/>
      <c r="BK700" s="34"/>
      <c r="BL700" s="34"/>
      <c r="BM700" s="34"/>
      <c r="BN700" s="34"/>
      <c r="BO700" s="34"/>
      <c r="BP700" s="34"/>
      <c r="BY700" s="34"/>
      <c r="BZ700" s="34"/>
      <c r="CA700" s="34"/>
      <c r="CB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</row>
    <row r="701" ht="15.75" customHeight="1">
      <c r="B701" s="34"/>
      <c r="E701" s="34"/>
      <c r="F701" s="34"/>
      <c r="G701" s="34"/>
      <c r="H701" s="34"/>
      <c r="I701" s="34"/>
      <c r="J701" s="34"/>
      <c r="K701" s="34"/>
      <c r="L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AA701" s="34"/>
      <c r="AB701" s="34"/>
      <c r="AC701" s="34"/>
      <c r="AD701" s="34"/>
      <c r="AE701" s="34"/>
      <c r="AF701" s="34"/>
      <c r="AG701" s="34"/>
      <c r="AH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I701" s="34"/>
      <c r="BJ701" s="34"/>
      <c r="BK701" s="34"/>
      <c r="BL701" s="34"/>
      <c r="BM701" s="34"/>
      <c r="BN701" s="34"/>
      <c r="BO701" s="34"/>
      <c r="BP701" s="34"/>
      <c r="BY701" s="34"/>
      <c r="BZ701" s="34"/>
      <c r="CA701" s="34"/>
      <c r="CB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</row>
    <row r="702" ht="15.75" customHeight="1">
      <c r="B702" s="34"/>
      <c r="E702" s="34"/>
      <c r="F702" s="34"/>
      <c r="G702" s="34"/>
      <c r="H702" s="34"/>
      <c r="I702" s="34"/>
      <c r="J702" s="34"/>
      <c r="K702" s="34"/>
      <c r="L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AA702" s="34"/>
      <c r="AB702" s="34"/>
      <c r="AC702" s="34"/>
      <c r="AD702" s="34"/>
      <c r="AE702" s="34"/>
      <c r="AF702" s="34"/>
      <c r="AG702" s="34"/>
      <c r="AH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I702" s="34"/>
      <c r="BJ702" s="34"/>
      <c r="BK702" s="34"/>
      <c r="BL702" s="34"/>
      <c r="BM702" s="34"/>
      <c r="BN702" s="34"/>
      <c r="BO702" s="34"/>
      <c r="BP702" s="34"/>
      <c r="BY702" s="34"/>
      <c r="BZ702" s="34"/>
      <c r="CA702" s="34"/>
      <c r="CB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</row>
    <row r="703" ht="15.75" customHeight="1">
      <c r="B703" s="34"/>
      <c r="E703" s="34"/>
      <c r="F703" s="34"/>
      <c r="G703" s="34"/>
      <c r="H703" s="34"/>
      <c r="I703" s="34"/>
      <c r="J703" s="34"/>
      <c r="K703" s="34"/>
      <c r="L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AA703" s="34"/>
      <c r="AB703" s="34"/>
      <c r="AC703" s="34"/>
      <c r="AD703" s="34"/>
      <c r="AE703" s="34"/>
      <c r="AF703" s="34"/>
      <c r="AG703" s="34"/>
      <c r="AH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I703" s="34"/>
      <c r="BJ703" s="34"/>
      <c r="BK703" s="34"/>
      <c r="BL703" s="34"/>
      <c r="BM703" s="34"/>
      <c r="BN703" s="34"/>
      <c r="BO703" s="34"/>
      <c r="BP703" s="34"/>
      <c r="BY703" s="34"/>
      <c r="BZ703" s="34"/>
      <c r="CA703" s="34"/>
      <c r="CB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</row>
    <row r="704" ht="15.75" customHeight="1">
      <c r="B704" s="34"/>
      <c r="E704" s="34"/>
      <c r="F704" s="34"/>
      <c r="G704" s="34"/>
      <c r="H704" s="34"/>
      <c r="I704" s="34"/>
      <c r="J704" s="34"/>
      <c r="K704" s="34"/>
      <c r="L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AA704" s="34"/>
      <c r="AB704" s="34"/>
      <c r="AC704" s="34"/>
      <c r="AD704" s="34"/>
      <c r="AE704" s="34"/>
      <c r="AF704" s="34"/>
      <c r="AG704" s="34"/>
      <c r="AH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I704" s="34"/>
      <c r="BJ704" s="34"/>
      <c r="BK704" s="34"/>
      <c r="BL704" s="34"/>
      <c r="BM704" s="34"/>
      <c r="BN704" s="34"/>
      <c r="BO704" s="34"/>
      <c r="BP704" s="34"/>
      <c r="BY704" s="34"/>
      <c r="BZ704" s="34"/>
      <c r="CA704" s="34"/>
      <c r="CB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</row>
    <row r="705" ht="15.75" customHeight="1">
      <c r="B705" s="34"/>
      <c r="E705" s="34"/>
      <c r="F705" s="34"/>
      <c r="G705" s="34"/>
      <c r="H705" s="34"/>
      <c r="I705" s="34"/>
      <c r="J705" s="34"/>
      <c r="K705" s="34"/>
      <c r="L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AA705" s="34"/>
      <c r="AB705" s="34"/>
      <c r="AC705" s="34"/>
      <c r="AD705" s="34"/>
      <c r="AE705" s="34"/>
      <c r="AF705" s="34"/>
      <c r="AG705" s="34"/>
      <c r="AH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I705" s="34"/>
      <c r="BJ705" s="34"/>
      <c r="BK705" s="34"/>
      <c r="BL705" s="34"/>
      <c r="BM705" s="34"/>
      <c r="BN705" s="34"/>
      <c r="BO705" s="34"/>
      <c r="BP705" s="34"/>
      <c r="BY705" s="34"/>
      <c r="BZ705" s="34"/>
      <c r="CA705" s="34"/>
      <c r="CB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</row>
    <row r="706" ht="15.75" customHeight="1">
      <c r="B706" s="34"/>
      <c r="E706" s="34"/>
      <c r="F706" s="34"/>
      <c r="G706" s="34"/>
      <c r="H706" s="34"/>
      <c r="I706" s="34"/>
      <c r="J706" s="34"/>
      <c r="K706" s="34"/>
      <c r="L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AA706" s="34"/>
      <c r="AB706" s="34"/>
      <c r="AC706" s="34"/>
      <c r="AD706" s="34"/>
      <c r="AE706" s="34"/>
      <c r="AF706" s="34"/>
      <c r="AG706" s="34"/>
      <c r="AH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I706" s="34"/>
      <c r="BJ706" s="34"/>
      <c r="BK706" s="34"/>
      <c r="BL706" s="34"/>
      <c r="BM706" s="34"/>
      <c r="BN706" s="34"/>
      <c r="BO706" s="34"/>
      <c r="BP706" s="34"/>
      <c r="BY706" s="34"/>
      <c r="BZ706" s="34"/>
      <c r="CA706" s="34"/>
      <c r="CB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</row>
    <row r="707" ht="15.75" customHeight="1">
      <c r="B707" s="34"/>
      <c r="E707" s="34"/>
      <c r="F707" s="34"/>
      <c r="G707" s="34"/>
      <c r="H707" s="34"/>
      <c r="I707" s="34"/>
      <c r="J707" s="34"/>
      <c r="K707" s="34"/>
      <c r="L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AA707" s="34"/>
      <c r="AB707" s="34"/>
      <c r="AC707" s="34"/>
      <c r="AD707" s="34"/>
      <c r="AE707" s="34"/>
      <c r="AF707" s="34"/>
      <c r="AG707" s="34"/>
      <c r="AH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I707" s="34"/>
      <c r="BJ707" s="34"/>
      <c r="BK707" s="34"/>
      <c r="BL707" s="34"/>
      <c r="BM707" s="34"/>
      <c r="BN707" s="34"/>
      <c r="BO707" s="34"/>
      <c r="BP707" s="34"/>
      <c r="BY707" s="34"/>
      <c r="BZ707" s="34"/>
      <c r="CA707" s="34"/>
      <c r="CB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</row>
    <row r="708" ht="15.75" customHeight="1">
      <c r="B708" s="34"/>
      <c r="E708" s="34"/>
      <c r="F708" s="34"/>
      <c r="G708" s="34"/>
      <c r="H708" s="34"/>
      <c r="I708" s="34"/>
      <c r="J708" s="34"/>
      <c r="K708" s="34"/>
      <c r="L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AA708" s="34"/>
      <c r="AB708" s="34"/>
      <c r="AC708" s="34"/>
      <c r="AD708" s="34"/>
      <c r="AE708" s="34"/>
      <c r="AF708" s="34"/>
      <c r="AG708" s="34"/>
      <c r="AH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I708" s="34"/>
      <c r="BJ708" s="34"/>
      <c r="BK708" s="34"/>
      <c r="BL708" s="34"/>
      <c r="BM708" s="34"/>
      <c r="BN708" s="34"/>
      <c r="BO708" s="34"/>
      <c r="BP708" s="34"/>
      <c r="BY708" s="34"/>
      <c r="BZ708" s="34"/>
      <c r="CA708" s="34"/>
      <c r="CB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</row>
    <row r="709" ht="15.75" customHeight="1">
      <c r="B709" s="34"/>
      <c r="E709" s="34"/>
      <c r="F709" s="34"/>
      <c r="G709" s="34"/>
      <c r="H709" s="34"/>
      <c r="I709" s="34"/>
      <c r="J709" s="34"/>
      <c r="K709" s="34"/>
      <c r="L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AA709" s="34"/>
      <c r="AB709" s="34"/>
      <c r="AC709" s="34"/>
      <c r="AD709" s="34"/>
      <c r="AE709" s="34"/>
      <c r="AF709" s="34"/>
      <c r="AG709" s="34"/>
      <c r="AH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I709" s="34"/>
      <c r="BJ709" s="34"/>
      <c r="BK709" s="34"/>
      <c r="BL709" s="34"/>
      <c r="BM709" s="34"/>
      <c r="BN709" s="34"/>
      <c r="BO709" s="34"/>
      <c r="BP709" s="34"/>
      <c r="BY709" s="34"/>
      <c r="BZ709" s="34"/>
      <c r="CA709" s="34"/>
      <c r="CB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</row>
    <row r="710" ht="15.75" customHeight="1">
      <c r="B710" s="34"/>
      <c r="E710" s="34"/>
      <c r="F710" s="34"/>
      <c r="G710" s="34"/>
      <c r="H710" s="34"/>
      <c r="I710" s="34"/>
      <c r="J710" s="34"/>
      <c r="K710" s="34"/>
      <c r="L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AA710" s="34"/>
      <c r="AB710" s="34"/>
      <c r="AC710" s="34"/>
      <c r="AD710" s="34"/>
      <c r="AE710" s="34"/>
      <c r="AF710" s="34"/>
      <c r="AG710" s="34"/>
      <c r="AH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I710" s="34"/>
      <c r="BJ710" s="34"/>
      <c r="BK710" s="34"/>
      <c r="BL710" s="34"/>
      <c r="BM710" s="34"/>
      <c r="BN710" s="34"/>
      <c r="BO710" s="34"/>
      <c r="BP710" s="34"/>
      <c r="BY710" s="34"/>
      <c r="BZ710" s="34"/>
      <c r="CA710" s="34"/>
      <c r="CB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</row>
    <row r="711" ht="15.75" customHeight="1">
      <c r="B711" s="34"/>
      <c r="E711" s="34"/>
      <c r="F711" s="34"/>
      <c r="G711" s="34"/>
      <c r="H711" s="34"/>
      <c r="I711" s="34"/>
      <c r="J711" s="34"/>
      <c r="K711" s="34"/>
      <c r="L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AA711" s="34"/>
      <c r="AB711" s="34"/>
      <c r="AC711" s="34"/>
      <c r="AD711" s="34"/>
      <c r="AE711" s="34"/>
      <c r="AF711" s="34"/>
      <c r="AG711" s="34"/>
      <c r="AH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I711" s="34"/>
      <c r="BJ711" s="34"/>
      <c r="BK711" s="34"/>
      <c r="BL711" s="34"/>
      <c r="BM711" s="34"/>
      <c r="BN711" s="34"/>
      <c r="BO711" s="34"/>
      <c r="BP711" s="34"/>
      <c r="BY711" s="34"/>
      <c r="BZ711" s="34"/>
      <c r="CA711" s="34"/>
      <c r="CB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</row>
    <row r="712" ht="15.75" customHeight="1">
      <c r="B712" s="34"/>
      <c r="E712" s="34"/>
      <c r="F712" s="34"/>
      <c r="G712" s="34"/>
      <c r="H712" s="34"/>
      <c r="I712" s="34"/>
      <c r="J712" s="34"/>
      <c r="K712" s="34"/>
      <c r="L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AA712" s="34"/>
      <c r="AB712" s="34"/>
      <c r="AC712" s="34"/>
      <c r="AD712" s="34"/>
      <c r="AE712" s="34"/>
      <c r="AF712" s="34"/>
      <c r="AG712" s="34"/>
      <c r="AH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I712" s="34"/>
      <c r="BJ712" s="34"/>
      <c r="BK712" s="34"/>
      <c r="BL712" s="34"/>
      <c r="BM712" s="34"/>
      <c r="BN712" s="34"/>
      <c r="BO712" s="34"/>
      <c r="BP712" s="34"/>
      <c r="BY712" s="34"/>
      <c r="BZ712" s="34"/>
      <c r="CA712" s="34"/>
      <c r="CB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</row>
    <row r="713" ht="15.75" customHeight="1">
      <c r="B713" s="34"/>
      <c r="E713" s="34"/>
      <c r="F713" s="34"/>
      <c r="G713" s="34"/>
      <c r="H713" s="34"/>
      <c r="I713" s="34"/>
      <c r="J713" s="34"/>
      <c r="K713" s="34"/>
      <c r="L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AA713" s="34"/>
      <c r="AB713" s="34"/>
      <c r="AC713" s="34"/>
      <c r="AD713" s="34"/>
      <c r="AE713" s="34"/>
      <c r="AF713" s="34"/>
      <c r="AG713" s="34"/>
      <c r="AH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I713" s="34"/>
      <c r="BJ713" s="34"/>
      <c r="BK713" s="34"/>
      <c r="BL713" s="34"/>
      <c r="BM713" s="34"/>
      <c r="BN713" s="34"/>
      <c r="BO713" s="34"/>
      <c r="BP713" s="34"/>
      <c r="BY713" s="34"/>
      <c r="BZ713" s="34"/>
      <c r="CA713" s="34"/>
      <c r="CB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</row>
    <row r="714" ht="15.75" customHeight="1">
      <c r="B714" s="34"/>
      <c r="E714" s="34"/>
      <c r="F714" s="34"/>
      <c r="G714" s="34"/>
      <c r="H714" s="34"/>
      <c r="I714" s="34"/>
      <c r="J714" s="34"/>
      <c r="K714" s="34"/>
      <c r="L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AA714" s="34"/>
      <c r="AB714" s="34"/>
      <c r="AC714" s="34"/>
      <c r="AD714" s="34"/>
      <c r="AE714" s="34"/>
      <c r="AF714" s="34"/>
      <c r="AG714" s="34"/>
      <c r="AH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I714" s="34"/>
      <c r="BJ714" s="34"/>
      <c r="BK714" s="34"/>
      <c r="BL714" s="34"/>
      <c r="BM714" s="34"/>
      <c r="BN714" s="34"/>
      <c r="BO714" s="34"/>
      <c r="BP714" s="34"/>
      <c r="BY714" s="34"/>
      <c r="BZ714" s="34"/>
      <c r="CA714" s="34"/>
      <c r="CB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</row>
    <row r="715" ht="15.75" customHeight="1">
      <c r="B715" s="34"/>
      <c r="E715" s="34"/>
      <c r="F715" s="34"/>
      <c r="G715" s="34"/>
      <c r="H715" s="34"/>
      <c r="I715" s="34"/>
      <c r="J715" s="34"/>
      <c r="K715" s="34"/>
      <c r="L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AA715" s="34"/>
      <c r="AB715" s="34"/>
      <c r="AC715" s="34"/>
      <c r="AD715" s="34"/>
      <c r="AE715" s="34"/>
      <c r="AF715" s="34"/>
      <c r="AG715" s="34"/>
      <c r="AH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I715" s="34"/>
      <c r="BJ715" s="34"/>
      <c r="BK715" s="34"/>
      <c r="BL715" s="34"/>
      <c r="BM715" s="34"/>
      <c r="BN715" s="34"/>
      <c r="BO715" s="34"/>
      <c r="BP715" s="34"/>
      <c r="BY715" s="34"/>
      <c r="BZ715" s="34"/>
      <c r="CA715" s="34"/>
      <c r="CB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</row>
    <row r="716" ht="15.75" customHeight="1">
      <c r="B716" s="34"/>
      <c r="E716" s="34"/>
      <c r="F716" s="34"/>
      <c r="G716" s="34"/>
      <c r="H716" s="34"/>
      <c r="I716" s="34"/>
      <c r="J716" s="34"/>
      <c r="K716" s="34"/>
      <c r="L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AA716" s="34"/>
      <c r="AB716" s="34"/>
      <c r="AC716" s="34"/>
      <c r="AD716" s="34"/>
      <c r="AE716" s="34"/>
      <c r="AF716" s="34"/>
      <c r="AG716" s="34"/>
      <c r="AH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I716" s="34"/>
      <c r="BJ716" s="34"/>
      <c r="BK716" s="34"/>
      <c r="BL716" s="34"/>
      <c r="BM716" s="34"/>
      <c r="BN716" s="34"/>
      <c r="BO716" s="34"/>
      <c r="BP716" s="34"/>
      <c r="BY716" s="34"/>
      <c r="BZ716" s="34"/>
      <c r="CA716" s="34"/>
      <c r="CB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</row>
    <row r="717" ht="15.75" customHeight="1">
      <c r="B717" s="34"/>
      <c r="E717" s="34"/>
      <c r="F717" s="34"/>
      <c r="G717" s="34"/>
      <c r="H717" s="34"/>
      <c r="I717" s="34"/>
      <c r="J717" s="34"/>
      <c r="K717" s="34"/>
      <c r="L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AA717" s="34"/>
      <c r="AB717" s="34"/>
      <c r="AC717" s="34"/>
      <c r="AD717" s="34"/>
      <c r="AE717" s="34"/>
      <c r="AF717" s="34"/>
      <c r="AG717" s="34"/>
      <c r="AH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I717" s="34"/>
      <c r="BJ717" s="34"/>
      <c r="BK717" s="34"/>
      <c r="BL717" s="34"/>
      <c r="BM717" s="34"/>
      <c r="BN717" s="34"/>
      <c r="BO717" s="34"/>
      <c r="BP717" s="34"/>
      <c r="BY717" s="34"/>
      <c r="BZ717" s="34"/>
      <c r="CA717" s="34"/>
      <c r="CB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</row>
    <row r="718" ht="15.75" customHeight="1">
      <c r="B718" s="34"/>
      <c r="E718" s="34"/>
      <c r="F718" s="34"/>
      <c r="G718" s="34"/>
      <c r="H718" s="34"/>
      <c r="I718" s="34"/>
      <c r="J718" s="34"/>
      <c r="K718" s="34"/>
      <c r="L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AA718" s="34"/>
      <c r="AB718" s="34"/>
      <c r="AC718" s="34"/>
      <c r="AD718" s="34"/>
      <c r="AE718" s="34"/>
      <c r="AF718" s="34"/>
      <c r="AG718" s="34"/>
      <c r="AH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I718" s="34"/>
      <c r="BJ718" s="34"/>
      <c r="BK718" s="34"/>
      <c r="BL718" s="34"/>
      <c r="BM718" s="34"/>
      <c r="BN718" s="34"/>
      <c r="BO718" s="34"/>
      <c r="BP718" s="34"/>
      <c r="BY718" s="34"/>
      <c r="BZ718" s="34"/>
      <c r="CA718" s="34"/>
      <c r="CB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</row>
    <row r="719" ht="15.75" customHeight="1">
      <c r="B719" s="34"/>
      <c r="E719" s="34"/>
      <c r="F719" s="34"/>
      <c r="G719" s="34"/>
      <c r="H719" s="34"/>
      <c r="I719" s="34"/>
      <c r="J719" s="34"/>
      <c r="K719" s="34"/>
      <c r="L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AA719" s="34"/>
      <c r="AB719" s="34"/>
      <c r="AC719" s="34"/>
      <c r="AD719" s="34"/>
      <c r="AE719" s="34"/>
      <c r="AF719" s="34"/>
      <c r="AG719" s="34"/>
      <c r="AH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I719" s="34"/>
      <c r="BJ719" s="34"/>
      <c r="BK719" s="34"/>
      <c r="BL719" s="34"/>
      <c r="BM719" s="34"/>
      <c r="BN719" s="34"/>
      <c r="BO719" s="34"/>
      <c r="BP719" s="34"/>
      <c r="BY719" s="34"/>
      <c r="BZ719" s="34"/>
      <c r="CA719" s="34"/>
      <c r="CB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</row>
    <row r="720" ht="15.75" customHeight="1">
      <c r="B720" s="34"/>
      <c r="E720" s="34"/>
      <c r="F720" s="34"/>
      <c r="G720" s="34"/>
      <c r="H720" s="34"/>
      <c r="I720" s="34"/>
      <c r="J720" s="34"/>
      <c r="K720" s="34"/>
      <c r="L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AA720" s="34"/>
      <c r="AB720" s="34"/>
      <c r="AC720" s="34"/>
      <c r="AD720" s="34"/>
      <c r="AE720" s="34"/>
      <c r="AF720" s="34"/>
      <c r="AG720" s="34"/>
      <c r="AH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I720" s="34"/>
      <c r="BJ720" s="34"/>
      <c r="BK720" s="34"/>
      <c r="BL720" s="34"/>
      <c r="BM720" s="34"/>
      <c r="BN720" s="34"/>
      <c r="BO720" s="34"/>
      <c r="BP720" s="34"/>
      <c r="BY720" s="34"/>
      <c r="BZ720" s="34"/>
      <c r="CA720" s="34"/>
      <c r="CB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</row>
    <row r="721" ht="15.75" customHeight="1">
      <c r="B721" s="34"/>
      <c r="E721" s="34"/>
      <c r="F721" s="34"/>
      <c r="G721" s="34"/>
      <c r="H721" s="34"/>
      <c r="I721" s="34"/>
      <c r="J721" s="34"/>
      <c r="K721" s="34"/>
      <c r="L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AA721" s="34"/>
      <c r="AB721" s="34"/>
      <c r="AC721" s="34"/>
      <c r="AD721" s="34"/>
      <c r="AE721" s="34"/>
      <c r="AF721" s="34"/>
      <c r="AG721" s="34"/>
      <c r="AH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I721" s="34"/>
      <c r="BJ721" s="34"/>
      <c r="BK721" s="34"/>
      <c r="BL721" s="34"/>
      <c r="BM721" s="34"/>
      <c r="BN721" s="34"/>
      <c r="BO721" s="34"/>
      <c r="BP721" s="34"/>
      <c r="BY721" s="34"/>
      <c r="BZ721" s="34"/>
      <c r="CA721" s="34"/>
      <c r="CB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</row>
    <row r="722" ht="15.75" customHeight="1">
      <c r="B722" s="34"/>
      <c r="E722" s="34"/>
      <c r="F722" s="34"/>
      <c r="G722" s="34"/>
      <c r="H722" s="34"/>
      <c r="I722" s="34"/>
      <c r="J722" s="34"/>
      <c r="K722" s="34"/>
      <c r="L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AA722" s="34"/>
      <c r="AB722" s="34"/>
      <c r="AC722" s="34"/>
      <c r="AD722" s="34"/>
      <c r="AE722" s="34"/>
      <c r="AF722" s="34"/>
      <c r="AG722" s="34"/>
      <c r="AH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I722" s="34"/>
      <c r="BJ722" s="34"/>
      <c r="BK722" s="34"/>
      <c r="BL722" s="34"/>
      <c r="BM722" s="34"/>
      <c r="BN722" s="34"/>
      <c r="BO722" s="34"/>
      <c r="BP722" s="34"/>
      <c r="BY722" s="34"/>
      <c r="BZ722" s="34"/>
      <c r="CA722" s="34"/>
      <c r="CB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</row>
    <row r="723" ht="15.75" customHeight="1">
      <c r="B723" s="34"/>
      <c r="E723" s="34"/>
      <c r="F723" s="34"/>
      <c r="G723" s="34"/>
      <c r="H723" s="34"/>
      <c r="I723" s="34"/>
      <c r="J723" s="34"/>
      <c r="K723" s="34"/>
      <c r="L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AA723" s="34"/>
      <c r="AB723" s="34"/>
      <c r="AC723" s="34"/>
      <c r="AD723" s="34"/>
      <c r="AE723" s="34"/>
      <c r="AF723" s="34"/>
      <c r="AG723" s="34"/>
      <c r="AH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I723" s="34"/>
      <c r="BJ723" s="34"/>
      <c r="BK723" s="34"/>
      <c r="BL723" s="34"/>
      <c r="BM723" s="34"/>
      <c r="BN723" s="34"/>
      <c r="BO723" s="34"/>
      <c r="BP723" s="34"/>
      <c r="BY723" s="34"/>
      <c r="BZ723" s="34"/>
      <c r="CA723" s="34"/>
      <c r="CB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</row>
    <row r="724" ht="15.75" customHeight="1">
      <c r="B724" s="34"/>
      <c r="E724" s="34"/>
      <c r="F724" s="34"/>
      <c r="G724" s="34"/>
      <c r="H724" s="34"/>
      <c r="I724" s="34"/>
      <c r="J724" s="34"/>
      <c r="K724" s="34"/>
      <c r="L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AA724" s="34"/>
      <c r="AB724" s="34"/>
      <c r="AC724" s="34"/>
      <c r="AD724" s="34"/>
      <c r="AE724" s="34"/>
      <c r="AF724" s="34"/>
      <c r="AG724" s="34"/>
      <c r="AH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I724" s="34"/>
      <c r="BJ724" s="34"/>
      <c r="BK724" s="34"/>
      <c r="BL724" s="34"/>
      <c r="BM724" s="34"/>
      <c r="BN724" s="34"/>
      <c r="BO724" s="34"/>
      <c r="BP724" s="34"/>
      <c r="BY724" s="34"/>
      <c r="BZ724" s="34"/>
      <c r="CA724" s="34"/>
      <c r="CB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</row>
    <row r="725" ht="15.75" customHeight="1">
      <c r="B725" s="34"/>
      <c r="E725" s="34"/>
      <c r="F725" s="34"/>
      <c r="G725" s="34"/>
      <c r="H725" s="34"/>
      <c r="I725" s="34"/>
      <c r="J725" s="34"/>
      <c r="K725" s="34"/>
      <c r="L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AA725" s="34"/>
      <c r="AB725" s="34"/>
      <c r="AC725" s="34"/>
      <c r="AD725" s="34"/>
      <c r="AE725" s="34"/>
      <c r="AF725" s="34"/>
      <c r="AG725" s="34"/>
      <c r="AH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I725" s="34"/>
      <c r="BJ725" s="34"/>
      <c r="BK725" s="34"/>
      <c r="BL725" s="34"/>
      <c r="BM725" s="34"/>
      <c r="BN725" s="34"/>
      <c r="BO725" s="34"/>
      <c r="BP725" s="34"/>
      <c r="BY725" s="34"/>
      <c r="BZ725" s="34"/>
      <c r="CA725" s="34"/>
      <c r="CB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</row>
    <row r="726" ht="15.75" customHeight="1">
      <c r="B726" s="34"/>
      <c r="E726" s="34"/>
      <c r="F726" s="34"/>
      <c r="G726" s="34"/>
      <c r="H726" s="34"/>
      <c r="I726" s="34"/>
      <c r="J726" s="34"/>
      <c r="K726" s="34"/>
      <c r="L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AA726" s="34"/>
      <c r="AB726" s="34"/>
      <c r="AC726" s="34"/>
      <c r="AD726" s="34"/>
      <c r="AE726" s="34"/>
      <c r="AF726" s="34"/>
      <c r="AG726" s="34"/>
      <c r="AH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I726" s="34"/>
      <c r="BJ726" s="34"/>
      <c r="BK726" s="34"/>
      <c r="BL726" s="34"/>
      <c r="BM726" s="34"/>
      <c r="BN726" s="34"/>
      <c r="BO726" s="34"/>
      <c r="BP726" s="34"/>
      <c r="BY726" s="34"/>
      <c r="BZ726" s="34"/>
      <c r="CA726" s="34"/>
      <c r="CB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</row>
    <row r="727" ht="15.75" customHeight="1">
      <c r="B727" s="34"/>
      <c r="E727" s="34"/>
      <c r="F727" s="34"/>
      <c r="G727" s="34"/>
      <c r="H727" s="34"/>
      <c r="I727" s="34"/>
      <c r="J727" s="34"/>
      <c r="K727" s="34"/>
      <c r="L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AA727" s="34"/>
      <c r="AB727" s="34"/>
      <c r="AC727" s="34"/>
      <c r="AD727" s="34"/>
      <c r="AE727" s="34"/>
      <c r="AF727" s="34"/>
      <c r="AG727" s="34"/>
      <c r="AH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I727" s="34"/>
      <c r="BJ727" s="34"/>
      <c r="BK727" s="34"/>
      <c r="BL727" s="34"/>
      <c r="BM727" s="34"/>
      <c r="BN727" s="34"/>
      <c r="BO727" s="34"/>
      <c r="BP727" s="34"/>
      <c r="BY727" s="34"/>
      <c r="BZ727" s="34"/>
      <c r="CA727" s="34"/>
      <c r="CB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</row>
    <row r="728" ht="15.75" customHeight="1">
      <c r="B728" s="34"/>
      <c r="E728" s="34"/>
      <c r="F728" s="34"/>
      <c r="G728" s="34"/>
      <c r="H728" s="34"/>
      <c r="I728" s="34"/>
      <c r="J728" s="34"/>
      <c r="K728" s="34"/>
      <c r="L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AA728" s="34"/>
      <c r="AB728" s="34"/>
      <c r="AC728" s="34"/>
      <c r="AD728" s="34"/>
      <c r="AE728" s="34"/>
      <c r="AF728" s="34"/>
      <c r="AG728" s="34"/>
      <c r="AH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I728" s="34"/>
      <c r="BJ728" s="34"/>
      <c r="BK728" s="34"/>
      <c r="BL728" s="34"/>
      <c r="BM728" s="34"/>
      <c r="BN728" s="34"/>
      <c r="BO728" s="34"/>
      <c r="BP728" s="34"/>
      <c r="BY728" s="34"/>
      <c r="BZ728" s="34"/>
      <c r="CA728" s="34"/>
      <c r="CB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</row>
    <row r="729" ht="15.75" customHeight="1">
      <c r="B729" s="34"/>
      <c r="E729" s="34"/>
      <c r="F729" s="34"/>
      <c r="G729" s="34"/>
      <c r="H729" s="34"/>
      <c r="I729" s="34"/>
      <c r="J729" s="34"/>
      <c r="K729" s="34"/>
      <c r="L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AA729" s="34"/>
      <c r="AB729" s="34"/>
      <c r="AC729" s="34"/>
      <c r="AD729" s="34"/>
      <c r="AE729" s="34"/>
      <c r="AF729" s="34"/>
      <c r="AG729" s="34"/>
      <c r="AH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I729" s="34"/>
      <c r="BJ729" s="34"/>
      <c r="BK729" s="34"/>
      <c r="BL729" s="34"/>
      <c r="BM729" s="34"/>
      <c r="BN729" s="34"/>
      <c r="BO729" s="34"/>
      <c r="BP729" s="34"/>
      <c r="BY729" s="34"/>
      <c r="BZ729" s="34"/>
      <c r="CA729" s="34"/>
      <c r="CB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</row>
    <row r="730" ht="15.75" customHeight="1">
      <c r="B730" s="34"/>
      <c r="E730" s="34"/>
      <c r="F730" s="34"/>
      <c r="G730" s="34"/>
      <c r="H730" s="34"/>
      <c r="I730" s="34"/>
      <c r="J730" s="34"/>
      <c r="K730" s="34"/>
      <c r="L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AA730" s="34"/>
      <c r="AB730" s="34"/>
      <c r="AC730" s="34"/>
      <c r="AD730" s="34"/>
      <c r="AE730" s="34"/>
      <c r="AF730" s="34"/>
      <c r="AG730" s="34"/>
      <c r="AH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I730" s="34"/>
      <c r="BJ730" s="34"/>
      <c r="BK730" s="34"/>
      <c r="BL730" s="34"/>
      <c r="BM730" s="34"/>
      <c r="BN730" s="34"/>
      <c r="BO730" s="34"/>
      <c r="BP730" s="34"/>
      <c r="BY730" s="34"/>
      <c r="BZ730" s="34"/>
      <c r="CA730" s="34"/>
      <c r="CB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</row>
    <row r="731" ht="15.75" customHeight="1">
      <c r="B731" s="34"/>
      <c r="E731" s="34"/>
      <c r="F731" s="34"/>
      <c r="G731" s="34"/>
      <c r="H731" s="34"/>
      <c r="I731" s="34"/>
      <c r="J731" s="34"/>
      <c r="K731" s="34"/>
      <c r="L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AA731" s="34"/>
      <c r="AB731" s="34"/>
      <c r="AC731" s="34"/>
      <c r="AD731" s="34"/>
      <c r="AE731" s="34"/>
      <c r="AF731" s="34"/>
      <c r="AG731" s="34"/>
      <c r="AH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I731" s="34"/>
      <c r="BJ731" s="34"/>
      <c r="BK731" s="34"/>
      <c r="BL731" s="34"/>
      <c r="BM731" s="34"/>
      <c r="BN731" s="34"/>
      <c r="BO731" s="34"/>
      <c r="BP731" s="34"/>
      <c r="BY731" s="34"/>
      <c r="BZ731" s="34"/>
      <c r="CA731" s="34"/>
      <c r="CB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</row>
    <row r="732" ht="15.75" customHeight="1">
      <c r="B732" s="34"/>
      <c r="E732" s="34"/>
      <c r="F732" s="34"/>
      <c r="G732" s="34"/>
      <c r="H732" s="34"/>
      <c r="I732" s="34"/>
      <c r="J732" s="34"/>
      <c r="K732" s="34"/>
      <c r="L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AA732" s="34"/>
      <c r="AB732" s="34"/>
      <c r="AC732" s="34"/>
      <c r="AD732" s="34"/>
      <c r="AE732" s="34"/>
      <c r="AF732" s="34"/>
      <c r="AG732" s="34"/>
      <c r="AH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I732" s="34"/>
      <c r="BJ732" s="34"/>
      <c r="BK732" s="34"/>
      <c r="BL732" s="34"/>
      <c r="BM732" s="34"/>
      <c r="BN732" s="34"/>
      <c r="BO732" s="34"/>
      <c r="BP732" s="34"/>
      <c r="BY732" s="34"/>
      <c r="BZ732" s="34"/>
      <c r="CA732" s="34"/>
      <c r="CB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</row>
    <row r="733" ht="15.75" customHeight="1">
      <c r="B733" s="34"/>
      <c r="E733" s="34"/>
      <c r="F733" s="34"/>
      <c r="G733" s="34"/>
      <c r="H733" s="34"/>
      <c r="I733" s="34"/>
      <c r="J733" s="34"/>
      <c r="K733" s="34"/>
      <c r="L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AA733" s="34"/>
      <c r="AB733" s="34"/>
      <c r="AC733" s="34"/>
      <c r="AD733" s="34"/>
      <c r="AE733" s="34"/>
      <c r="AF733" s="34"/>
      <c r="AG733" s="34"/>
      <c r="AH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I733" s="34"/>
      <c r="BJ733" s="34"/>
      <c r="BK733" s="34"/>
      <c r="BL733" s="34"/>
      <c r="BM733" s="34"/>
      <c r="BN733" s="34"/>
      <c r="BO733" s="34"/>
      <c r="BP733" s="34"/>
      <c r="BY733" s="34"/>
      <c r="BZ733" s="34"/>
      <c r="CA733" s="34"/>
      <c r="CB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</row>
    <row r="734" ht="15.75" customHeight="1">
      <c r="B734" s="34"/>
      <c r="E734" s="34"/>
      <c r="F734" s="34"/>
      <c r="G734" s="34"/>
      <c r="H734" s="34"/>
      <c r="I734" s="34"/>
      <c r="J734" s="34"/>
      <c r="K734" s="34"/>
      <c r="L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AA734" s="34"/>
      <c r="AB734" s="34"/>
      <c r="AC734" s="34"/>
      <c r="AD734" s="34"/>
      <c r="AE734" s="34"/>
      <c r="AF734" s="34"/>
      <c r="AG734" s="34"/>
      <c r="AH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I734" s="34"/>
      <c r="BJ734" s="34"/>
      <c r="BK734" s="34"/>
      <c r="BL734" s="34"/>
      <c r="BM734" s="34"/>
      <c r="BN734" s="34"/>
      <c r="BO734" s="34"/>
      <c r="BP734" s="34"/>
      <c r="BY734" s="34"/>
      <c r="BZ734" s="34"/>
      <c r="CA734" s="34"/>
      <c r="CB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</row>
    <row r="735" ht="15.75" customHeight="1">
      <c r="B735" s="34"/>
      <c r="E735" s="34"/>
      <c r="F735" s="34"/>
      <c r="G735" s="34"/>
      <c r="H735" s="34"/>
      <c r="I735" s="34"/>
      <c r="J735" s="34"/>
      <c r="K735" s="34"/>
      <c r="L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AA735" s="34"/>
      <c r="AB735" s="34"/>
      <c r="AC735" s="34"/>
      <c r="AD735" s="34"/>
      <c r="AE735" s="34"/>
      <c r="AF735" s="34"/>
      <c r="AG735" s="34"/>
      <c r="AH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I735" s="34"/>
      <c r="BJ735" s="34"/>
      <c r="BK735" s="34"/>
      <c r="BL735" s="34"/>
      <c r="BM735" s="34"/>
      <c r="BN735" s="34"/>
      <c r="BO735" s="34"/>
      <c r="BP735" s="34"/>
      <c r="BY735" s="34"/>
      <c r="BZ735" s="34"/>
      <c r="CA735" s="34"/>
      <c r="CB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</row>
    <row r="736" ht="15.75" customHeight="1">
      <c r="B736" s="34"/>
      <c r="E736" s="34"/>
      <c r="F736" s="34"/>
      <c r="G736" s="34"/>
      <c r="H736" s="34"/>
      <c r="I736" s="34"/>
      <c r="J736" s="34"/>
      <c r="K736" s="34"/>
      <c r="L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AA736" s="34"/>
      <c r="AB736" s="34"/>
      <c r="AC736" s="34"/>
      <c r="AD736" s="34"/>
      <c r="AE736" s="34"/>
      <c r="AF736" s="34"/>
      <c r="AG736" s="34"/>
      <c r="AH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I736" s="34"/>
      <c r="BJ736" s="34"/>
      <c r="BK736" s="34"/>
      <c r="BL736" s="34"/>
      <c r="BM736" s="34"/>
      <c r="BN736" s="34"/>
      <c r="BO736" s="34"/>
      <c r="BP736" s="34"/>
      <c r="BY736" s="34"/>
      <c r="BZ736" s="34"/>
      <c r="CA736" s="34"/>
      <c r="CB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</row>
    <row r="737" ht="15.75" customHeight="1">
      <c r="B737" s="34"/>
      <c r="E737" s="34"/>
      <c r="F737" s="34"/>
      <c r="G737" s="34"/>
      <c r="H737" s="34"/>
      <c r="I737" s="34"/>
      <c r="J737" s="34"/>
      <c r="K737" s="34"/>
      <c r="L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AA737" s="34"/>
      <c r="AB737" s="34"/>
      <c r="AC737" s="34"/>
      <c r="AD737" s="34"/>
      <c r="AE737" s="34"/>
      <c r="AF737" s="34"/>
      <c r="AG737" s="34"/>
      <c r="AH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I737" s="34"/>
      <c r="BJ737" s="34"/>
      <c r="BK737" s="34"/>
      <c r="BL737" s="34"/>
      <c r="BM737" s="34"/>
      <c r="BN737" s="34"/>
      <c r="BO737" s="34"/>
      <c r="BP737" s="34"/>
      <c r="BY737" s="34"/>
      <c r="BZ737" s="34"/>
      <c r="CA737" s="34"/>
      <c r="CB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</row>
    <row r="738" ht="15.75" customHeight="1">
      <c r="B738" s="34"/>
      <c r="E738" s="34"/>
      <c r="F738" s="34"/>
      <c r="G738" s="34"/>
      <c r="H738" s="34"/>
      <c r="I738" s="34"/>
      <c r="J738" s="34"/>
      <c r="K738" s="34"/>
      <c r="L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AA738" s="34"/>
      <c r="AB738" s="34"/>
      <c r="AC738" s="34"/>
      <c r="AD738" s="34"/>
      <c r="AE738" s="34"/>
      <c r="AF738" s="34"/>
      <c r="AG738" s="34"/>
      <c r="AH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I738" s="34"/>
      <c r="BJ738" s="34"/>
      <c r="BK738" s="34"/>
      <c r="BL738" s="34"/>
      <c r="BM738" s="34"/>
      <c r="BN738" s="34"/>
      <c r="BO738" s="34"/>
      <c r="BP738" s="34"/>
      <c r="BY738" s="34"/>
      <c r="BZ738" s="34"/>
      <c r="CA738" s="34"/>
      <c r="CB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</row>
    <row r="739" ht="15.75" customHeight="1">
      <c r="B739" s="34"/>
      <c r="E739" s="34"/>
      <c r="F739" s="34"/>
      <c r="G739" s="34"/>
      <c r="H739" s="34"/>
      <c r="I739" s="34"/>
      <c r="J739" s="34"/>
      <c r="K739" s="34"/>
      <c r="L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AA739" s="34"/>
      <c r="AB739" s="34"/>
      <c r="AC739" s="34"/>
      <c r="AD739" s="34"/>
      <c r="AE739" s="34"/>
      <c r="AF739" s="34"/>
      <c r="AG739" s="34"/>
      <c r="AH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I739" s="34"/>
      <c r="BJ739" s="34"/>
      <c r="BK739" s="34"/>
      <c r="BL739" s="34"/>
      <c r="BM739" s="34"/>
      <c r="BN739" s="34"/>
      <c r="BO739" s="34"/>
      <c r="BP739" s="34"/>
      <c r="BY739" s="34"/>
      <c r="BZ739" s="34"/>
      <c r="CA739" s="34"/>
      <c r="CB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</row>
    <row r="740" ht="15.75" customHeight="1">
      <c r="B740" s="34"/>
      <c r="E740" s="34"/>
      <c r="F740" s="34"/>
      <c r="G740" s="34"/>
      <c r="H740" s="34"/>
      <c r="I740" s="34"/>
      <c r="J740" s="34"/>
      <c r="K740" s="34"/>
      <c r="L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AA740" s="34"/>
      <c r="AB740" s="34"/>
      <c r="AC740" s="34"/>
      <c r="AD740" s="34"/>
      <c r="AE740" s="34"/>
      <c r="AF740" s="34"/>
      <c r="AG740" s="34"/>
      <c r="AH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I740" s="34"/>
      <c r="BJ740" s="34"/>
      <c r="BK740" s="34"/>
      <c r="BL740" s="34"/>
      <c r="BM740" s="34"/>
      <c r="BN740" s="34"/>
      <c r="BO740" s="34"/>
      <c r="BP740" s="34"/>
      <c r="BY740" s="34"/>
      <c r="BZ740" s="34"/>
      <c r="CA740" s="34"/>
      <c r="CB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</row>
    <row r="741" ht="15.75" customHeight="1">
      <c r="B741" s="34"/>
      <c r="E741" s="34"/>
      <c r="F741" s="34"/>
      <c r="G741" s="34"/>
      <c r="H741" s="34"/>
      <c r="I741" s="34"/>
      <c r="J741" s="34"/>
      <c r="K741" s="34"/>
      <c r="L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AA741" s="34"/>
      <c r="AB741" s="34"/>
      <c r="AC741" s="34"/>
      <c r="AD741" s="34"/>
      <c r="AE741" s="34"/>
      <c r="AF741" s="34"/>
      <c r="AG741" s="34"/>
      <c r="AH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I741" s="34"/>
      <c r="BJ741" s="34"/>
      <c r="BK741" s="34"/>
      <c r="BL741" s="34"/>
      <c r="BM741" s="34"/>
      <c r="BN741" s="34"/>
      <c r="BO741" s="34"/>
      <c r="BP741" s="34"/>
      <c r="BY741" s="34"/>
      <c r="BZ741" s="34"/>
      <c r="CA741" s="34"/>
      <c r="CB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</row>
    <row r="742" ht="15.75" customHeight="1">
      <c r="B742" s="34"/>
      <c r="E742" s="34"/>
      <c r="F742" s="34"/>
      <c r="G742" s="34"/>
      <c r="H742" s="34"/>
      <c r="I742" s="34"/>
      <c r="J742" s="34"/>
      <c r="K742" s="34"/>
      <c r="L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AA742" s="34"/>
      <c r="AB742" s="34"/>
      <c r="AC742" s="34"/>
      <c r="AD742" s="34"/>
      <c r="AE742" s="34"/>
      <c r="AF742" s="34"/>
      <c r="AG742" s="34"/>
      <c r="AH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I742" s="34"/>
      <c r="BJ742" s="34"/>
      <c r="BK742" s="34"/>
      <c r="BL742" s="34"/>
      <c r="BM742" s="34"/>
      <c r="BN742" s="34"/>
      <c r="BO742" s="34"/>
      <c r="BP742" s="34"/>
      <c r="BY742" s="34"/>
      <c r="BZ742" s="34"/>
      <c r="CA742" s="34"/>
      <c r="CB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</row>
    <row r="743" ht="15.75" customHeight="1">
      <c r="B743" s="34"/>
      <c r="E743" s="34"/>
      <c r="F743" s="34"/>
      <c r="G743" s="34"/>
      <c r="H743" s="34"/>
      <c r="I743" s="34"/>
      <c r="J743" s="34"/>
      <c r="K743" s="34"/>
      <c r="L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AA743" s="34"/>
      <c r="AB743" s="34"/>
      <c r="AC743" s="34"/>
      <c r="AD743" s="34"/>
      <c r="AE743" s="34"/>
      <c r="AF743" s="34"/>
      <c r="AG743" s="34"/>
      <c r="AH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I743" s="34"/>
      <c r="BJ743" s="34"/>
      <c r="BK743" s="34"/>
      <c r="BL743" s="34"/>
      <c r="BM743" s="34"/>
      <c r="BN743" s="34"/>
      <c r="BO743" s="34"/>
      <c r="BP743" s="34"/>
      <c r="BY743" s="34"/>
      <c r="BZ743" s="34"/>
      <c r="CA743" s="34"/>
      <c r="CB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</row>
    <row r="744" ht="15.75" customHeight="1">
      <c r="B744" s="34"/>
      <c r="E744" s="34"/>
      <c r="F744" s="34"/>
      <c r="G744" s="34"/>
      <c r="H744" s="34"/>
      <c r="I744" s="34"/>
      <c r="J744" s="34"/>
      <c r="K744" s="34"/>
      <c r="L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AA744" s="34"/>
      <c r="AB744" s="34"/>
      <c r="AC744" s="34"/>
      <c r="AD744" s="34"/>
      <c r="AE744" s="34"/>
      <c r="AF744" s="34"/>
      <c r="AG744" s="34"/>
      <c r="AH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I744" s="34"/>
      <c r="BJ744" s="34"/>
      <c r="BK744" s="34"/>
      <c r="BL744" s="34"/>
      <c r="BM744" s="34"/>
      <c r="BN744" s="34"/>
      <c r="BO744" s="34"/>
      <c r="BP744" s="34"/>
      <c r="BY744" s="34"/>
      <c r="BZ744" s="34"/>
      <c r="CA744" s="34"/>
      <c r="CB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</row>
    <row r="745" ht="15.75" customHeight="1">
      <c r="B745" s="34"/>
      <c r="E745" s="34"/>
      <c r="F745" s="34"/>
      <c r="G745" s="34"/>
      <c r="H745" s="34"/>
      <c r="I745" s="34"/>
      <c r="J745" s="34"/>
      <c r="K745" s="34"/>
      <c r="L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AA745" s="34"/>
      <c r="AB745" s="34"/>
      <c r="AC745" s="34"/>
      <c r="AD745" s="34"/>
      <c r="AE745" s="34"/>
      <c r="AF745" s="34"/>
      <c r="AG745" s="34"/>
      <c r="AH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I745" s="34"/>
      <c r="BJ745" s="34"/>
      <c r="BK745" s="34"/>
      <c r="BL745" s="34"/>
      <c r="BM745" s="34"/>
      <c r="BN745" s="34"/>
      <c r="BO745" s="34"/>
      <c r="BP745" s="34"/>
      <c r="BY745" s="34"/>
      <c r="BZ745" s="34"/>
      <c r="CA745" s="34"/>
      <c r="CB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</row>
    <row r="746" ht="15.75" customHeight="1">
      <c r="B746" s="34"/>
      <c r="E746" s="34"/>
      <c r="F746" s="34"/>
      <c r="G746" s="34"/>
      <c r="H746" s="34"/>
      <c r="I746" s="34"/>
      <c r="J746" s="34"/>
      <c r="K746" s="34"/>
      <c r="L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AA746" s="34"/>
      <c r="AB746" s="34"/>
      <c r="AC746" s="34"/>
      <c r="AD746" s="34"/>
      <c r="AE746" s="34"/>
      <c r="AF746" s="34"/>
      <c r="AG746" s="34"/>
      <c r="AH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I746" s="34"/>
      <c r="BJ746" s="34"/>
      <c r="BK746" s="34"/>
      <c r="BL746" s="34"/>
      <c r="BM746" s="34"/>
      <c r="BN746" s="34"/>
      <c r="BO746" s="34"/>
      <c r="BP746" s="34"/>
      <c r="BY746" s="34"/>
      <c r="BZ746" s="34"/>
      <c r="CA746" s="34"/>
      <c r="CB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</row>
    <row r="747" ht="15.75" customHeight="1">
      <c r="B747" s="34"/>
      <c r="E747" s="34"/>
      <c r="F747" s="34"/>
      <c r="G747" s="34"/>
      <c r="H747" s="34"/>
      <c r="I747" s="34"/>
      <c r="J747" s="34"/>
      <c r="K747" s="34"/>
      <c r="L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AA747" s="34"/>
      <c r="AB747" s="34"/>
      <c r="AC747" s="34"/>
      <c r="AD747" s="34"/>
      <c r="AE747" s="34"/>
      <c r="AF747" s="34"/>
      <c r="AG747" s="34"/>
      <c r="AH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I747" s="34"/>
      <c r="BJ747" s="34"/>
      <c r="BK747" s="34"/>
      <c r="BL747" s="34"/>
      <c r="BM747" s="34"/>
      <c r="BN747" s="34"/>
      <c r="BO747" s="34"/>
      <c r="BP747" s="34"/>
      <c r="BY747" s="34"/>
      <c r="BZ747" s="34"/>
      <c r="CA747" s="34"/>
      <c r="CB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</row>
    <row r="748" ht="15.75" customHeight="1">
      <c r="B748" s="34"/>
      <c r="E748" s="34"/>
      <c r="F748" s="34"/>
      <c r="G748" s="34"/>
      <c r="H748" s="34"/>
      <c r="I748" s="34"/>
      <c r="J748" s="34"/>
      <c r="K748" s="34"/>
      <c r="L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AA748" s="34"/>
      <c r="AB748" s="34"/>
      <c r="AC748" s="34"/>
      <c r="AD748" s="34"/>
      <c r="AE748" s="34"/>
      <c r="AF748" s="34"/>
      <c r="AG748" s="34"/>
      <c r="AH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I748" s="34"/>
      <c r="BJ748" s="34"/>
      <c r="BK748" s="34"/>
      <c r="BL748" s="34"/>
      <c r="BM748" s="34"/>
      <c r="BN748" s="34"/>
      <c r="BO748" s="34"/>
      <c r="BP748" s="34"/>
      <c r="BY748" s="34"/>
      <c r="BZ748" s="34"/>
      <c r="CA748" s="34"/>
      <c r="CB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</row>
    <row r="749" ht="15.75" customHeight="1">
      <c r="B749" s="34"/>
      <c r="E749" s="34"/>
      <c r="F749" s="34"/>
      <c r="G749" s="34"/>
      <c r="H749" s="34"/>
      <c r="I749" s="34"/>
      <c r="J749" s="34"/>
      <c r="K749" s="34"/>
      <c r="L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AA749" s="34"/>
      <c r="AB749" s="34"/>
      <c r="AC749" s="34"/>
      <c r="AD749" s="34"/>
      <c r="AE749" s="34"/>
      <c r="AF749" s="34"/>
      <c r="AG749" s="34"/>
      <c r="AH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I749" s="34"/>
      <c r="BJ749" s="34"/>
      <c r="BK749" s="34"/>
      <c r="BL749" s="34"/>
      <c r="BM749" s="34"/>
      <c r="BN749" s="34"/>
      <c r="BO749" s="34"/>
      <c r="BP749" s="34"/>
      <c r="BY749" s="34"/>
      <c r="BZ749" s="34"/>
      <c r="CA749" s="34"/>
      <c r="CB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</row>
    <row r="750" ht="15.75" customHeight="1">
      <c r="B750" s="34"/>
      <c r="E750" s="34"/>
      <c r="F750" s="34"/>
      <c r="G750" s="34"/>
      <c r="H750" s="34"/>
      <c r="I750" s="34"/>
      <c r="J750" s="34"/>
      <c r="K750" s="34"/>
      <c r="L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AA750" s="34"/>
      <c r="AB750" s="34"/>
      <c r="AC750" s="34"/>
      <c r="AD750" s="34"/>
      <c r="AE750" s="34"/>
      <c r="AF750" s="34"/>
      <c r="AG750" s="34"/>
      <c r="AH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I750" s="34"/>
      <c r="BJ750" s="34"/>
      <c r="BK750" s="34"/>
      <c r="BL750" s="34"/>
      <c r="BM750" s="34"/>
      <c r="BN750" s="34"/>
      <c r="BO750" s="34"/>
      <c r="BP750" s="34"/>
      <c r="BY750" s="34"/>
      <c r="BZ750" s="34"/>
      <c r="CA750" s="34"/>
      <c r="CB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</row>
    <row r="751" ht="15.75" customHeight="1">
      <c r="B751" s="34"/>
      <c r="E751" s="34"/>
      <c r="F751" s="34"/>
      <c r="G751" s="34"/>
      <c r="H751" s="34"/>
      <c r="I751" s="34"/>
      <c r="J751" s="34"/>
      <c r="K751" s="34"/>
      <c r="L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AA751" s="34"/>
      <c r="AB751" s="34"/>
      <c r="AC751" s="34"/>
      <c r="AD751" s="34"/>
      <c r="AE751" s="34"/>
      <c r="AF751" s="34"/>
      <c r="AG751" s="34"/>
      <c r="AH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I751" s="34"/>
      <c r="BJ751" s="34"/>
      <c r="BK751" s="34"/>
      <c r="BL751" s="34"/>
      <c r="BM751" s="34"/>
      <c r="BN751" s="34"/>
      <c r="BO751" s="34"/>
      <c r="BP751" s="34"/>
      <c r="BY751" s="34"/>
      <c r="BZ751" s="34"/>
      <c r="CA751" s="34"/>
      <c r="CB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</row>
    <row r="752" ht="15.75" customHeight="1">
      <c r="B752" s="34"/>
      <c r="E752" s="34"/>
      <c r="F752" s="34"/>
      <c r="G752" s="34"/>
      <c r="H752" s="34"/>
      <c r="I752" s="34"/>
      <c r="J752" s="34"/>
      <c r="K752" s="34"/>
      <c r="L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AA752" s="34"/>
      <c r="AB752" s="34"/>
      <c r="AC752" s="34"/>
      <c r="AD752" s="34"/>
      <c r="AE752" s="34"/>
      <c r="AF752" s="34"/>
      <c r="AG752" s="34"/>
      <c r="AH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I752" s="34"/>
      <c r="BJ752" s="34"/>
      <c r="BK752" s="34"/>
      <c r="BL752" s="34"/>
      <c r="BM752" s="34"/>
      <c r="BN752" s="34"/>
      <c r="BO752" s="34"/>
      <c r="BP752" s="34"/>
      <c r="BY752" s="34"/>
      <c r="BZ752" s="34"/>
      <c r="CA752" s="34"/>
      <c r="CB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</row>
    <row r="753" ht="15.75" customHeight="1">
      <c r="B753" s="34"/>
      <c r="E753" s="34"/>
      <c r="F753" s="34"/>
      <c r="G753" s="34"/>
      <c r="H753" s="34"/>
      <c r="I753" s="34"/>
      <c r="J753" s="34"/>
      <c r="K753" s="34"/>
      <c r="L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AA753" s="34"/>
      <c r="AB753" s="34"/>
      <c r="AC753" s="34"/>
      <c r="AD753" s="34"/>
      <c r="AE753" s="34"/>
      <c r="AF753" s="34"/>
      <c r="AG753" s="34"/>
      <c r="AH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I753" s="34"/>
      <c r="BJ753" s="34"/>
      <c r="BK753" s="34"/>
      <c r="BL753" s="34"/>
      <c r="BM753" s="34"/>
      <c r="BN753" s="34"/>
      <c r="BO753" s="34"/>
      <c r="BP753" s="34"/>
      <c r="BY753" s="34"/>
      <c r="BZ753" s="34"/>
      <c r="CA753" s="34"/>
      <c r="CB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</row>
    <row r="754" ht="15.75" customHeight="1">
      <c r="B754" s="34"/>
      <c r="E754" s="34"/>
      <c r="F754" s="34"/>
      <c r="G754" s="34"/>
      <c r="H754" s="34"/>
      <c r="I754" s="34"/>
      <c r="J754" s="34"/>
      <c r="K754" s="34"/>
      <c r="L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AA754" s="34"/>
      <c r="AB754" s="34"/>
      <c r="AC754" s="34"/>
      <c r="AD754" s="34"/>
      <c r="AE754" s="34"/>
      <c r="AF754" s="34"/>
      <c r="AG754" s="34"/>
      <c r="AH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I754" s="34"/>
      <c r="BJ754" s="34"/>
      <c r="BK754" s="34"/>
      <c r="BL754" s="34"/>
      <c r="BM754" s="34"/>
      <c r="BN754" s="34"/>
      <c r="BO754" s="34"/>
      <c r="BP754" s="34"/>
      <c r="BY754" s="34"/>
      <c r="BZ754" s="34"/>
      <c r="CA754" s="34"/>
      <c r="CB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</row>
    <row r="755" ht="15.75" customHeight="1">
      <c r="B755" s="34"/>
      <c r="E755" s="34"/>
      <c r="F755" s="34"/>
      <c r="G755" s="34"/>
      <c r="H755" s="34"/>
      <c r="I755" s="34"/>
      <c r="J755" s="34"/>
      <c r="K755" s="34"/>
      <c r="L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AA755" s="34"/>
      <c r="AB755" s="34"/>
      <c r="AC755" s="34"/>
      <c r="AD755" s="34"/>
      <c r="AE755" s="34"/>
      <c r="AF755" s="34"/>
      <c r="AG755" s="34"/>
      <c r="AH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I755" s="34"/>
      <c r="BJ755" s="34"/>
      <c r="BK755" s="34"/>
      <c r="BL755" s="34"/>
      <c r="BM755" s="34"/>
      <c r="BN755" s="34"/>
      <c r="BO755" s="34"/>
      <c r="BP755" s="34"/>
      <c r="BY755" s="34"/>
      <c r="BZ755" s="34"/>
      <c r="CA755" s="34"/>
      <c r="CB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</row>
    <row r="756" ht="15.75" customHeight="1">
      <c r="B756" s="34"/>
      <c r="E756" s="34"/>
      <c r="F756" s="34"/>
      <c r="G756" s="34"/>
      <c r="H756" s="34"/>
      <c r="I756" s="34"/>
      <c r="J756" s="34"/>
      <c r="K756" s="34"/>
      <c r="L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AA756" s="34"/>
      <c r="AB756" s="34"/>
      <c r="AC756" s="34"/>
      <c r="AD756" s="34"/>
      <c r="AE756" s="34"/>
      <c r="AF756" s="34"/>
      <c r="AG756" s="34"/>
      <c r="AH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I756" s="34"/>
      <c r="BJ756" s="34"/>
      <c r="BK756" s="34"/>
      <c r="BL756" s="34"/>
      <c r="BM756" s="34"/>
      <c r="BN756" s="34"/>
      <c r="BO756" s="34"/>
      <c r="BP756" s="34"/>
      <c r="BY756" s="34"/>
      <c r="BZ756" s="34"/>
      <c r="CA756" s="34"/>
      <c r="CB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</row>
    <row r="757" ht="15.75" customHeight="1">
      <c r="B757" s="34"/>
      <c r="E757" s="34"/>
      <c r="F757" s="34"/>
      <c r="G757" s="34"/>
      <c r="H757" s="34"/>
      <c r="I757" s="34"/>
      <c r="J757" s="34"/>
      <c r="K757" s="34"/>
      <c r="L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AA757" s="34"/>
      <c r="AB757" s="34"/>
      <c r="AC757" s="34"/>
      <c r="AD757" s="34"/>
      <c r="AE757" s="34"/>
      <c r="AF757" s="34"/>
      <c r="AG757" s="34"/>
      <c r="AH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I757" s="34"/>
      <c r="BJ757" s="34"/>
      <c r="BK757" s="34"/>
      <c r="BL757" s="34"/>
      <c r="BM757" s="34"/>
      <c r="BN757" s="34"/>
      <c r="BO757" s="34"/>
      <c r="BP757" s="34"/>
      <c r="BY757" s="34"/>
      <c r="BZ757" s="34"/>
      <c r="CA757" s="34"/>
      <c r="CB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</row>
    <row r="758" ht="15.75" customHeight="1">
      <c r="B758" s="34"/>
      <c r="E758" s="34"/>
      <c r="F758" s="34"/>
      <c r="G758" s="34"/>
      <c r="H758" s="34"/>
      <c r="I758" s="34"/>
      <c r="J758" s="34"/>
      <c r="K758" s="34"/>
      <c r="L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AA758" s="34"/>
      <c r="AB758" s="34"/>
      <c r="AC758" s="34"/>
      <c r="AD758" s="34"/>
      <c r="AE758" s="34"/>
      <c r="AF758" s="34"/>
      <c r="AG758" s="34"/>
      <c r="AH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I758" s="34"/>
      <c r="BJ758" s="34"/>
      <c r="BK758" s="34"/>
      <c r="BL758" s="34"/>
      <c r="BM758" s="34"/>
      <c r="BN758" s="34"/>
      <c r="BO758" s="34"/>
      <c r="BP758" s="34"/>
      <c r="BY758" s="34"/>
      <c r="BZ758" s="34"/>
      <c r="CA758" s="34"/>
      <c r="CB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</row>
    <row r="759" ht="15.75" customHeight="1">
      <c r="B759" s="34"/>
      <c r="E759" s="34"/>
      <c r="F759" s="34"/>
      <c r="G759" s="34"/>
      <c r="H759" s="34"/>
      <c r="I759" s="34"/>
      <c r="J759" s="34"/>
      <c r="K759" s="34"/>
      <c r="L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AA759" s="34"/>
      <c r="AB759" s="34"/>
      <c r="AC759" s="34"/>
      <c r="AD759" s="34"/>
      <c r="AE759" s="34"/>
      <c r="AF759" s="34"/>
      <c r="AG759" s="34"/>
      <c r="AH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I759" s="34"/>
      <c r="BJ759" s="34"/>
      <c r="BK759" s="34"/>
      <c r="BL759" s="34"/>
      <c r="BM759" s="34"/>
      <c r="BN759" s="34"/>
      <c r="BO759" s="34"/>
      <c r="BP759" s="34"/>
      <c r="BY759" s="34"/>
      <c r="BZ759" s="34"/>
      <c r="CA759" s="34"/>
      <c r="CB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</row>
    <row r="760" ht="15.75" customHeight="1">
      <c r="B760" s="34"/>
      <c r="E760" s="34"/>
      <c r="F760" s="34"/>
      <c r="G760" s="34"/>
      <c r="H760" s="34"/>
      <c r="I760" s="34"/>
      <c r="J760" s="34"/>
      <c r="K760" s="34"/>
      <c r="L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AA760" s="34"/>
      <c r="AB760" s="34"/>
      <c r="AC760" s="34"/>
      <c r="AD760" s="34"/>
      <c r="AE760" s="34"/>
      <c r="AF760" s="34"/>
      <c r="AG760" s="34"/>
      <c r="AH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I760" s="34"/>
      <c r="BJ760" s="34"/>
      <c r="BK760" s="34"/>
      <c r="BL760" s="34"/>
      <c r="BM760" s="34"/>
      <c r="BN760" s="34"/>
      <c r="BO760" s="34"/>
      <c r="BP760" s="34"/>
      <c r="BY760" s="34"/>
      <c r="BZ760" s="34"/>
      <c r="CA760" s="34"/>
      <c r="CB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</row>
    <row r="761" ht="15.75" customHeight="1">
      <c r="B761" s="34"/>
      <c r="E761" s="34"/>
      <c r="F761" s="34"/>
      <c r="G761" s="34"/>
      <c r="H761" s="34"/>
      <c r="I761" s="34"/>
      <c r="J761" s="34"/>
      <c r="K761" s="34"/>
      <c r="L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AA761" s="34"/>
      <c r="AB761" s="34"/>
      <c r="AC761" s="34"/>
      <c r="AD761" s="34"/>
      <c r="AE761" s="34"/>
      <c r="AF761" s="34"/>
      <c r="AG761" s="34"/>
      <c r="AH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I761" s="34"/>
      <c r="BJ761" s="34"/>
      <c r="BK761" s="34"/>
      <c r="BL761" s="34"/>
      <c r="BM761" s="34"/>
      <c r="BN761" s="34"/>
      <c r="BO761" s="34"/>
      <c r="BP761" s="34"/>
      <c r="BY761" s="34"/>
      <c r="BZ761" s="34"/>
      <c r="CA761" s="34"/>
      <c r="CB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</row>
    <row r="762" ht="15.75" customHeight="1">
      <c r="B762" s="34"/>
      <c r="E762" s="34"/>
      <c r="F762" s="34"/>
      <c r="G762" s="34"/>
      <c r="H762" s="34"/>
      <c r="I762" s="34"/>
      <c r="J762" s="34"/>
      <c r="K762" s="34"/>
      <c r="L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AA762" s="34"/>
      <c r="AB762" s="34"/>
      <c r="AC762" s="34"/>
      <c r="AD762" s="34"/>
      <c r="AE762" s="34"/>
      <c r="AF762" s="34"/>
      <c r="AG762" s="34"/>
      <c r="AH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I762" s="34"/>
      <c r="BJ762" s="34"/>
      <c r="BK762" s="34"/>
      <c r="BL762" s="34"/>
      <c r="BM762" s="34"/>
      <c r="BN762" s="34"/>
      <c r="BO762" s="34"/>
      <c r="BP762" s="34"/>
      <c r="BY762" s="34"/>
      <c r="BZ762" s="34"/>
      <c r="CA762" s="34"/>
      <c r="CB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</row>
    <row r="763" ht="15.75" customHeight="1">
      <c r="B763" s="34"/>
      <c r="E763" s="34"/>
      <c r="F763" s="34"/>
      <c r="G763" s="34"/>
      <c r="H763" s="34"/>
      <c r="I763" s="34"/>
      <c r="J763" s="34"/>
      <c r="K763" s="34"/>
      <c r="L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AA763" s="34"/>
      <c r="AB763" s="34"/>
      <c r="AC763" s="34"/>
      <c r="AD763" s="34"/>
      <c r="AE763" s="34"/>
      <c r="AF763" s="34"/>
      <c r="AG763" s="34"/>
      <c r="AH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I763" s="34"/>
      <c r="BJ763" s="34"/>
      <c r="BK763" s="34"/>
      <c r="BL763" s="34"/>
      <c r="BM763" s="34"/>
      <c r="BN763" s="34"/>
      <c r="BO763" s="34"/>
      <c r="BP763" s="34"/>
      <c r="BY763" s="34"/>
      <c r="BZ763" s="34"/>
      <c r="CA763" s="34"/>
      <c r="CB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</row>
    <row r="764" ht="15.75" customHeight="1">
      <c r="B764" s="34"/>
      <c r="E764" s="34"/>
      <c r="F764" s="34"/>
      <c r="G764" s="34"/>
      <c r="H764" s="34"/>
      <c r="I764" s="34"/>
      <c r="J764" s="34"/>
      <c r="K764" s="34"/>
      <c r="L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AA764" s="34"/>
      <c r="AB764" s="34"/>
      <c r="AC764" s="34"/>
      <c r="AD764" s="34"/>
      <c r="AE764" s="34"/>
      <c r="AF764" s="34"/>
      <c r="AG764" s="34"/>
      <c r="AH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I764" s="34"/>
      <c r="BJ764" s="34"/>
      <c r="BK764" s="34"/>
      <c r="BL764" s="34"/>
      <c r="BM764" s="34"/>
      <c r="BN764" s="34"/>
      <c r="BO764" s="34"/>
      <c r="BP764" s="34"/>
      <c r="BY764" s="34"/>
      <c r="BZ764" s="34"/>
      <c r="CA764" s="34"/>
      <c r="CB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</row>
    <row r="765" ht="15.75" customHeight="1">
      <c r="B765" s="34"/>
      <c r="E765" s="34"/>
      <c r="F765" s="34"/>
      <c r="G765" s="34"/>
      <c r="H765" s="34"/>
      <c r="I765" s="34"/>
      <c r="J765" s="34"/>
      <c r="K765" s="34"/>
      <c r="L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AA765" s="34"/>
      <c r="AB765" s="34"/>
      <c r="AC765" s="34"/>
      <c r="AD765" s="34"/>
      <c r="AE765" s="34"/>
      <c r="AF765" s="34"/>
      <c r="AG765" s="34"/>
      <c r="AH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I765" s="34"/>
      <c r="BJ765" s="34"/>
      <c r="BK765" s="34"/>
      <c r="BL765" s="34"/>
      <c r="BM765" s="34"/>
      <c r="BN765" s="34"/>
      <c r="BO765" s="34"/>
      <c r="BP765" s="34"/>
      <c r="BY765" s="34"/>
      <c r="BZ765" s="34"/>
      <c r="CA765" s="34"/>
      <c r="CB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</row>
    <row r="766" ht="15.75" customHeight="1">
      <c r="B766" s="34"/>
      <c r="E766" s="34"/>
      <c r="F766" s="34"/>
      <c r="G766" s="34"/>
      <c r="H766" s="34"/>
      <c r="I766" s="34"/>
      <c r="J766" s="34"/>
      <c r="K766" s="34"/>
      <c r="L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AA766" s="34"/>
      <c r="AB766" s="34"/>
      <c r="AC766" s="34"/>
      <c r="AD766" s="34"/>
      <c r="AE766" s="34"/>
      <c r="AF766" s="34"/>
      <c r="AG766" s="34"/>
      <c r="AH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I766" s="34"/>
      <c r="BJ766" s="34"/>
      <c r="BK766" s="34"/>
      <c r="BL766" s="34"/>
      <c r="BM766" s="34"/>
      <c r="BN766" s="34"/>
      <c r="BO766" s="34"/>
      <c r="BP766" s="34"/>
      <c r="BY766" s="34"/>
      <c r="BZ766" s="34"/>
      <c r="CA766" s="34"/>
      <c r="CB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</row>
    <row r="767" ht="15.75" customHeight="1">
      <c r="B767" s="34"/>
      <c r="E767" s="34"/>
      <c r="F767" s="34"/>
      <c r="G767" s="34"/>
      <c r="H767" s="34"/>
      <c r="I767" s="34"/>
      <c r="J767" s="34"/>
      <c r="K767" s="34"/>
      <c r="L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AA767" s="34"/>
      <c r="AB767" s="34"/>
      <c r="AC767" s="34"/>
      <c r="AD767" s="34"/>
      <c r="AE767" s="34"/>
      <c r="AF767" s="34"/>
      <c r="AG767" s="34"/>
      <c r="AH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I767" s="34"/>
      <c r="BJ767" s="34"/>
      <c r="BK767" s="34"/>
      <c r="BL767" s="34"/>
      <c r="BM767" s="34"/>
      <c r="BN767" s="34"/>
      <c r="BO767" s="34"/>
      <c r="BP767" s="34"/>
      <c r="BY767" s="34"/>
      <c r="BZ767" s="34"/>
      <c r="CA767" s="34"/>
      <c r="CB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</row>
    <row r="768" ht="15.75" customHeight="1">
      <c r="B768" s="34"/>
      <c r="E768" s="34"/>
      <c r="F768" s="34"/>
      <c r="G768" s="34"/>
      <c r="H768" s="34"/>
      <c r="I768" s="34"/>
      <c r="J768" s="34"/>
      <c r="K768" s="34"/>
      <c r="L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AA768" s="34"/>
      <c r="AB768" s="34"/>
      <c r="AC768" s="34"/>
      <c r="AD768" s="34"/>
      <c r="AE768" s="34"/>
      <c r="AF768" s="34"/>
      <c r="AG768" s="34"/>
      <c r="AH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I768" s="34"/>
      <c r="BJ768" s="34"/>
      <c r="BK768" s="34"/>
      <c r="BL768" s="34"/>
      <c r="BM768" s="34"/>
      <c r="BN768" s="34"/>
      <c r="BO768" s="34"/>
      <c r="BP768" s="34"/>
      <c r="BY768" s="34"/>
      <c r="BZ768" s="34"/>
      <c r="CA768" s="34"/>
      <c r="CB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</row>
    <row r="769" ht="15.75" customHeight="1">
      <c r="B769" s="34"/>
      <c r="E769" s="34"/>
      <c r="F769" s="34"/>
      <c r="G769" s="34"/>
      <c r="H769" s="34"/>
      <c r="I769" s="34"/>
      <c r="J769" s="34"/>
      <c r="K769" s="34"/>
      <c r="L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AA769" s="34"/>
      <c r="AB769" s="34"/>
      <c r="AC769" s="34"/>
      <c r="AD769" s="34"/>
      <c r="AE769" s="34"/>
      <c r="AF769" s="34"/>
      <c r="AG769" s="34"/>
      <c r="AH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I769" s="34"/>
      <c r="BJ769" s="34"/>
      <c r="BK769" s="34"/>
      <c r="BL769" s="34"/>
      <c r="BM769" s="34"/>
      <c r="BN769" s="34"/>
      <c r="BO769" s="34"/>
      <c r="BP769" s="34"/>
      <c r="BY769" s="34"/>
      <c r="BZ769" s="34"/>
      <c r="CA769" s="34"/>
      <c r="CB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</row>
    <row r="770" ht="15.75" customHeight="1">
      <c r="B770" s="34"/>
      <c r="E770" s="34"/>
      <c r="F770" s="34"/>
      <c r="G770" s="34"/>
      <c r="H770" s="34"/>
      <c r="I770" s="34"/>
      <c r="J770" s="34"/>
      <c r="K770" s="34"/>
      <c r="L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AA770" s="34"/>
      <c r="AB770" s="34"/>
      <c r="AC770" s="34"/>
      <c r="AD770" s="34"/>
      <c r="AE770" s="34"/>
      <c r="AF770" s="34"/>
      <c r="AG770" s="34"/>
      <c r="AH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I770" s="34"/>
      <c r="BJ770" s="34"/>
      <c r="BK770" s="34"/>
      <c r="BL770" s="34"/>
      <c r="BM770" s="34"/>
      <c r="BN770" s="34"/>
      <c r="BO770" s="34"/>
      <c r="BP770" s="34"/>
      <c r="BY770" s="34"/>
      <c r="BZ770" s="34"/>
      <c r="CA770" s="34"/>
      <c r="CB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</row>
    <row r="771" ht="15.75" customHeight="1">
      <c r="B771" s="34"/>
      <c r="E771" s="34"/>
      <c r="F771" s="34"/>
      <c r="G771" s="34"/>
      <c r="H771" s="34"/>
      <c r="I771" s="34"/>
      <c r="J771" s="34"/>
      <c r="K771" s="34"/>
      <c r="L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AA771" s="34"/>
      <c r="AB771" s="34"/>
      <c r="AC771" s="34"/>
      <c r="AD771" s="34"/>
      <c r="AE771" s="34"/>
      <c r="AF771" s="34"/>
      <c r="AG771" s="34"/>
      <c r="AH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I771" s="34"/>
      <c r="BJ771" s="34"/>
      <c r="BK771" s="34"/>
      <c r="BL771" s="34"/>
      <c r="BM771" s="34"/>
      <c r="BN771" s="34"/>
      <c r="BO771" s="34"/>
      <c r="BP771" s="34"/>
      <c r="BY771" s="34"/>
      <c r="BZ771" s="34"/>
      <c r="CA771" s="34"/>
      <c r="CB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</row>
    <row r="772" ht="15.75" customHeight="1">
      <c r="B772" s="34"/>
      <c r="E772" s="34"/>
      <c r="F772" s="34"/>
      <c r="G772" s="34"/>
      <c r="H772" s="34"/>
      <c r="I772" s="34"/>
      <c r="J772" s="34"/>
      <c r="K772" s="34"/>
      <c r="L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AA772" s="34"/>
      <c r="AB772" s="34"/>
      <c r="AC772" s="34"/>
      <c r="AD772" s="34"/>
      <c r="AE772" s="34"/>
      <c r="AF772" s="34"/>
      <c r="AG772" s="34"/>
      <c r="AH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I772" s="34"/>
      <c r="BJ772" s="34"/>
      <c r="BK772" s="34"/>
      <c r="BL772" s="34"/>
      <c r="BM772" s="34"/>
      <c r="BN772" s="34"/>
      <c r="BO772" s="34"/>
      <c r="BP772" s="34"/>
      <c r="BY772" s="34"/>
      <c r="BZ772" s="34"/>
      <c r="CA772" s="34"/>
      <c r="CB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</row>
    <row r="773" ht="15.75" customHeight="1">
      <c r="B773" s="34"/>
      <c r="E773" s="34"/>
      <c r="F773" s="34"/>
      <c r="G773" s="34"/>
      <c r="H773" s="34"/>
      <c r="I773" s="34"/>
      <c r="J773" s="34"/>
      <c r="K773" s="34"/>
      <c r="L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AA773" s="34"/>
      <c r="AB773" s="34"/>
      <c r="AC773" s="34"/>
      <c r="AD773" s="34"/>
      <c r="AE773" s="34"/>
      <c r="AF773" s="34"/>
      <c r="AG773" s="34"/>
      <c r="AH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I773" s="34"/>
      <c r="BJ773" s="34"/>
      <c r="BK773" s="34"/>
      <c r="BL773" s="34"/>
      <c r="BM773" s="34"/>
      <c r="BN773" s="34"/>
      <c r="BO773" s="34"/>
      <c r="BP773" s="34"/>
      <c r="BY773" s="34"/>
      <c r="BZ773" s="34"/>
      <c r="CA773" s="34"/>
      <c r="CB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</row>
    <row r="774" ht="15.75" customHeight="1">
      <c r="B774" s="34"/>
      <c r="E774" s="34"/>
      <c r="F774" s="34"/>
      <c r="G774" s="34"/>
      <c r="H774" s="34"/>
      <c r="I774" s="34"/>
      <c r="J774" s="34"/>
      <c r="K774" s="34"/>
      <c r="L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AA774" s="34"/>
      <c r="AB774" s="34"/>
      <c r="AC774" s="34"/>
      <c r="AD774" s="34"/>
      <c r="AE774" s="34"/>
      <c r="AF774" s="34"/>
      <c r="AG774" s="34"/>
      <c r="AH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I774" s="34"/>
      <c r="BJ774" s="34"/>
      <c r="BK774" s="34"/>
      <c r="BL774" s="34"/>
      <c r="BM774" s="34"/>
      <c r="BN774" s="34"/>
      <c r="BO774" s="34"/>
      <c r="BP774" s="34"/>
      <c r="BY774" s="34"/>
      <c r="BZ774" s="34"/>
      <c r="CA774" s="34"/>
      <c r="CB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</row>
    <row r="775" ht="15.75" customHeight="1">
      <c r="B775" s="34"/>
      <c r="E775" s="34"/>
      <c r="F775" s="34"/>
      <c r="G775" s="34"/>
      <c r="H775" s="34"/>
      <c r="I775" s="34"/>
      <c r="J775" s="34"/>
      <c r="K775" s="34"/>
      <c r="L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AA775" s="34"/>
      <c r="AB775" s="34"/>
      <c r="AC775" s="34"/>
      <c r="AD775" s="34"/>
      <c r="AE775" s="34"/>
      <c r="AF775" s="34"/>
      <c r="AG775" s="34"/>
      <c r="AH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I775" s="34"/>
      <c r="BJ775" s="34"/>
      <c r="BK775" s="34"/>
      <c r="BL775" s="34"/>
      <c r="BM775" s="34"/>
      <c r="BN775" s="34"/>
      <c r="BO775" s="34"/>
      <c r="BP775" s="34"/>
      <c r="BY775" s="34"/>
      <c r="BZ775" s="34"/>
      <c r="CA775" s="34"/>
      <c r="CB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</row>
    <row r="776" ht="15.75" customHeight="1">
      <c r="B776" s="34"/>
      <c r="E776" s="34"/>
      <c r="F776" s="34"/>
      <c r="G776" s="34"/>
      <c r="H776" s="34"/>
      <c r="I776" s="34"/>
      <c r="J776" s="34"/>
      <c r="K776" s="34"/>
      <c r="L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AA776" s="34"/>
      <c r="AB776" s="34"/>
      <c r="AC776" s="34"/>
      <c r="AD776" s="34"/>
      <c r="AE776" s="34"/>
      <c r="AF776" s="34"/>
      <c r="AG776" s="34"/>
      <c r="AH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I776" s="34"/>
      <c r="BJ776" s="34"/>
      <c r="BK776" s="34"/>
      <c r="BL776" s="34"/>
      <c r="BM776" s="34"/>
      <c r="BN776" s="34"/>
      <c r="BO776" s="34"/>
      <c r="BP776" s="34"/>
      <c r="BY776" s="34"/>
      <c r="BZ776" s="34"/>
      <c r="CA776" s="34"/>
      <c r="CB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</row>
    <row r="777" ht="15.75" customHeight="1">
      <c r="B777" s="34"/>
      <c r="E777" s="34"/>
      <c r="F777" s="34"/>
      <c r="G777" s="34"/>
      <c r="H777" s="34"/>
      <c r="I777" s="34"/>
      <c r="J777" s="34"/>
      <c r="K777" s="34"/>
      <c r="L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AA777" s="34"/>
      <c r="AB777" s="34"/>
      <c r="AC777" s="34"/>
      <c r="AD777" s="34"/>
      <c r="AE777" s="34"/>
      <c r="AF777" s="34"/>
      <c r="AG777" s="34"/>
      <c r="AH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I777" s="34"/>
      <c r="BJ777" s="34"/>
      <c r="BK777" s="34"/>
      <c r="BL777" s="34"/>
      <c r="BM777" s="34"/>
      <c r="BN777" s="34"/>
      <c r="BO777" s="34"/>
      <c r="BP777" s="34"/>
      <c r="BY777" s="34"/>
      <c r="BZ777" s="34"/>
      <c r="CA777" s="34"/>
      <c r="CB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</row>
    <row r="778" ht="15.75" customHeight="1">
      <c r="B778" s="34"/>
      <c r="E778" s="34"/>
      <c r="F778" s="34"/>
      <c r="G778" s="34"/>
      <c r="H778" s="34"/>
      <c r="I778" s="34"/>
      <c r="J778" s="34"/>
      <c r="K778" s="34"/>
      <c r="L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AA778" s="34"/>
      <c r="AB778" s="34"/>
      <c r="AC778" s="34"/>
      <c r="AD778" s="34"/>
      <c r="AE778" s="34"/>
      <c r="AF778" s="34"/>
      <c r="AG778" s="34"/>
      <c r="AH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I778" s="34"/>
      <c r="BJ778" s="34"/>
      <c r="BK778" s="34"/>
      <c r="BL778" s="34"/>
      <c r="BM778" s="34"/>
      <c r="BN778" s="34"/>
      <c r="BO778" s="34"/>
      <c r="BP778" s="34"/>
      <c r="BY778" s="34"/>
      <c r="BZ778" s="34"/>
      <c r="CA778" s="34"/>
      <c r="CB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</row>
    <row r="779" ht="15.75" customHeight="1">
      <c r="B779" s="34"/>
      <c r="E779" s="34"/>
      <c r="F779" s="34"/>
      <c r="G779" s="34"/>
      <c r="H779" s="34"/>
      <c r="I779" s="34"/>
      <c r="J779" s="34"/>
      <c r="K779" s="34"/>
      <c r="L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AA779" s="34"/>
      <c r="AB779" s="34"/>
      <c r="AC779" s="34"/>
      <c r="AD779" s="34"/>
      <c r="AE779" s="34"/>
      <c r="AF779" s="34"/>
      <c r="AG779" s="34"/>
      <c r="AH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I779" s="34"/>
      <c r="BJ779" s="34"/>
      <c r="BK779" s="34"/>
      <c r="BL779" s="34"/>
      <c r="BM779" s="34"/>
      <c r="BN779" s="34"/>
      <c r="BO779" s="34"/>
      <c r="BP779" s="34"/>
      <c r="BY779" s="34"/>
      <c r="BZ779" s="34"/>
      <c r="CA779" s="34"/>
      <c r="CB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</row>
    <row r="780" ht="15.75" customHeight="1">
      <c r="B780" s="34"/>
      <c r="E780" s="34"/>
      <c r="F780" s="34"/>
      <c r="G780" s="34"/>
      <c r="H780" s="34"/>
      <c r="I780" s="34"/>
      <c r="J780" s="34"/>
      <c r="K780" s="34"/>
      <c r="L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AA780" s="34"/>
      <c r="AB780" s="34"/>
      <c r="AC780" s="34"/>
      <c r="AD780" s="34"/>
      <c r="AE780" s="34"/>
      <c r="AF780" s="34"/>
      <c r="AG780" s="34"/>
      <c r="AH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I780" s="34"/>
      <c r="BJ780" s="34"/>
      <c r="BK780" s="34"/>
      <c r="BL780" s="34"/>
      <c r="BM780" s="34"/>
      <c r="BN780" s="34"/>
      <c r="BO780" s="34"/>
      <c r="BP780" s="34"/>
      <c r="BY780" s="34"/>
      <c r="BZ780" s="34"/>
      <c r="CA780" s="34"/>
      <c r="CB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</row>
    <row r="781" ht="15.75" customHeight="1">
      <c r="B781" s="34"/>
      <c r="E781" s="34"/>
      <c r="F781" s="34"/>
      <c r="G781" s="34"/>
      <c r="H781" s="34"/>
      <c r="I781" s="34"/>
      <c r="J781" s="34"/>
      <c r="K781" s="34"/>
      <c r="L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AA781" s="34"/>
      <c r="AB781" s="34"/>
      <c r="AC781" s="34"/>
      <c r="AD781" s="34"/>
      <c r="AE781" s="34"/>
      <c r="AF781" s="34"/>
      <c r="AG781" s="34"/>
      <c r="AH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I781" s="34"/>
      <c r="BJ781" s="34"/>
      <c r="BK781" s="34"/>
      <c r="BL781" s="34"/>
      <c r="BM781" s="34"/>
      <c r="BN781" s="34"/>
      <c r="BO781" s="34"/>
      <c r="BP781" s="34"/>
      <c r="BY781" s="34"/>
      <c r="BZ781" s="34"/>
      <c r="CA781" s="34"/>
      <c r="CB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</row>
    <row r="782" ht="15.75" customHeight="1">
      <c r="B782" s="34"/>
      <c r="E782" s="34"/>
      <c r="F782" s="34"/>
      <c r="G782" s="34"/>
      <c r="H782" s="34"/>
      <c r="I782" s="34"/>
      <c r="J782" s="34"/>
      <c r="K782" s="34"/>
      <c r="L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AA782" s="34"/>
      <c r="AB782" s="34"/>
      <c r="AC782" s="34"/>
      <c r="AD782" s="34"/>
      <c r="AE782" s="34"/>
      <c r="AF782" s="34"/>
      <c r="AG782" s="34"/>
      <c r="AH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I782" s="34"/>
      <c r="BJ782" s="34"/>
      <c r="BK782" s="34"/>
      <c r="BL782" s="34"/>
      <c r="BM782" s="34"/>
      <c r="BN782" s="34"/>
      <c r="BO782" s="34"/>
      <c r="BP782" s="34"/>
      <c r="BY782" s="34"/>
      <c r="BZ782" s="34"/>
      <c r="CA782" s="34"/>
      <c r="CB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</row>
    <row r="783" ht="15.75" customHeight="1">
      <c r="B783" s="34"/>
      <c r="E783" s="34"/>
      <c r="F783" s="34"/>
      <c r="G783" s="34"/>
      <c r="H783" s="34"/>
      <c r="I783" s="34"/>
      <c r="J783" s="34"/>
      <c r="K783" s="34"/>
      <c r="L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AA783" s="34"/>
      <c r="AB783" s="34"/>
      <c r="AC783" s="34"/>
      <c r="AD783" s="34"/>
      <c r="AE783" s="34"/>
      <c r="AF783" s="34"/>
      <c r="AG783" s="34"/>
      <c r="AH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I783" s="34"/>
      <c r="BJ783" s="34"/>
      <c r="BK783" s="34"/>
      <c r="BL783" s="34"/>
      <c r="BM783" s="34"/>
      <c r="BN783" s="34"/>
      <c r="BO783" s="34"/>
      <c r="BP783" s="34"/>
      <c r="BY783" s="34"/>
      <c r="BZ783" s="34"/>
      <c r="CA783" s="34"/>
      <c r="CB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</row>
    <row r="784" ht="15.75" customHeight="1">
      <c r="B784" s="34"/>
      <c r="E784" s="34"/>
      <c r="F784" s="34"/>
      <c r="G784" s="34"/>
      <c r="H784" s="34"/>
      <c r="I784" s="34"/>
      <c r="J784" s="34"/>
      <c r="K784" s="34"/>
      <c r="L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AA784" s="34"/>
      <c r="AB784" s="34"/>
      <c r="AC784" s="34"/>
      <c r="AD784" s="34"/>
      <c r="AE784" s="34"/>
      <c r="AF784" s="34"/>
      <c r="AG784" s="34"/>
      <c r="AH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I784" s="34"/>
      <c r="BJ784" s="34"/>
      <c r="BK784" s="34"/>
      <c r="BL784" s="34"/>
      <c r="BM784" s="34"/>
      <c r="BN784" s="34"/>
      <c r="BO784" s="34"/>
      <c r="BP784" s="34"/>
      <c r="BY784" s="34"/>
      <c r="BZ784" s="34"/>
      <c r="CA784" s="34"/>
      <c r="CB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</row>
    <row r="785" ht="15.75" customHeight="1">
      <c r="B785" s="34"/>
      <c r="E785" s="34"/>
      <c r="F785" s="34"/>
      <c r="G785" s="34"/>
      <c r="H785" s="34"/>
      <c r="I785" s="34"/>
      <c r="J785" s="34"/>
      <c r="K785" s="34"/>
      <c r="L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AA785" s="34"/>
      <c r="AB785" s="34"/>
      <c r="AC785" s="34"/>
      <c r="AD785" s="34"/>
      <c r="AE785" s="34"/>
      <c r="AF785" s="34"/>
      <c r="AG785" s="34"/>
      <c r="AH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I785" s="34"/>
      <c r="BJ785" s="34"/>
      <c r="BK785" s="34"/>
      <c r="BL785" s="34"/>
      <c r="BM785" s="34"/>
      <c r="BN785" s="34"/>
      <c r="BO785" s="34"/>
      <c r="BP785" s="34"/>
      <c r="BY785" s="34"/>
      <c r="BZ785" s="34"/>
      <c r="CA785" s="34"/>
      <c r="CB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</row>
    <row r="786" ht="15.75" customHeight="1">
      <c r="B786" s="34"/>
      <c r="E786" s="34"/>
      <c r="F786" s="34"/>
      <c r="G786" s="34"/>
      <c r="H786" s="34"/>
      <c r="I786" s="34"/>
      <c r="J786" s="34"/>
      <c r="K786" s="34"/>
      <c r="L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AA786" s="34"/>
      <c r="AB786" s="34"/>
      <c r="AC786" s="34"/>
      <c r="AD786" s="34"/>
      <c r="AE786" s="34"/>
      <c r="AF786" s="34"/>
      <c r="AG786" s="34"/>
      <c r="AH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I786" s="34"/>
      <c r="BJ786" s="34"/>
      <c r="BK786" s="34"/>
      <c r="BL786" s="34"/>
      <c r="BM786" s="34"/>
      <c r="BN786" s="34"/>
      <c r="BO786" s="34"/>
      <c r="BP786" s="34"/>
      <c r="BY786" s="34"/>
      <c r="BZ786" s="34"/>
      <c r="CA786" s="34"/>
      <c r="CB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</row>
    <row r="787" ht="15.75" customHeight="1">
      <c r="B787" s="34"/>
      <c r="E787" s="34"/>
      <c r="F787" s="34"/>
      <c r="G787" s="34"/>
      <c r="H787" s="34"/>
      <c r="I787" s="34"/>
      <c r="J787" s="34"/>
      <c r="K787" s="34"/>
      <c r="L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AA787" s="34"/>
      <c r="AB787" s="34"/>
      <c r="AC787" s="34"/>
      <c r="AD787" s="34"/>
      <c r="AE787" s="34"/>
      <c r="AF787" s="34"/>
      <c r="AG787" s="34"/>
      <c r="AH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I787" s="34"/>
      <c r="BJ787" s="34"/>
      <c r="BK787" s="34"/>
      <c r="BL787" s="34"/>
      <c r="BM787" s="34"/>
      <c r="BN787" s="34"/>
      <c r="BO787" s="34"/>
      <c r="BP787" s="34"/>
      <c r="BY787" s="34"/>
      <c r="BZ787" s="34"/>
      <c r="CA787" s="34"/>
      <c r="CB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</row>
    <row r="788" ht="15.75" customHeight="1">
      <c r="B788" s="34"/>
      <c r="E788" s="34"/>
      <c r="F788" s="34"/>
      <c r="G788" s="34"/>
      <c r="H788" s="34"/>
      <c r="I788" s="34"/>
      <c r="J788" s="34"/>
      <c r="K788" s="34"/>
      <c r="L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AA788" s="34"/>
      <c r="AB788" s="34"/>
      <c r="AC788" s="34"/>
      <c r="AD788" s="34"/>
      <c r="AE788" s="34"/>
      <c r="AF788" s="34"/>
      <c r="AG788" s="34"/>
      <c r="AH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I788" s="34"/>
      <c r="BJ788" s="34"/>
      <c r="BK788" s="34"/>
      <c r="BL788" s="34"/>
      <c r="BM788" s="34"/>
      <c r="BN788" s="34"/>
      <c r="BO788" s="34"/>
      <c r="BP788" s="34"/>
      <c r="BY788" s="34"/>
      <c r="BZ788" s="34"/>
      <c r="CA788" s="34"/>
      <c r="CB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</row>
    <row r="789" ht="15.75" customHeight="1">
      <c r="B789" s="34"/>
      <c r="E789" s="34"/>
      <c r="F789" s="34"/>
      <c r="G789" s="34"/>
      <c r="H789" s="34"/>
      <c r="I789" s="34"/>
      <c r="J789" s="34"/>
      <c r="K789" s="34"/>
      <c r="L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AA789" s="34"/>
      <c r="AB789" s="34"/>
      <c r="AC789" s="34"/>
      <c r="AD789" s="34"/>
      <c r="AE789" s="34"/>
      <c r="AF789" s="34"/>
      <c r="AG789" s="34"/>
      <c r="AH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I789" s="34"/>
      <c r="BJ789" s="34"/>
      <c r="BK789" s="34"/>
      <c r="BL789" s="34"/>
      <c r="BM789" s="34"/>
      <c r="BN789" s="34"/>
      <c r="BO789" s="34"/>
      <c r="BP789" s="34"/>
      <c r="BY789" s="34"/>
      <c r="BZ789" s="34"/>
      <c r="CA789" s="34"/>
      <c r="CB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</row>
    <row r="790" ht="15.75" customHeight="1">
      <c r="B790" s="34"/>
      <c r="E790" s="34"/>
      <c r="F790" s="34"/>
      <c r="G790" s="34"/>
      <c r="H790" s="34"/>
      <c r="I790" s="34"/>
      <c r="J790" s="34"/>
      <c r="K790" s="34"/>
      <c r="L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AA790" s="34"/>
      <c r="AB790" s="34"/>
      <c r="AC790" s="34"/>
      <c r="AD790" s="34"/>
      <c r="AE790" s="34"/>
      <c r="AF790" s="34"/>
      <c r="AG790" s="34"/>
      <c r="AH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I790" s="34"/>
      <c r="BJ790" s="34"/>
      <c r="BK790" s="34"/>
      <c r="BL790" s="34"/>
      <c r="BM790" s="34"/>
      <c r="BN790" s="34"/>
      <c r="BO790" s="34"/>
      <c r="BP790" s="34"/>
      <c r="BY790" s="34"/>
      <c r="BZ790" s="34"/>
      <c r="CA790" s="34"/>
      <c r="CB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</row>
    <row r="791" ht="15.75" customHeight="1">
      <c r="B791" s="34"/>
      <c r="E791" s="34"/>
      <c r="F791" s="34"/>
      <c r="G791" s="34"/>
      <c r="H791" s="34"/>
      <c r="I791" s="34"/>
      <c r="J791" s="34"/>
      <c r="K791" s="34"/>
      <c r="L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AA791" s="34"/>
      <c r="AB791" s="34"/>
      <c r="AC791" s="34"/>
      <c r="AD791" s="34"/>
      <c r="AE791" s="34"/>
      <c r="AF791" s="34"/>
      <c r="AG791" s="34"/>
      <c r="AH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I791" s="34"/>
      <c r="BJ791" s="34"/>
      <c r="BK791" s="34"/>
      <c r="BL791" s="34"/>
      <c r="BM791" s="34"/>
      <c r="BN791" s="34"/>
      <c r="BO791" s="34"/>
      <c r="BP791" s="34"/>
      <c r="BY791" s="34"/>
      <c r="BZ791" s="34"/>
      <c r="CA791" s="34"/>
      <c r="CB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</row>
    <row r="792" ht="15.75" customHeight="1">
      <c r="B792" s="34"/>
      <c r="E792" s="34"/>
      <c r="F792" s="34"/>
      <c r="G792" s="34"/>
      <c r="H792" s="34"/>
      <c r="I792" s="34"/>
      <c r="J792" s="34"/>
      <c r="K792" s="34"/>
      <c r="L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AA792" s="34"/>
      <c r="AB792" s="34"/>
      <c r="AC792" s="34"/>
      <c r="AD792" s="34"/>
      <c r="AE792" s="34"/>
      <c r="AF792" s="34"/>
      <c r="AG792" s="34"/>
      <c r="AH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I792" s="34"/>
      <c r="BJ792" s="34"/>
      <c r="BK792" s="34"/>
      <c r="BL792" s="34"/>
      <c r="BM792" s="34"/>
      <c r="BN792" s="34"/>
      <c r="BO792" s="34"/>
      <c r="BP792" s="34"/>
      <c r="BY792" s="34"/>
      <c r="BZ792" s="34"/>
      <c r="CA792" s="34"/>
      <c r="CB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</row>
    <row r="793" ht="15.75" customHeight="1">
      <c r="B793" s="34"/>
      <c r="E793" s="34"/>
      <c r="F793" s="34"/>
      <c r="G793" s="34"/>
      <c r="H793" s="34"/>
      <c r="I793" s="34"/>
      <c r="J793" s="34"/>
      <c r="K793" s="34"/>
      <c r="L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AA793" s="34"/>
      <c r="AB793" s="34"/>
      <c r="AC793" s="34"/>
      <c r="AD793" s="34"/>
      <c r="AE793" s="34"/>
      <c r="AF793" s="34"/>
      <c r="AG793" s="34"/>
      <c r="AH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I793" s="34"/>
      <c r="BJ793" s="34"/>
      <c r="BK793" s="34"/>
      <c r="BL793" s="34"/>
      <c r="BM793" s="34"/>
      <c r="BN793" s="34"/>
      <c r="BO793" s="34"/>
      <c r="BP793" s="34"/>
      <c r="BY793" s="34"/>
      <c r="BZ793" s="34"/>
      <c r="CA793" s="34"/>
      <c r="CB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</row>
    <row r="794" ht="15.75" customHeight="1">
      <c r="B794" s="34"/>
      <c r="E794" s="34"/>
      <c r="F794" s="34"/>
      <c r="G794" s="34"/>
      <c r="H794" s="34"/>
      <c r="I794" s="34"/>
      <c r="J794" s="34"/>
      <c r="K794" s="34"/>
      <c r="L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AA794" s="34"/>
      <c r="AB794" s="34"/>
      <c r="AC794" s="34"/>
      <c r="AD794" s="34"/>
      <c r="AE794" s="34"/>
      <c r="AF794" s="34"/>
      <c r="AG794" s="34"/>
      <c r="AH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I794" s="34"/>
      <c r="BJ794" s="34"/>
      <c r="BK794" s="34"/>
      <c r="BL794" s="34"/>
      <c r="BM794" s="34"/>
      <c r="BN794" s="34"/>
      <c r="BO794" s="34"/>
      <c r="BP794" s="34"/>
      <c r="BY794" s="34"/>
      <c r="BZ794" s="34"/>
      <c r="CA794" s="34"/>
      <c r="CB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</row>
    <row r="795" ht="15.75" customHeight="1">
      <c r="B795" s="34"/>
      <c r="E795" s="34"/>
      <c r="F795" s="34"/>
      <c r="G795" s="34"/>
      <c r="H795" s="34"/>
      <c r="I795" s="34"/>
      <c r="J795" s="34"/>
      <c r="K795" s="34"/>
      <c r="L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AA795" s="34"/>
      <c r="AB795" s="34"/>
      <c r="AC795" s="34"/>
      <c r="AD795" s="34"/>
      <c r="AE795" s="34"/>
      <c r="AF795" s="34"/>
      <c r="AG795" s="34"/>
      <c r="AH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I795" s="34"/>
      <c r="BJ795" s="34"/>
      <c r="BK795" s="34"/>
      <c r="BL795" s="34"/>
      <c r="BM795" s="34"/>
      <c r="BN795" s="34"/>
      <c r="BO795" s="34"/>
      <c r="BP795" s="34"/>
      <c r="BY795" s="34"/>
      <c r="BZ795" s="34"/>
      <c r="CA795" s="34"/>
      <c r="CB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</row>
    <row r="796" ht="15.75" customHeight="1">
      <c r="B796" s="34"/>
      <c r="E796" s="34"/>
      <c r="F796" s="34"/>
      <c r="G796" s="34"/>
      <c r="H796" s="34"/>
      <c r="I796" s="34"/>
      <c r="J796" s="34"/>
      <c r="K796" s="34"/>
      <c r="L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AA796" s="34"/>
      <c r="AB796" s="34"/>
      <c r="AC796" s="34"/>
      <c r="AD796" s="34"/>
      <c r="AE796" s="34"/>
      <c r="AF796" s="34"/>
      <c r="AG796" s="34"/>
      <c r="AH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I796" s="34"/>
      <c r="BJ796" s="34"/>
      <c r="BK796" s="34"/>
      <c r="BL796" s="34"/>
      <c r="BM796" s="34"/>
      <c r="BN796" s="34"/>
      <c r="BO796" s="34"/>
      <c r="BP796" s="34"/>
      <c r="BY796" s="34"/>
      <c r="BZ796" s="34"/>
      <c r="CA796" s="34"/>
      <c r="CB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</row>
    <row r="797" ht="15.75" customHeight="1">
      <c r="B797" s="34"/>
      <c r="E797" s="34"/>
      <c r="F797" s="34"/>
      <c r="G797" s="34"/>
      <c r="H797" s="34"/>
      <c r="I797" s="34"/>
      <c r="J797" s="34"/>
      <c r="K797" s="34"/>
      <c r="L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AA797" s="34"/>
      <c r="AB797" s="34"/>
      <c r="AC797" s="34"/>
      <c r="AD797" s="34"/>
      <c r="AE797" s="34"/>
      <c r="AF797" s="34"/>
      <c r="AG797" s="34"/>
      <c r="AH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I797" s="34"/>
      <c r="BJ797" s="34"/>
      <c r="BK797" s="34"/>
      <c r="BL797" s="34"/>
      <c r="BM797" s="34"/>
      <c r="BN797" s="34"/>
      <c r="BO797" s="34"/>
      <c r="BP797" s="34"/>
      <c r="BY797" s="34"/>
      <c r="BZ797" s="34"/>
      <c r="CA797" s="34"/>
      <c r="CB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</row>
    <row r="798" ht="15.75" customHeight="1">
      <c r="B798" s="34"/>
      <c r="E798" s="34"/>
      <c r="F798" s="34"/>
      <c r="G798" s="34"/>
      <c r="H798" s="34"/>
      <c r="I798" s="34"/>
      <c r="J798" s="34"/>
      <c r="K798" s="34"/>
      <c r="L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AA798" s="34"/>
      <c r="AB798" s="34"/>
      <c r="AC798" s="34"/>
      <c r="AD798" s="34"/>
      <c r="AE798" s="34"/>
      <c r="AF798" s="34"/>
      <c r="AG798" s="34"/>
      <c r="AH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I798" s="34"/>
      <c r="BJ798" s="34"/>
      <c r="BK798" s="34"/>
      <c r="BL798" s="34"/>
      <c r="BM798" s="34"/>
      <c r="BN798" s="34"/>
      <c r="BO798" s="34"/>
      <c r="BP798" s="34"/>
      <c r="BY798" s="34"/>
      <c r="BZ798" s="34"/>
      <c r="CA798" s="34"/>
      <c r="CB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</row>
    <row r="799" ht="15.75" customHeight="1">
      <c r="B799" s="34"/>
      <c r="E799" s="34"/>
      <c r="F799" s="34"/>
      <c r="G799" s="34"/>
      <c r="H799" s="34"/>
      <c r="I799" s="34"/>
      <c r="J799" s="34"/>
      <c r="K799" s="34"/>
      <c r="L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AA799" s="34"/>
      <c r="AB799" s="34"/>
      <c r="AC799" s="34"/>
      <c r="AD799" s="34"/>
      <c r="AE799" s="34"/>
      <c r="AF799" s="34"/>
      <c r="AG799" s="34"/>
      <c r="AH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I799" s="34"/>
      <c r="BJ799" s="34"/>
      <c r="BK799" s="34"/>
      <c r="BL799" s="34"/>
      <c r="BM799" s="34"/>
      <c r="BN799" s="34"/>
      <c r="BO799" s="34"/>
      <c r="BP799" s="34"/>
      <c r="BY799" s="34"/>
      <c r="BZ799" s="34"/>
      <c r="CA799" s="34"/>
      <c r="CB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</row>
    <row r="800" ht="15.75" customHeight="1">
      <c r="B800" s="34"/>
      <c r="E800" s="34"/>
      <c r="F800" s="34"/>
      <c r="G800" s="34"/>
      <c r="H800" s="34"/>
      <c r="I800" s="34"/>
      <c r="J800" s="34"/>
      <c r="K800" s="34"/>
      <c r="L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AA800" s="34"/>
      <c r="AB800" s="34"/>
      <c r="AC800" s="34"/>
      <c r="AD800" s="34"/>
      <c r="AE800" s="34"/>
      <c r="AF800" s="34"/>
      <c r="AG800" s="34"/>
      <c r="AH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I800" s="34"/>
      <c r="BJ800" s="34"/>
      <c r="BK800" s="34"/>
      <c r="BL800" s="34"/>
      <c r="BM800" s="34"/>
      <c r="BN800" s="34"/>
      <c r="BO800" s="34"/>
      <c r="BP800" s="34"/>
      <c r="BY800" s="34"/>
      <c r="BZ800" s="34"/>
      <c r="CA800" s="34"/>
      <c r="CB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</row>
    <row r="801" ht="15.75" customHeight="1">
      <c r="B801" s="34"/>
      <c r="E801" s="34"/>
      <c r="F801" s="34"/>
      <c r="G801" s="34"/>
      <c r="H801" s="34"/>
      <c r="I801" s="34"/>
      <c r="J801" s="34"/>
      <c r="K801" s="34"/>
      <c r="L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AA801" s="34"/>
      <c r="AB801" s="34"/>
      <c r="AC801" s="34"/>
      <c r="AD801" s="34"/>
      <c r="AE801" s="34"/>
      <c r="AF801" s="34"/>
      <c r="AG801" s="34"/>
      <c r="AH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I801" s="34"/>
      <c r="BJ801" s="34"/>
      <c r="BK801" s="34"/>
      <c r="BL801" s="34"/>
      <c r="BM801" s="34"/>
      <c r="BN801" s="34"/>
      <c r="BO801" s="34"/>
      <c r="BP801" s="34"/>
      <c r="BY801" s="34"/>
      <c r="BZ801" s="34"/>
      <c r="CA801" s="34"/>
      <c r="CB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</row>
    <row r="802" ht="15.75" customHeight="1">
      <c r="B802" s="34"/>
      <c r="E802" s="34"/>
      <c r="F802" s="34"/>
      <c r="G802" s="34"/>
      <c r="H802" s="34"/>
      <c r="I802" s="34"/>
      <c r="J802" s="34"/>
      <c r="K802" s="34"/>
      <c r="L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AA802" s="34"/>
      <c r="AB802" s="34"/>
      <c r="AC802" s="34"/>
      <c r="AD802" s="34"/>
      <c r="AE802" s="34"/>
      <c r="AF802" s="34"/>
      <c r="AG802" s="34"/>
      <c r="AH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I802" s="34"/>
      <c r="BJ802" s="34"/>
      <c r="BK802" s="34"/>
      <c r="BL802" s="34"/>
      <c r="BM802" s="34"/>
      <c r="BN802" s="34"/>
      <c r="BO802" s="34"/>
      <c r="BP802" s="34"/>
      <c r="BY802" s="34"/>
      <c r="BZ802" s="34"/>
      <c r="CA802" s="34"/>
      <c r="CB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</row>
    <row r="803" ht="15.75" customHeight="1">
      <c r="B803" s="34"/>
      <c r="E803" s="34"/>
      <c r="F803" s="34"/>
      <c r="G803" s="34"/>
      <c r="H803" s="34"/>
      <c r="I803" s="34"/>
      <c r="J803" s="34"/>
      <c r="K803" s="34"/>
      <c r="L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AA803" s="34"/>
      <c r="AB803" s="34"/>
      <c r="AC803" s="34"/>
      <c r="AD803" s="34"/>
      <c r="AE803" s="34"/>
      <c r="AF803" s="34"/>
      <c r="AG803" s="34"/>
      <c r="AH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I803" s="34"/>
      <c r="BJ803" s="34"/>
      <c r="BK803" s="34"/>
      <c r="BL803" s="34"/>
      <c r="BM803" s="34"/>
      <c r="BN803" s="34"/>
      <c r="BO803" s="34"/>
      <c r="BP803" s="34"/>
      <c r="BY803" s="34"/>
      <c r="BZ803" s="34"/>
      <c r="CA803" s="34"/>
      <c r="CB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</row>
    <row r="804" ht="15.75" customHeight="1">
      <c r="B804" s="34"/>
      <c r="E804" s="34"/>
      <c r="F804" s="34"/>
      <c r="G804" s="34"/>
      <c r="H804" s="34"/>
      <c r="I804" s="34"/>
      <c r="J804" s="34"/>
      <c r="K804" s="34"/>
      <c r="L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AA804" s="34"/>
      <c r="AB804" s="34"/>
      <c r="AC804" s="34"/>
      <c r="AD804" s="34"/>
      <c r="AE804" s="34"/>
      <c r="AF804" s="34"/>
      <c r="AG804" s="34"/>
      <c r="AH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I804" s="34"/>
      <c r="BJ804" s="34"/>
      <c r="BK804" s="34"/>
      <c r="BL804" s="34"/>
      <c r="BM804" s="34"/>
      <c r="BN804" s="34"/>
      <c r="BO804" s="34"/>
      <c r="BP804" s="34"/>
      <c r="BY804" s="34"/>
      <c r="BZ804" s="34"/>
      <c r="CA804" s="34"/>
      <c r="CB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</row>
    <row r="805" ht="15.75" customHeight="1">
      <c r="B805" s="34"/>
      <c r="E805" s="34"/>
      <c r="F805" s="34"/>
      <c r="G805" s="34"/>
      <c r="H805" s="34"/>
      <c r="I805" s="34"/>
      <c r="J805" s="34"/>
      <c r="K805" s="34"/>
      <c r="L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AA805" s="34"/>
      <c r="AB805" s="34"/>
      <c r="AC805" s="34"/>
      <c r="AD805" s="34"/>
      <c r="AE805" s="34"/>
      <c r="AF805" s="34"/>
      <c r="AG805" s="34"/>
      <c r="AH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I805" s="34"/>
      <c r="BJ805" s="34"/>
      <c r="BK805" s="34"/>
      <c r="BL805" s="34"/>
      <c r="BM805" s="34"/>
      <c r="BN805" s="34"/>
      <c r="BO805" s="34"/>
      <c r="BP805" s="34"/>
      <c r="BY805" s="34"/>
      <c r="BZ805" s="34"/>
      <c r="CA805" s="34"/>
      <c r="CB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</row>
    <row r="806" ht="15.75" customHeight="1">
      <c r="B806" s="34"/>
      <c r="E806" s="34"/>
      <c r="F806" s="34"/>
      <c r="G806" s="34"/>
      <c r="H806" s="34"/>
      <c r="I806" s="34"/>
      <c r="J806" s="34"/>
      <c r="K806" s="34"/>
      <c r="L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AA806" s="34"/>
      <c r="AB806" s="34"/>
      <c r="AC806" s="34"/>
      <c r="AD806" s="34"/>
      <c r="AE806" s="34"/>
      <c r="AF806" s="34"/>
      <c r="AG806" s="34"/>
      <c r="AH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I806" s="34"/>
      <c r="BJ806" s="34"/>
      <c r="BK806" s="34"/>
      <c r="BL806" s="34"/>
      <c r="BM806" s="34"/>
      <c r="BN806" s="34"/>
      <c r="BO806" s="34"/>
      <c r="BP806" s="34"/>
      <c r="BY806" s="34"/>
      <c r="BZ806" s="34"/>
      <c r="CA806" s="34"/>
      <c r="CB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</row>
    <row r="807" ht="15.75" customHeight="1">
      <c r="B807" s="34"/>
      <c r="E807" s="34"/>
      <c r="F807" s="34"/>
      <c r="G807" s="34"/>
      <c r="H807" s="34"/>
      <c r="I807" s="34"/>
      <c r="J807" s="34"/>
      <c r="K807" s="34"/>
      <c r="L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AA807" s="34"/>
      <c r="AB807" s="34"/>
      <c r="AC807" s="34"/>
      <c r="AD807" s="34"/>
      <c r="AE807" s="34"/>
      <c r="AF807" s="34"/>
      <c r="AG807" s="34"/>
      <c r="AH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I807" s="34"/>
      <c r="BJ807" s="34"/>
      <c r="BK807" s="34"/>
      <c r="BL807" s="34"/>
      <c r="BM807" s="34"/>
      <c r="BN807" s="34"/>
      <c r="BO807" s="34"/>
      <c r="BP807" s="34"/>
      <c r="BY807" s="34"/>
      <c r="BZ807" s="34"/>
      <c r="CA807" s="34"/>
      <c r="CB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</row>
    <row r="808" ht="15.75" customHeight="1">
      <c r="B808" s="34"/>
      <c r="E808" s="34"/>
      <c r="F808" s="34"/>
      <c r="G808" s="34"/>
      <c r="H808" s="34"/>
      <c r="I808" s="34"/>
      <c r="J808" s="34"/>
      <c r="K808" s="34"/>
      <c r="L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AA808" s="34"/>
      <c r="AB808" s="34"/>
      <c r="AC808" s="34"/>
      <c r="AD808" s="34"/>
      <c r="AE808" s="34"/>
      <c r="AF808" s="34"/>
      <c r="AG808" s="34"/>
      <c r="AH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I808" s="34"/>
      <c r="BJ808" s="34"/>
      <c r="BK808" s="34"/>
      <c r="BL808" s="34"/>
      <c r="BM808" s="34"/>
      <c r="BN808" s="34"/>
      <c r="BO808" s="34"/>
      <c r="BP808" s="34"/>
      <c r="BY808" s="34"/>
      <c r="BZ808" s="34"/>
      <c r="CA808" s="34"/>
      <c r="CB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</row>
    <row r="809" ht="15.75" customHeight="1">
      <c r="B809" s="34"/>
      <c r="E809" s="34"/>
      <c r="F809" s="34"/>
      <c r="G809" s="34"/>
      <c r="H809" s="34"/>
      <c r="I809" s="34"/>
      <c r="J809" s="34"/>
      <c r="K809" s="34"/>
      <c r="L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AA809" s="34"/>
      <c r="AB809" s="34"/>
      <c r="AC809" s="34"/>
      <c r="AD809" s="34"/>
      <c r="AE809" s="34"/>
      <c r="AF809" s="34"/>
      <c r="AG809" s="34"/>
      <c r="AH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I809" s="34"/>
      <c r="BJ809" s="34"/>
      <c r="BK809" s="34"/>
      <c r="BL809" s="34"/>
      <c r="BM809" s="34"/>
      <c r="BN809" s="34"/>
      <c r="BO809" s="34"/>
      <c r="BP809" s="34"/>
      <c r="BY809" s="34"/>
      <c r="BZ809" s="34"/>
      <c r="CA809" s="34"/>
      <c r="CB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</row>
    <row r="810" ht="15.75" customHeight="1">
      <c r="B810" s="34"/>
      <c r="E810" s="34"/>
      <c r="F810" s="34"/>
      <c r="G810" s="34"/>
      <c r="H810" s="34"/>
      <c r="I810" s="34"/>
      <c r="J810" s="34"/>
      <c r="K810" s="34"/>
      <c r="L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AA810" s="34"/>
      <c r="AB810" s="34"/>
      <c r="AC810" s="34"/>
      <c r="AD810" s="34"/>
      <c r="AE810" s="34"/>
      <c r="AF810" s="34"/>
      <c r="AG810" s="34"/>
      <c r="AH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I810" s="34"/>
      <c r="BJ810" s="34"/>
      <c r="BK810" s="34"/>
      <c r="BL810" s="34"/>
      <c r="BM810" s="34"/>
      <c r="BN810" s="34"/>
      <c r="BO810" s="34"/>
      <c r="BP810" s="34"/>
      <c r="BY810" s="34"/>
      <c r="BZ810" s="34"/>
      <c r="CA810" s="34"/>
      <c r="CB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</row>
    <row r="811" ht="15.75" customHeight="1">
      <c r="B811" s="34"/>
      <c r="E811" s="34"/>
      <c r="F811" s="34"/>
      <c r="G811" s="34"/>
      <c r="H811" s="34"/>
      <c r="I811" s="34"/>
      <c r="J811" s="34"/>
      <c r="K811" s="34"/>
      <c r="L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AA811" s="34"/>
      <c r="AB811" s="34"/>
      <c r="AC811" s="34"/>
      <c r="AD811" s="34"/>
      <c r="AE811" s="34"/>
      <c r="AF811" s="34"/>
      <c r="AG811" s="34"/>
      <c r="AH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I811" s="34"/>
      <c r="BJ811" s="34"/>
      <c r="BK811" s="34"/>
      <c r="BL811" s="34"/>
      <c r="BM811" s="34"/>
      <c r="BN811" s="34"/>
      <c r="BO811" s="34"/>
      <c r="BP811" s="34"/>
      <c r="BY811" s="34"/>
      <c r="BZ811" s="34"/>
      <c r="CA811" s="34"/>
      <c r="CB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</row>
    <row r="812" ht="15.75" customHeight="1">
      <c r="B812" s="34"/>
      <c r="E812" s="34"/>
      <c r="F812" s="34"/>
      <c r="G812" s="34"/>
      <c r="H812" s="34"/>
      <c r="I812" s="34"/>
      <c r="J812" s="34"/>
      <c r="K812" s="34"/>
      <c r="L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AA812" s="34"/>
      <c r="AB812" s="34"/>
      <c r="AC812" s="34"/>
      <c r="AD812" s="34"/>
      <c r="AE812" s="34"/>
      <c r="AF812" s="34"/>
      <c r="AG812" s="34"/>
      <c r="AH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I812" s="34"/>
      <c r="BJ812" s="34"/>
      <c r="BK812" s="34"/>
      <c r="BL812" s="34"/>
      <c r="BM812" s="34"/>
      <c r="BN812" s="34"/>
      <c r="BO812" s="34"/>
      <c r="BP812" s="34"/>
      <c r="BY812" s="34"/>
      <c r="BZ812" s="34"/>
      <c r="CA812" s="34"/>
      <c r="CB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</row>
    <row r="813" ht="15.75" customHeight="1">
      <c r="B813" s="34"/>
      <c r="E813" s="34"/>
      <c r="F813" s="34"/>
      <c r="G813" s="34"/>
      <c r="H813" s="34"/>
      <c r="I813" s="34"/>
      <c r="J813" s="34"/>
      <c r="K813" s="34"/>
      <c r="L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AA813" s="34"/>
      <c r="AB813" s="34"/>
      <c r="AC813" s="34"/>
      <c r="AD813" s="34"/>
      <c r="AE813" s="34"/>
      <c r="AF813" s="34"/>
      <c r="AG813" s="34"/>
      <c r="AH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I813" s="34"/>
      <c r="BJ813" s="34"/>
      <c r="BK813" s="34"/>
      <c r="BL813" s="34"/>
      <c r="BM813" s="34"/>
      <c r="BN813" s="34"/>
      <c r="BO813" s="34"/>
      <c r="BP813" s="34"/>
      <c r="BY813" s="34"/>
      <c r="BZ813" s="34"/>
      <c r="CA813" s="34"/>
      <c r="CB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</row>
    <row r="814" ht="15.75" customHeight="1">
      <c r="B814" s="34"/>
      <c r="E814" s="34"/>
      <c r="F814" s="34"/>
      <c r="G814" s="34"/>
      <c r="H814" s="34"/>
      <c r="I814" s="34"/>
      <c r="J814" s="34"/>
      <c r="K814" s="34"/>
      <c r="L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AA814" s="34"/>
      <c r="AB814" s="34"/>
      <c r="AC814" s="34"/>
      <c r="AD814" s="34"/>
      <c r="AE814" s="34"/>
      <c r="AF814" s="34"/>
      <c r="AG814" s="34"/>
      <c r="AH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I814" s="34"/>
      <c r="BJ814" s="34"/>
      <c r="BK814" s="34"/>
      <c r="BL814" s="34"/>
      <c r="BM814" s="34"/>
      <c r="BN814" s="34"/>
      <c r="BO814" s="34"/>
      <c r="BP814" s="34"/>
      <c r="BY814" s="34"/>
      <c r="BZ814" s="34"/>
      <c r="CA814" s="34"/>
      <c r="CB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</row>
    <row r="815" ht="15.75" customHeight="1">
      <c r="B815" s="34"/>
      <c r="E815" s="34"/>
      <c r="F815" s="34"/>
      <c r="G815" s="34"/>
      <c r="H815" s="34"/>
      <c r="I815" s="34"/>
      <c r="J815" s="34"/>
      <c r="K815" s="34"/>
      <c r="L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AA815" s="34"/>
      <c r="AB815" s="34"/>
      <c r="AC815" s="34"/>
      <c r="AD815" s="34"/>
      <c r="AE815" s="34"/>
      <c r="AF815" s="34"/>
      <c r="AG815" s="34"/>
      <c r="AH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I815" s="34"/>
      <c r="BJ815" s="34"/>
      <c r="BK815" s="34"/>
      <c r="BL815" s="34"/>
      <c r="BM815" s="34"/>
      <c r="BN815" s="34"/>
      <c r="BO815" s="34"/>
      <c r="BP815" s="34"/>
      <c r="BY815" s="34"/>
      <c r="BZ815" s="34"/>
      <c r="CA815" s="34"/>
      <c r="CB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</row>
    <row r="816" ht="15.75" customHeight="1">
      <c r="B816" s="34"/>
      <c r="E816" s="34"/>
      <c r="F816" s="34"/>
      <c r="G816" s="34"/>
      <c r="H816" s="34"/>
      <c r="I816" s="34"/>
      <c r="J816" s="34"/>
      <c r="K816" s="34"/>
      <c r="L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AA816" s="34"/>
      <c r="AB816" s="34"/>
      <c r="AC816" s="34"/>
      <c r="AD816" s="34"/>
      <c r="AE816" s="34"/>
      <c r="AF816" s="34"/>
      <c r="AG816" s="34"/>
      <c r="AH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I816" s="34"/>
      <c r="BJ816" s="34"/>
      <c r="BK816" s="34"/>
      <c r="BL816" s="34"/>
      <c r="BM816" s="34"/>
      <c r="BN816" s="34"/>
      <c r="BO816" s="34"/>
      <c r="BP816" s="34"/>
      <c r="BY816" s="34"/>
      <c r="BZ816" s="34"/>
      <c r="CA816" s="34"/>
      <c r="CB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</row>
    <row r="817" ht="15.75" customHeight="1">
      <c r="B817" s="34"/>
      <c r="E817" s="34"/>
      <c r="F817" s="34"/>
      <c r="G817" s="34"/>
      <c r="H817" s="34"/>
      <c r="I817" s="34"/>
      <c r="J817" s="34"/>
      <c r="K817" s="34"/>
      <c r="L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AA817" s="34"/>
      <c r="AB817" s="34"/>
      <c r="AC817" s="34"/>
      <c r="AD817" s="34"/>
      <c r="AE817" s="34"/>
      <c r="AF817" s="34"/>
      <c r="AG817" s="34"/>
      <c r="AH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I817" s="34"/>
      <c r="BJ817" s="34"/>
      <c r="BK817" s="34"/>
      <c r="BL817" s="34"/>
      <c r="BM817" s="34"/>
      <c r="BN817" s="34"/>
      <c r="BO817" s="34"/>
      <c r="BP817" s="34"/>
      <c r="BY817" s="34"/>
      <c r="BZ817" s="34"/>
      <c r="CA817" s="34"/>
      <c r="CB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</row>
    <row r="818" ht="15.75" customHeight="1">
      <c r="B818" s="34"/>
      <c r="E818" s="34"/>
      <c r="F818" s="34"/>
      <c r="G818" s="34"/>
      <c r="H818" s="34"/>
      <c r="I818" s="34"/>
      <c r="J818" s="34"/>
      <c r="K818" s="34"/>
      <c r="L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AA818" s="34"/>
      <c r="AB818" s="34"/>
      <c r="AC818" s="34"/>
      <c r="AD818" s="34"/>
      <c r="AE818" s="34"/>
      <c r="AF818" s="34"/>
      <c r="AG818" s="34"/>
      <c r="AH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I818" s="34"/>
      <c r="BJ818" s="34"/>
      <c r="BK818" s="34"/>
      <c r="BL818" s="34"/>
      <c r="BM818" s="34"/>
      <c r="BN818" s="34"/>
      <c r="BO818" s="34"/>
      <c r="BP818" s="34"/>
      <c r="BY818" s="34"/>
      <c r="BZ818" s="34"/>
      <c r="CA818" s="34"/>
      <c r="CB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</row>
    <row r="819" ht="15.75" customHeight="1">
      <c r="B819" s="34"/>
      <c r="E819" s="34"/>
      <c r="F819" s="34"/>
      <c r="G819" s="34"/>
      <c r="H819" s="34"/>
      <c r="I819" s="34"/>
      <c r="J819" s="34"/>
      <c r="K819" s="34"/>
      <c r="L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AA819" s="34"/>
      <c r="AB819" s="34"/>
      <c r="AC819" s="34"/>
      <c r="AD819" s="34"/>
      <c r="AE819" s="34"/>
      <c r="AF819" s="34"/>
      <c r="AG819" s="34"/>
      <c r="AH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I819" s="34"/>
      <c r="BJ819" s="34"/>
      <c r="BK819" s="34"/>
      <c r="BL819" s="34"/>
      <c r="BM819" s="34"/>
      <c r="BN819" s="34"/>
      <c r="BO819" s="34"/>
      <c r="BP819" s="34"/>
      <c r="BY819" s="34"/>
      <c r="BZ819" s="34"/>
      <c r="CA819" s="34"/>
      <c r="CB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</row>
    <row r="820" ht="15.75" customHeight="1">
      <c r="B820" s="34"/>
      <c r="E820" s="34"/>
      <c r="F820" s="34"/>
      <c r="G820" s="34"/>
      <c r="H820" s="34"/>
      <c r="I820" s="34"/>
      <c r="J820" s="34"/>
      <c r="K820" s="34"/>
      <c r="L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AA820" s="34"/>
      <c r="AB820" s="34"/>
      <c r="AC820" s="34"/>
      <c r="AD820" s="34"/>
      <c r="AE820" s="34"/>
      <c r="AF820" s="34"/>
      <c r="AG820" s="34"/>
      <c r="AH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I820" s="34"/>
      <c r="BJ820" s="34"/>
      <c r="BK820" s="34"/>
      <c r="BL820" s="34"/>
      <c r="BM820" s="34"/>
      <c r="BN820" s="34"/>
      <c r="BO820" s="34"/>
      <c r="BP820" s="34"/>
      <c r="BY820" s="34"/>
      <c r="BZ820" s="34"/>
      <c r="CA820" s="34"/>
      <c r="CB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</row>
    <row r="821" ht="15.75" customHeight="1">
      <c r="B821" s="34"/>
      <c r="E821" s="34"/>
      <c r="F821" s="34"/>
      <c r="G821" s="34"/>
      <c r="H821" s="34"/>
      <c r="I821" s="34"/>
      <c r="J821" s="34"/>
      <c r="K821" s="34"/>
      <c r="L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AA821" s="34"/>
      <c r="AB821" s="34"/>
      <c r="AC821" s="34"/>
      <c r="AD821" s="34"/>
      <c r="AE821" s="34"/>
      <c r="AF821" s="34"/>
      <c r="AG821" s="34"/>
      <c r="AH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I821" s="34"/>
      <c r="BJ821" s="34"/>
      <c r="BK821" s="34"/>
      <c r="BL821" s="34"/>
      <c r="BM821" s="34"/>
      <c r="BN821" s="34"/>
      <c r="BO821" s="34"/>
      <c r="BP821" s="34"/>
      <c r="BY821" s="34"/>
      <c r="BZ821" s="34"/>
      <c r="CA821" s="34"/>
      <c r="CB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</row>
    <row r="822" ht="15.75" customHeight="1">
      <c r="B822" s="34"/>
      <c r="E822" s="34"/>
      <c r="F822" s="34"/>
      <c r="G822" s="34"/>
      <c r="H822" s="34"/>
      <c r="I822" s="34"/>
      <c r="J822" s="34"/>
      <c r="K822" s="34"/>
      <c r="L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AA822" s="34"/>
      <c r="AB822" s="34"/>
      <c r="AC822" s="34"/>
      <c r="AD822" s="34"/>
      <c r="AE822" s="34"/>
      <c r="AF822" s="34"/>
      <c r="AG822" s="34"/>
      <c r="AH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I822" s="34"/>
      <c r="BJ822" s="34"/>
      <c r="BK822" s="34"/>
      <c r="BL822" s="34"/>
      <c r="BM822" s="34"/>
      <c r="BN822" s="34"/>
      <c r="BO822" s="34"/>
      <c r="BP822" s="34"/>
      <c r="BY822" s="34"/>
      <c r="BZ822" s="34"/>
      <c r="CA822" s="34"/>
      <c r="CB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</row>
    <row r="823" ht="15.75" customHeight="1">
      <c r="B823" s="34"/>
      <c r="E823" s="34"/>
      <c r="F823" s="34"/>
      <c r="G823" s="34"/>
      <c r="H823" s="34"/>
      <c r="I823" s="34"/>
      <c r="J823" s="34"/>
      <c r="K823" s="34"/>
      <c r="L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AA823" s="34"/>
      <c r="AB823" s="34"/>
      <c r="AC823" s="34"/>
      <c r="AD823" s="34"/>
      <c r="AE823" s="34"/>
      <c r="AF823" s="34"/>
      <c r="AG823" s="34"/>
      <c r="AH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I823" s="34"/>
      <c r="BJ823" s="34"/>
      <c r="BK823" s="34"/>
      <c r="BL823" s="34"/>
      <c r="BM823" s="34"/>
      <c r="BN823" s="34"/>
      <c r="BO823" s="34"/>
      <c r="BP823" s="34"/>
      <c r="BY823" s="34"/>
      <c r="BZ823" s="34"/>
      <c r="CA823" s="34"/>
      <c r="CB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</row>
    <row r="824" ht="15.75" customHeight="1">
      <c r="B824" s="34"/>
      <c r="E824" s="34"/>
      <c r="F824" s="34"/>
      <c r="G824" s="34"/>
      <c r="H824" s="34"/>
      <c r="I824" s="34"/>
      <c r="J824" s="34"/>
      <c r="K824" s="34"/>
      <c r="L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AA824" s="34"/>
      <c r="AB824" s="34"/>
      <c r="AC824" s="34"/>
      <c r="AD824" s="34"/>
      <c r="AE824" s="34"/>
      <c r="AF824" s="34"/>
      <c r="AG824" s="34"/>
      <c r="AH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I824" s="34"/>
      <c r="BJ824" s="34"/>
      <c r="BK824" s="34"/>
      <c r="BL824" s="34"/>
      <c r="BM824" s="34"/>
      <c r="BN824" s="34"/>
      <c r="BO824" s="34"/>
      <c r="BP824" s="34"/>
      <c r="BY824" s="34"/>
      <c r="BZ824" s="34"/>
      <c r="CA824" s="34"/>
      <c r="CB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</row>
    <row r="825" ht="15.75" customHeight="1">
      <c r="B825" s="34"/>
      <c r="E825" s="34"/>
      <c r="F825" s="34"/>
      <c r="G825" s="34"/>
      <c r="H825" s="34"/>
      <c r="I825" s="34"/>
      <c r="J825" s="34"/>
      <c r="K825" s="34"/>
      <c r="L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AA825" s="34"/>
      <c r="AB825" s="34"/>
      <c r="AC825" s="34"/>
      <c r="AD825" s="34"/>
      <c r="AE825" s="34"/>
      <c r="AF825" s="34"/>
      <c r="AG825" s="34"/>
      <c r="AH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I825" s="34"/>
      <c r="BJ825" s="34"/>
      <c r="BK825" s="34"/>
      <c r="BL825" s="34"/>
      <c r="BM825" s="34"/>
      <c r="BN825" s="34"/>
      <c r="BO825" s="34"/>
      <c r="BP825" s="34"/>
      <c r="BY825" s="34"/>
      <c r="BZ825" s="34"/>
      <c r="CA825" s="34"/>
      <c r="CB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</row>
    <row r="826" ht="15.75" customHeight="1">
      <c r="B826" s="34"/>
      <c r="E826" s="34"/>
      <c r="F826" s="34"/>
      <c r="G826" s="34"/>
      <c r="H826" s="34"/>
      <c r="I826" s="34"/>
      <c r="J826" s="34"/>
      <c r="K826" s="34"/>
      <c r="L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AA826" s="34"/>
      <c r="AB826" s="34"/>
      <c r="AC826" s="34"/>
      <c r="AD826" s="34"/>
      <c r="AE826" s="34"/>
      <c r="AF826" s="34"/>
      <c r="AG826" s="34"/>
      <c r="AH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I826" s="34"/>
      <c r="BJ826" s="34"/>
      <c r="BK826" s="34"/>
      <c r="BL826" s="34"/>
      <c r="BM826" s="34"/>
      <c r="BN826" s="34"/>
      <c r="BO826" s="34"/>
      <c r="BP826" s="34"/>
      <c r="BY826" s="34"/>
      <c r="BZ826" s="34"/>
      <c r="CA826" s="34"/>
      <c r="CB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</row>
    <row r="827" ht="15.75" customHeight="1">
      <c r="B827" s="34"/>
      <c r="E827" s="34"/>
      <c r="F827" s="34"/>
      <c r="G827" s="34"/>
      <c r="H827" s="34"/>
      <c r="I827" s="34"/>
      <c r="J827" s="34"/>
      <c r="K827" s="34"/>
      <c r="L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AA827" s="34"/>
      <c r="AB827" s="34"/>
      <c r="AC827" s="34"/>
      <c r="AD827" s="34"/>
      <c r="AE827" s="34"/>
      <c r="AF827" s="34"/>
      <c r="AG827" s="34"/>
      <c r="AH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I827" s="34"/>
      <c r="BJ827" s="34"/>
      <c r="BK827" s="34"/>
      <c r="BL827" s="34"/>
      <c r="BM827" s="34"/>
      <c r="BN827" s="34"/>
      <c r="BO827" s="34"/>
      <c r="BP827" s="34"/>
      <c r="BY827" s="34"/>
      <c r="BZ827" s="34"/>
      <c r="CA827" s="34"/>
      <c r="CB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</row>
    <row r="828" ht="15.75" customHeight="1">
      <c r="B828" s="34"/>
      <c r="E828" s="34"/>
      <c r="F828" s="34"/>
      <c r="G828" s="34"/>
      <c r="H828" s="34"/>
      <c r="I828" s="34"/>
      <c r="J828" s="34"/>
      <c r="K828" s="34"/>
      <c r="L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AA828" s="34"/>
      <c r="AB828" s="34"/>
      <c r="AC828" s="34"/>
      <c r="AD828" s="34"/>
      <c r="AE828" s="34"/>
      <c r="AF828" s="34"/>
      <c r="AG828" s="34"/>
      <c r="AH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I828" s="34"/>
      <c r="BJ828" s="34"/>
      <c r="BK828" s="34"/>
      <c r="BL828" s="34"/>
      <c r="BM828" s="34"/>
      <c r="BN828" s="34"/>
      <c r="BO828" s="34"/>
      <c r="BP828" s="34"/>
      <c r="BY828" s="34"/>
      <c r="BZ828" s="34"/>
      <c r="CA828" s="34"/>
      <c r="CB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</row>
    <row r="829" ht="15.75" customHeight="1">
      <c r="B829" s="34"/>
      <c r="E829" s="34"/>
      <c r="F829" s="34"/>
      <c r="G829" s="34"/>
      <c r="H829" s="34"/>
      <c r="I829" s="34"/>
      <c r="J829" s="34"/>
      <c r="K829" s="34"/>
      <c r="L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AA829" s="34"/>
      <c r="AB829" s="34"/>
      <c r="AC829" s="34"/>
      <c r="AD829" s="34"/>
      <c r="AE829" s="34"/>
      <c r="AF829" s="34"/>
      <c r="AG829" s="34"/>
      <c r="AH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I829" s="34"/>
      <c r="BJ829" s="34"/>
      <c r="BK829" s="34"/>
      <c r="BL829" s="34"/>
      <c r="BM829" s="34"/>
      <c r="BN829" s="34"/>
      <c r="BO829" s="34"/>
      <c r="BP829" s="34"/>
      <c r="BY829" s="34"/>
      <c r="BZ829" s="34"/>
      <c r="CA829" s="34"/>
      <c r="CB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</row>
    <row r="830" ht="15.75" customHeight="1">
      <c r="B830" s="34"/>
      <c r="E830" s="34"/>
      <c r="F830" s="34"/>
      <c r="G830" s="34"/>
      <c r="H830" s="34"/>
      <c r="I830" s="34"/>
      <c r="J830" s="34"/>
      <c r="K830" s="34"/>
      <c r="L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AA830" s="34"/>
      <c r="AB830" s="34"/>
      <c r="AC830" s="34"/>
      <c r="AD830" s="34"/>
      <c r="AE830" s="34"/>
      <c r="AF830" s="34"/>
      <c r="AG830" s="34"/>
      <c r="AH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I830" s="34"/>
      <c r="BJ830" s="34"/>
      <c r="BK830" s="34"/>
      <c r="BL830" s="34"/>
      <c r="BM830" s="34"/>
      <c r="BN830" s="34"/>
      <c r="BO830" s="34"/>
      <c r="BP830" s="34"/>
      <c r="BY830" s="34"/>
      <c r="BZ830" s="34"/>
      <c r="CA830" s="34"/>
      <c r="CB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</row>
    <row r="831" ht="15.75" customHeight="1">
      <c r="B831" s="34"/>
      <c r="E831" s="34"/>
      <c r="F831" s="34"/>
      <c r="G831" s="34"/>
      <c r="H831" s="34"/>
      <c r="I831" s="34"/>
      <c r="J831" s="34"/>
      <c r="K831" s="34"/>
      <c r="L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AA831" s="34"/>
      <c r="AB831" s="34"/>
      <c r="AC831" s="34"/>
      <c r="AD831" s="34"/>
      <c r="AE831" s="34"/>
      <c r="AF831" s="34"/>
      <c r="AG831" s="34"/>
      <c r="AH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I831" s="34"/>
      <c r="BJ831" s="34"/>
      <c r="BK831" s="34"/>
      <c r="BL831" s="34"/>
      <c r="BM831" s="34"/>
      <c r="BN831" s="34"/>
      <c r="BO831" s="34"/>
      <c r="BP831" s="34"/>
      <c r="BY831" s="34"/>
      <c r="BZ831" s="34"/>
      <c r="CA831" s="34"/>
      <c r="CB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</row>
    <row r="832" ht="15.75" customHeight="1">
      <c r="B832" s="34"/>
      <c r="E832" s="34"/>
      <c r="F832" s="34"/>
      <c r="G832" s="34"/>
      <c r="H832" s="34"/>
      <c r="I832" s="34"/>
      <c r="J832" s="34"/>
      <c r="K832" s="34"/>
      <c r="L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AA832" s="34"/>
      <c r="AB832" s="34"/>
      <c r="AC832" s="34"/>
      <c r="AD832" s="34"/>
      <c r="AE832" s="34"/>
      <c r="AF832" s="34"/>
      <c r="AG832" s="34"/>
      <c r="AH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I832" s="34"/>
      <c r="BJ832" s="34"/>
      <c r="BK832" s="34"/>
      <c r="BL832" s="34"/>
      <c r="BM832" s="34"/>
      <c r="BN832" s="34"/>
      <c r="BO832" s="34"/>
      <c r="BP832" s="34"/>
      <c r="BY832" s="34"/>
      <c r="BZ832" s="34"/>
      <c r="CA832" s="34"/>
      <c r="CB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</row>
    <row r="833" ht="15.75" customHeight="1">
      <c r="B833" s="34"/>
      <c r="E833" s="34"/>
      <c r="F833" s="34"/>
      <c r="G833" s="34"/>
      <c r="H833" s="34"/>
      <c r="I833" s="34"/>
      <c r="J833" s="34"/>
      <c r="K833" s="34"/>
      <c r="L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AA833" s="34"/>
      <c r="AB833" s="34"/>
      <c r="AC833" s="34"/>
      <c r="AD833" s="34"/>
      <c r="AE833" s="34"/>
      <c r="AF833" s="34"/>
      <c r="AG833" s="34"/>
      <c r="AH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I833" s="34"/>
      <c r="BJ833" s="34"/>
      <c r="BK833" s="34"/>
      <c r="BL833" s="34"/>
      <c r="BM833" s="34"/>
      <c r="BN833" s="34"/>
      <c r="BO833" s="34"/>
      <c r="BP833" s="34"/>
      <c r="BY833" s="34"/>
      <c r="BZ833" s="34"/>
      <c r="CA833" s="34"/>
      <c r="CB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</row>
    <row r="834" ht="15.75" customHeight="1">
      <c r="B834" s="34"/>
      <c r="E834" s="34"/>
      <c r="F834" s="34"/>
      <c r="G834" s="34"/>
      <c r="H834" s="34"/>
      <c r="I834" s="34"/>
      <c r="J834" s="34"/>
      <c r="K834" s="34"/>
      <c r="L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AA834" s="34"/>
      <c r="AB834" s="34"/>
      <c r="AC834" s="34"/>
      <c r="AD834" s="34"/>
      <c r="AE834" s="34"/>
      <c r="AF834" s="34"/>
      <c r="AG834" s="34"/>
      <c r="AH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I834" s="34"/>
      <c r="BJ834" s="34"/>
      <c r="BK834" s="34"/>
      <c r="BL834" s="34"/>
      <c r="BM834" s="34"/>
      <c r="BN834" s="34"/>
      <c r="BO834" s="34"/>
      <c r="BP834" s="34"/>
      <c r="BY834" s="34"/>
      <c r="BZ834" s="34"/>
      <c r="CA834" s="34"/>
      <c r="CB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</row>
    <row r="835" ht="15.75" customHeight="1">
      <c r="B835" s="34"/>
      <c r="E835" s="34"/>
      <c r="F835" s="34"/>
      <c r="G835" s="34"/>
      <c r="H835" s="34"/>
      <c r="I835" s="34"/>
      <c r="J835" s="34"/>
      <c r="K835" s="34"/>
      <c r="L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AA835" s="34"/>
      <c r="AB835" s="34"/>
      <c r="AC835" s="34"/>
      <c r="AD835" s="34"/>
      <c r="AE835" s="34"/>
      <c r="AF835" s="34"/>
      <c r="AG835" s="34"/>
      <c r="AH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I835" s="34"/>
      <c r="BJ835" s="34"/>
      <c r="BK835" s="34"/>
      <c r="BL835" s="34"/>
      <c r="BM835" s="34"/>
      <c r="BN835" s="34"/>
      <c r="BO835" s="34"/>
      <c r="BP835" s="34"/>
      <c r="BY835" s="34"/>
      <c r="BZ835" s="34"/>
      <c r="CA835" s="34"/>
      <c r="CB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</row>
    <row r="836" ht="15.75" customHeight="1">
      <c r="B836" s="34"/>
      <c r="E836" s="34"/>
      <c r="F836" s="34"/>
      <c r="G836" s="34"/>
      <c r="H836" s="34"/>
      <c r="I836" s="34"/>
      <c r="J836" s="34"/>
      <c r="K836" s="34"/>
      <c r="L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AA836" s="34"/>
      <c r="AB836" s="34"/>
      <c r="AC836" s="34"/>
      <c r="AD836" s="34"/>
      <c r="AE836" s="34"/>
      <c r="AF836" s="34"/>
      <c r="AG836" s="34"/>
      <c r="AH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I836" s="34"/>
      <c r="BJ836" s="34"/>
      <c r="BK836" s="34"/>
      <c r="BL836" s="34"/>
      <c r="BM836" s="34"/>
      <c r="BN836" s="34"/>
      <c r="BO836" s="34"/>
      <c r="BP836" s="34"/>
      <c r="BY836" s="34"/>
      <c r="BZ836" s="34"/>
      <c r="CA836" s="34"/>
      <c r="CB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</row>
    <row r="837" ht="15.75" customHeight="1">
      <c r="B837" s="34"/>
      <c r="E837" s="34"/>
      <c r="F837" s="34"/>
      <c r="G837" s="34"/>
      <c r="H837" s="34"/>
      <c r="I837" s="34"/>
      <c r="J837" s="34"/>
      <c r="K837" s="34"/>
      <c r="L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AA837" s="34"/>
      <c r="AB837" s="34"/>
      <c r="AC837" s="34"/>
      <c r="AD837" s="34"/>
      <c r="AE837" s="34"/>
      <c r="AF837" s="34"/>
      <c r="AG837" s="34"/>
      <c r="AH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I837" s="34"/>
      <c r="BJ837" s="34"/>
      <c r="BK837" s="34"/>
      <c r="BL837" s="34"/>
      <c r="BM837" s="34"/>
      <c r="BN837" s="34"/>
      <c r="BO837" s="34"/>
      <c r="BP837" s="34"/>
      <c r="BY837" s="34"/>
      <c r="BZ837" s="34"/>
      <c r="CA837" s="34"/>
      <c r="CB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</row>
    <row r="838" ht="15.75" customHeight="1">
      <c r="B838" s="34"/>
      <c r="E838" s="34"/>
      <c r="F838" s="34"/>
      <c r="G838" s="34"/>
      <c r="H838" s="34"/>
      <c r="I838" s="34"/>
      <c r="J838" s="34"/>
      <c r="K838" s="34"/>
      <c r="L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AA838" s="34"/>
      <c r="AB838" s="34"/>
      <c r="AC838" s="34"/>
      <c r="AD838" s="34"/>
      <c r="AE838" s="34"/>
      <c r="AF838" s="34"/>
      <c r="AG838" s="34"/>
      <c r="AH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I838" s="34"/>
      <c r="BJ838" s="34"/>
      <c r="BK838" s="34"/>
      <c r="BL838" s="34"/>
      <c r="BM838" s="34"/>
      <c r="BN838" s="34"/>
      <c r="BO838" s="34"/>
      <c r="BP838" s="34"/>
      <c r="BY838" s="34"/>
      <c r="BZ838" s="34"/>
      <c r="CA838" s="34"/>
      <c r="CB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</row>
    <row r="839" ht="15.75" customHeight="1">
      <c r="B839" s="34"/>
      <c r="E839" s="34"/>
      <c r="F839" s="34"/>
      <c r="G839" s="34"/>
      <c r="H839" s="34"/>
      <c r="I839" s="34"/>
      <c r="J839" s="34"/>
      <c r="K839" s="34"/>
      <c r="L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AA839" s="34"/>
      <c r="AB839" s="34"/>
      <c r="AC839" s="34"/>
      <c r="AD839" s="34"/>
      <c r="AE839" s="34"/>
      <c r="AF839" s="34"/>
      <c r="AG839" s="34"/>
      <c r="AH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I839" s="34"/>
      <c r="BJ839" s="34"/>
      <c r="BK839" s="34"/>
      <c r="BL839" s="34"/>
      <c r="BM839" s="34"/>
      <c r="BN839" s="34"/>
      <c r="BO839" s="34"/>
      <c r="BP839" s="34"/>
      <c r="BY839" s="34"/>
      <c r="BZ839" s="34"/>
      <c r="CA839" s="34"/>
      <c r="CB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</row>
    <row r="840" ht="15.75" customHeight="1">
      <c r="B840" s="34"/>
      <c r="E840" s="34"/>
      <c r="F840" s="34"/>
      <c r="G840" s="34"/>
      <c r="H840" s="34"/>
      <c r="I840" s="34"/>
      <c r="J840" s="34"/>
      <c r="K840" s="34"/>
      <c r="L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AA840" s="34"/>
      <c r="AB840" s="34"/>
      <c r="AC840" s="34"/>
      <c r="AD840" s="34"/>
      <c r="AE840" s="34"/>
      <c r="AF840" s="34"/>
      <c r="AG840" s="34"/>
      <c r="AH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I840" s="34"/>
      <c r="BJ840" s="34"/>
      <c r="BK840" s="34"/>
      <c r="BL840" s="34"/>
      <c r="BM840" s="34"/>
      <c r="BN840" s="34"/>
      <c r="BO840" s="34"/>
      <c r="BP840" s="34"/>
      <c r="BY840" s="34"/>
      <c r="BZ840" s="34"/>
      <c r="CA840" s="34"/>
      <c r="CB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</row>
    <row r="841" ht="15.75" customHeight="1">
      <c r="B841" s="34"/>
      <c r="E841" s="34"/>
      <c r="F841" s="34"/>
      <c r="G841" s="34"/>
      <c r="H841" s="34"/>
      <c r="I841" s="34"/>
      <c r="J841" s="34"/>
      <c r="K841" s="34"/>
      <c r="L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AA841" s="34"/>
      <c r="AB841" s="34"/>
      <c r="AC841" s="34"/>
      <c r="AD841" s="34"/>
      <c r="AE841" s="34"/>
      <c r="AF841" s="34"/>
      <c r="AG841" s="34"/>
      <c r="AH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I841" s="34"/>
      <c r="BJ841" s="34"/>
      <c r="BK841" s="34"/>
      <c r="BL841" s="34"/>
      <c r="BM841" s="34"/>
      <c r="BN841" s="34"/>
      <c r="BO841" s="34"/>
      <c r="BP841" s="34"/>
      <c r="BY841" s="34"/>
      <c r="BZ841" s="34"/>
      <c r="CA841" s="34"/>
      <c r="CB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</row>
    <row r="842" ht="15.75" customHeight="1">
      <c r="B842" s="34"/>
      <c r="E842" s="34"/>
      <c r="F842" s="34"/>
      <c r="G842" s="34"/>
      <c r="H842" s="34"/>
      <c r="I842" s="34"/>
      <c r="J842" s="34"/>
      <c r="K842" s="34"/>
      <c r="L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AA842" s="34"/>
      <c r="AB842" s="34"/>
      <c r="AC842" s="34"/>
      <c r="AD842" s="34"/>
      <c r="AE842" s="34"/>
      <c r="AF842" s="34"/>
      <c r="AG842" s="34"/>
      <c r="AH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I842" s="34"/>
      <c r="BJ842" s="34"/>
      <c r="BK842" s="34"/>
      <c r="BL842" s="34"/>
      <c r="BM842" s="34"/>
      <c r="BN842" s="34"/>
      <c r="BO842" s="34"/>
      <c r="BP842" s="34"/>
      <c r="BY842" s="34"/>
      <c r="BZ842" s="34"/>
      <c r="CA842" s="34"/>
      <c r="CB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</row>
    <row r="843" ht="15.75" customHeight="1">
      <c r="B843" s="34"/>
      <c r="E843" s="34"/>
      <c r="F843" s="34"/>
      <c r="G843" s="34"/>
      <c r="H843" s="34"/>
      <c r="I843" s="34"/>
      <c r="J843" s="34"/>
      <c r="K843" s="34"/>
      <c r="L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AA843" s="34"/>
      <c r="AB843" s="34"/>
      <c r="AC843" s="34"/>
      <c r="AD843" s="34"/>
      <c r="AE843" s="34"/>
      <c r="AF843" s="34"/>
      <c r="AG843" s="34"/>
      <c r="AH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I843" s="34"/>
      <c r="BJ843" s="34"/>
      <c r="BK843" s="34"/>
      <c r="BL843" s="34"/>
      <c r="BM843" s="34"/>
      <c r="BN843" s="34"/>
      <c r="BO843" s="34"/>
      <c r="BP843" s="34"/>
      <c r="BY843" s="34"/>
      <c r="BZ843" s="34"/>
      <c r="CA843" s="34"/>
      <c r="CB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</row>
    <row r="844" ht="15.75" customHeight="1">
      <c r="B844" s="34"/>
      <c r="E844" s="34"/>
      <c r="F844" s="34"/>
      <c r="G844" s="34"/>
      <c r="H844" s="34"/>
      <c r="I844" s="34"/>
      <c r="J844" s="34"/>
      <c r="K844" s="34"/>
      <c r="L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AA844" s="34"/>
      <c r="AB844" s="34"/>
      <c r="AC844" s="34"/>
      <c r="AD844" s="34"/>
      <c r="AE844" s="34"/>
      <c r="AF844" s="34"/>
      <c r="AG844" s="34"/>
      <c r="AH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I844" s="34"/>
      <c r="BJ844" s="34"/>
      <c r="BK844" s="34"/>
      <c r="BL844" s="34"/>
      <c r="BM844" s="34"/>
      <c r="BN844" s="34"/>
      <c r="BO844" s="34"/>
      <c r="BP844" s="34"/>
      <c r="BY844" s="34"/>
      <c r="BZ844" s="34"/>
      <c r="CA844" s="34"/>
      <c r="CB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</row>
    <row r="845" ht="15.75" customHeight="1">
      <c r="B845" s="34"/>
      <c r="E845" s="34"/>
      <c r="F845" s="34"/>
      <c r="G845" s="34"/>
      <c r="H845" s="34"/>
      <c r="I845" s="34"/>
      <c r="J845" s="34"/>
      <c r="K845" s="34"/>
      <c r="L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AA845" s="34"/>
      <c r="AB845" s="34"/>
      <c r="AC845" s="34"/>
      <c r="AD845" s="34"/>
      <c r="AE845" s="34"/>
      <c r="AF845" s="34"/>
      <c r="AG845" s="34"/>
      <c r="AH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I845" s="34"/>
      <c r="BJ845" s="34"/>
      <c r="BK845" s="34"/>
      <c r="BL845" s="34"/>
      <c r="BM845" s="34"/>
      <c r="BN845" s="34"/>
      <c r="BO845" s="34"/>
      <c r="BP845" s="34"/>
      <c r="BY845" s="34"/>
      <c r="BZ845" s="34"/>
      <c r="CA845" s="34"/>
      <c r="CB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</row>
    <row r="846" ht="15.75" customHeight="1">
      <c r="B846" s="34"/>
      <c r="E846" s="34"/>
      <c r="F846" s="34"/>
      <c r="G846" s="34"/>
      <c r="H846" s="34"/>
      <c r="I846" s="34"/>
      <c r="J846" s="34"/>
      <c r="K846" s="34"/>
      <c r="L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AA846" s="34"/>
      <c r="AB846" s="34"/>
      <c r="AC846" s="34"/>
      <c r="AD846" s="34"/>
      <c r="AE846" s="34"/>
      <c r="AF846" s="34"/>
      <c r="AG846" s="34"/>
      <c r="AH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I846" s="34"/>
      <c r="BJ846" s="34"/>
      <c r="BK846" s="34"/>
      <c r="BL846" s="34"/>
      <c r="BM846" s="34"/>
      <c r="BN846" s="34"/>
      <c r="BO846" s="34"/>
      <c r="BP846" s="34"/>
      <c r="BY846" s="34"/>
      <c r="BZ846" s="34"/>
      <c r="CA846" s="34"/>
      <c r="CB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</row>
    <row r="847" ht="15.75" customHeight="1">
      <c r="B847" s="34"/>
      <c r="E847" s="34"/>
      <c r="F847" s="34"/>
      <c r="G847" s="34"/>
      <c r="H847" s="34"/>
      <c r="I847" s="34"/>
      <c r="J847" s="34"/>
      <c r="K847" s="34"/>
      <c r="L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AA847" s="34"/>
      <c r="AB847" s="34"/>
      <c r="AC847" s="34"/>
      <c r="AD847" s="34"/>
      <c r="AE847" s="34"/>
      <c r="AF847" s="34"/>
      <c r="AG847" s="34"/>
      <c r="AH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I847" s="34"/>
      <c r="BJ847" s="34"/>
      <c r="BK847" s="34"/>
      <c r="BL847" s="34"/>
      <c r="BM847" s="34"/>
      <c r="BN847" s="34"/>
      <c r="BO847" s="34"/>
      <c r="BP847" s="34"/>
      <c r="BY847" s="34"/>
      <c r="BZ847" s="34"/>
      <c r="CA847" s="34"/>
      <c r="CB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</row>
    <row r="848" ht="15.75" customHeight="1">
      <c r="B848" s="34"/>
      <c r="E848" s="34"/>
      <c r="F848" s="34"/>
      <c r="G848" s="34"/>
      <c r="H848" s="34"/>
      <c r="I848" s="34"/>
      <c r="J848" s="34"/>
      <c r="K848" s="34"/>
      <c r="L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AA848" s="34"/>
      <c r="AB848" s="34"/>
      <c r="AC848" s="34"/>
      <c r="AD848" s="34"/>
      <c r="AE848" s="34"/>
      <c r="AF848" s="34"/>
      <c r="AG848" s="34"/>
      <c r="AH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I848" s="34"/>
      <c r="BJ848" s="34"/>
      <c r="BK848" s="34"/>
      <c r="BL848" s="34"/>
      <c r="BM848" s="34"/>
      <c r="BN848" s="34"/>
      <c r="BO848" s="34"/>
      <c r="BP848" s="34"/>
      <c r="BY848" s="34"/>
      <c r="BZ848" s="34"/>
      <c r="CA848" s="34"/>
      <c r="CB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</row>
    <row r="849" ht="15.75" customHeight="1">
      <c r="B849" s="34"/>
      <c r="E849" s="34"/>
      <c r="F849" s="34"/>
      <c r="G849" s="34"/>
      <c r="H849" s="34"/>
      <c r="I849" s="34"/>
      <c r="J849" s="34"/>
      <c r="K849" s="34"/>
      <c r="L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AA849" s="34"/>
      <c r="AB849" s="34"/>
      <c r="AC849" s="34"/>
      <c r="AD849" s="34"/>
      <c r="AE849" s="34"/>
      <c r="AF849" s="34"/>
      <c r="AG849" s="34"/>
      <c r="AH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I849" s="34"/>
      <c r="BJ849" s="34"/>
      <c r="BK849" s="34"/>
      <c r="BL849" s="34"/>
      <c r="BM849" s="34"/>
      <c r="BN849" s="34"/>
      <c r="BO849" s="34"/>
      <c r="BP849" s="34"/>
      <c r="BY849" s="34"/>
      <c r="BZ849" s="34"/>
      <c r="CA849" s="34"/>
      <c r="CB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</row>
    <row r="850" ht="15.75" customHeight="1">
      <c r="B850" s="34"/>
      <c r="E850" s="34"/>
      <c r="F850" s="34"/>
      <c r="G850" s="34"/>
      <c r="H850" s="34"/>
      <c r="I850" s="34"/>
      <c r="J850" s="34"/>
      <c r="K850" s="34"/>
      <c r="L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AA850" s="34"/>
      <c r="AB850" s="34"/>
      <c r="AC850" s="34"/>
      <c r="AD850" s="34"/>
      <c r="AE850" s="34"/>
      <c r="AF850" s="34"/>
      <c r="AG850" s="34"/>
      <c r="AH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I850" s="34"/>
      <c r="BJ850" s="34"/>
      <c r="BK850" s="34"/>
      <c r="BL850" s="34"/>
      <c r="BM850" s="34"/>
      <c r="BN850" s="34"/>
      <c r="BO850" s="34"/>
      <c r="BP850" s="34"/>
      <c r="BY850" s="34"/>
      <c r="BZ850" s="34"/>
      <c r="CA850" s="34"/>
      <c r="CB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</row>
    <row r="851" ht="15.75" customHeight="1">
      <c r="B851" s="34"/>
      <c r="E851" s="34"/>
      <c r="F851" s="34"/>
      <c r="G851" s="34"/>
      <c r="H851" s="34"/>
      <c r="I851" s="34"/>
      <c r="J851" s="34"/>
      <c r="K851" s="34"/>
      <c r="L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AA851" s="34"/>
      <c r="AB851" s="34"/>
      <c r="AC851" s="34"/>
      <c r="AD851" s="34"/>
      <c r="AE851" s="34"/>
      <c r="AF851" s="34"/>
      <c r="AG851" s="34"/>
      <c r="AH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I851" s="34"/>
      <c r="BJ851" s="34"/>
      <c r="BK851" s="34"/>
      <c r="BL851" s="34"/>
      <c r="BM851" s="34"/>
      <c r="BN851" s="34"/>
      <c r="BO851" s="34"/>
      <c r="BP851" s="34"/>
      <c r="BY851" s="34"/>
      <c r="BZ851" s="34"/>
      <c r="CA851" s="34"/>
      <c r="CB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</row>
    <row r="852" ht="15.75" customHeight="1">
      <c r="B852" s="34"/>
      <c r="E852" s="34"/>
      <c r="F852" s="34"/>
      <c r="G852" s="34"/>
      <c r="H852" s="34"/>
      <c r="I852" s="34"/>
      <c r="J852" s="34"/>
      <c r="K852" s="34"/>
      <c r="L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AA852" s="34"/>
      <c r="AB852" s="34"/>
      <c r="AC852" s="34"/>
      <c r="AD852" s="34"/>
      <c r="AE852" s="34"/>
      <c r="AF852" s="34"/>
      <c r="AG852" s="34"/>
      <c r="AH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I852" s="34"/>
      <c r="BJ852" s="34"/>
      <c r="BK852" s="34"/>
      <c r="BL852" s="34"/>
      <c r="BM852" s="34"/>
      <c r="BN852" s="34"/>
      <c r="BO852" s="34"/>
      <c r="BP852" s="34"/>
      <c r="BY852" s="34"/>
      <c r="BZ852" s="34"/>
      <c r="CA852" s="34"/>
      <c r="CB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</row>
    <row r="853" ht="15.75" customHeight="1">
      <c r="B853" s="34"/>
      <c r="E853" s="34"/>
      <c r="F853" s="34"/>
      <c r="G853" s="34"/>
      <c r="H853" s="34"/>
      <c r="I853" s="34"/>
      <c r="J853" s="34"/>
      <c r="K853" s="34"/>
      <c r="L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AA853" s="34"/>
      <c r="AB853" s="34"/>
      <c r="AC853" s="34"/>
      <c r="AD853" s="34"/>
      <c r="AE853" s="34"/>
      <c r="AF853" s="34"/>
      <c r="AG853" s="34"/>
      <c r="AH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I853" s="34"/>
      <c r="BJ853" s="34"/>
      <c r="BK853" s="34"/>
      <c r="BL853" s="34"/>
      <c r="BM853" s="34"/>
      <c r="BN853" s="34"/>
      <c r="BO853" s="34"/>
      <c r="BP853" s="34"/>
      <c r="BY853" s="34"/>
      <c r="BZ853" s="34"/>
      <c r="CA853" s="34"/>
      <c r="CB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</row>
    <row r="854" ht="15.75" customHeight="1">
      <c r="B854" s="34"/>
      <c r="E854" s="34"/>
      <c r="F854" s="34"/>
      <c r="G854" s="34"/>
      <c r="H854" s="34"/>
      <c r="I854" s="34"/>
      <c r="J854" s="34"/>
      <c r="K854" s="34"/>
      <c r="L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AA854" s="34"/>
      <c r="AB854" s="34"/>
      <c r="AC854" s="34"/>
      <c r="AD854" s="34"/>
      <c r="AE854" s="34"/>
      <c r="AF854" s="34"/>
      <c r="AG854" s="34"/>
      <c r="AH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I854" s="34"/>
      <c r="BJ854" s="34"/>
      <c r="BK854" s="34"/>
      <c r="BL854" s="34"/>
      <c r="BM854" s="34"/>
      <c r="BN854" s="34"/>
      <c r="BO854" s="34"/>
      <c r="BP854" s="34"/>
      <c r="BY854" s="34"/>
      <c r="BZ854" s="34"/>
      <c r="CA854" s="34"/>
      <c r="CB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</row>
    <row r="855" ht="15.75" customHeight="1">
      <c r="B855" s="34"/>
      <c r="E855" s="34"/>
      <c r="F855" s="34"/>
      <c r="G855" s="34"/>
      <c r="H855" s="34"/>
      <c r="I855" s="34"/>
      <c r="J855" s="34"/>
      <c r="K855" s="34"/>
      <c r="L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AA855" s="34"/>
      <c r="AB855" s="34"/>
      <c r="AC855" s="34"/>
      <c r="AD855" s="34"/>
      <c r="AE855" s="34"/>
      <c r="AF855" s="34"/>
      <c r="AG855" s="34"/>
      <c r="AH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I855" s="34"/>
      <c r="BJ855" s="34"/>
      <c r="BK855" s="34"/>
      <c r="BL855" s="34"/>
      <c r="BM855" s="34"/>
      <c r="BN855" s="34"/>
      <c r="BO855" s="34"/>
      <c r="BP855" s="34"/>
      <c r="BY855" s="34"/>
      <c r="BZ855" s="34"/>
      <c r="CA855" s="34"/>
      <c r="CB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</row>
    <row r="856" ht="15.75" customHeight="1">
      <c r="B856" s="34"/>
      <c r="E856" s="34"/>
      <c r="F856" s="34"/>
      <c r="G856" s="34"/>
      <c r="H856" s="34"/>
      <c r="I856" s="34"/>
      <c r="J856" s="34"/>
      <c r="K856" s="34"/>
      <c r="L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AA856" s="34"/>
      <c r="AB856" s="34"/>
      <c r="AC856" s="34"/>
      <c r="AD856" s="34"/>
      <c r="AE856" s="34"/>
      <c r="AF856" s="34"/>
      <c r="AG856" s="34"/>
      <c r="AH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I856" s="34"/>
      <c r="BJ856" s="34"/>
      <c r="BK856" s="34"/>
      <c r="BL856" s="34"/>
      <c r="BM856" s="34"/>
      <c r="BN856" s="34"/>
      <c r="BO856" s="34"/>
      <c r="BP856" s="34"/>
      <c r="BY856" s="34"/>
      <c r="BZ856" s="34"/>
      <c r="CA856" s="34"/>
      <c r="CB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</row>
    <row r="857" ht="15.75" customHeight="1">
      <c r="B857" s="34"/>
      <c r="E857" s="34"/>
      <c r="F857" s="34"/>
      <c r="G857" s="34"/>
      <c r="H857" s="34"/>
      <c r="I857" s="34"/>
      <c r="J857" s="34"/>
      <c r="K857" s="34"/>
      <c r="L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AA857" s="34"/>
      <c r="AB857" s="34"/>
      <c r="AC857" s="34"/>
      <c r="AD857" s="34"/>
      <c r="AE857" s="34"/>
      <c r="AF857" s="34"/>
      <c r="AG857" s="34"/>
      <c r="AH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I857" s="34"/>
      <c r="BJ857" s="34"/>
      <c r="BK857" s="34"/>
      <c r="BL857" s="34"/>
      <c r="BM857" s="34"/>
      <c r="BN857" s="34"/>
      <c r="BO857" s="34"/>
      <c r="BP857" s="34"/>
      <c r="BY857" s="34"/>
      <c r="BZ857" s="34"/>
      <c r="CA857" s="34"/>
      <c r="CB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</row>
    <row r="858" ht="15.75" customHeight="1">
      <c r="B858" s="34"/>
      <c r="E858" s="34"/>
      <c r="F858" s="34"/>
      <c r="G858" s="34"/>
      <c r="H858" s="34"/>
      <c r="I858" s="34"/>
      <c r="J858" s="34"/>
      <c r="K858" s="34"/>
      <c r="L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AA858" s="34"/>
      <c r="AB858" s="34"/>
      <c r="AC858" s="34"/>
      <c r="AD858" s="34"/>
      <c r="AE858" s="34"/>
      <c r="AF858" s="34"/>
      <c r="AG858" s="34"/>
      <c r="AH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I858" s="34"/>
      <c r="BJ858" s="34"/>
      <c r="BK858" s="34"/>
      <c r="BL858" s="34"/>
      <c r="BM858" s="34"/>
      <c r="BN858" s="34"/>
      <c r="BO858" s="34"/>
      <c r="BP858" s="34"/>
      <c r="BY858" s="34"/>
      <c r="BZ858" s="34"/>
      <c r="CA858" s="34"/>
      <c r="CB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</row>
    <row r="859" ht="15.75" customHeight="1">
      <c r="B859" s="34"/>
      <c r="E859" s="34"/>
      <c r="F859" s="34"/>
      <c r="G859" s="34"/>
      <c r="H859" s="34"/>
      <c r="I859" s="34"/>
      <c r="J859" s="34"/>
      <c r="K859" s="34"/>
      <c r="L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AA859" s="34"/>
      <c r="AB859" s="34"/>
      <c r="AC859" s="34"/>
      <c r="AD859" s="34"/>
      <c r="AE859" s="34"/>
      <c r="AF859" s="34"/>
      <c r="AG859" s="34"/>
      <c r="AH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I859" s="34"/>
      <c r="BJ859" s="34"/>
      <c r="BK859" s="34"/>
      <c r="BL859" s="34"/>
      <c r="BM859" s="34"/>
      <c r="BN859" s="34"/>
      <c r="BO859" s="34"/>
      <c r="BP859" s="34"/>
      <c r="BY859" s="34"/>
      <c r="BZ859" s="34"/>
      <c r="CA859" s="34"/>
      <c r="CB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</row>
    <row r="860" ht="15.75" customHeight="1">
      <c r="B860" s="34"/>
      <c r="E860" s="34"/>
      <c r="F860" s="34"/>
      <c r="G860" s="34"/>
      <c r="H860" s="34"/>
      <c r="I860" s="34"/>
      <c r="J860" s="34"/>
      <c r="K860" s="34"/>
      <c r="L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AA860" s="34"/>
      <c r="AB860" s="34"/>
      <c r="AC860" s="34"/>
      <c r="AD860" s="34"/>
      <c r="AE860" s="34"/>
      <c r="AF860" s="34"/>
      <c r="AG860" s="34"/>
      <c r="AH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I860" s="34"/>
      <c r="BJ860" s="34"/>
      <c r="BK860" s="34"/>
      <c r="BL860" s="34"/>
      <c r="BM860" s="34"/>
      <c r="BN860" s="34"/>
      <c r="BO860" s="34"/>
      <c r="BP860" s="34"/>
      <c r="BY860" s="34"/>
      <c r="BZ860" s="34"/>
      <c r="CA860" s="34"/>
      <c r="CB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</row>
    <row r="861" ht="15.75" customHeight="1">
      <c r="B861" s="34"/>
      <c r="E861" s="34"/>
      <c r="F861" s="34"/>
      <c r="G861" s="34"/>
      <c r="H861" s="34"/>
      <c r="I861" s="34"/>
      <c r="J861" s="34"/>
      <c r="K861" s="34"/>
      <c r="L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AA861" s="34"/>
      <c r="AB861" s="34"/>
      <c r="AC861" s="34"/>
      <c r="AD861" s="34"/>
      <c r="AE861" s="34"/>
      <c r="AF861" s="34"/>
      <c r="AG861" s="34"/>
      <c r="AH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I861" s="34"/>
      <c r="BJ861" s="34"/>
      <c r="BK861" s="34"/>
      <c r="BL861" s="34"/>
      <c r="BM861" s="34"/>
      <c r="BN861" s="34"/>
      <c r="BO861" s="34"/>
      <c r="BP861" s="34"/>
      <c r="BY861" s="34"/>
      <c r="BZ861" s="34"/>
      <c r="CA861" s="34"/>
      <c r="CB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</row>
    <row r="862" ht="15.75" customHeight="1">
      <c r="B862" s="34"/>
      <c r="E862" s="34"/>
      <c r="F862" s="34"/>
      <c r="G862" s="34"/>
      <c r="H862" s="34"/>
      <c r="I862" s="34"/>
      <c r="J862" s="34"/>
      <c r="K862" s="34"/>
      <c r="L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AA862" s="34"/>
      <c r="AB862" s="34"/>
      <c r="AC862" s="34"/>
      <c r="AD862" s="34"/>
      <c r="AE862" s="34"/>
      <c r="AF862" s="34"/>
      <c r="AG862" s="34"/>
      <c r="AH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I862" s="34"/>
      <c r="BJ862" s="34"/>
      <c r="BK862" s="34"/>
      <c r="BL862" s="34"/>
      <c r="BM862" s="34"/>
      <c r="BN862" s="34"/>
      <c r="BO862" s="34"/>
      <c r="BP862" s="34"/>
      <c r="BY862" s="34"/>
      <c r="BZ862" s="34"/>
      <c r="CA862" s="34"/>
      <c r="CB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</row>
    <row r="863" ht="15.75" customHeight="1">
      <c r="B863" s="34"/>
      <c r="E863" s="34"/>
      <c r="F863" s="34"/>
      <c r="G863" s="34"/>
      <c r="H863" s="34"/>
      <c r="I863" s="34"/>
      <c r="J863" s="34"/>
      <c r="K863" s="34"/>
      <c r="L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AA863" s="34"/>
      <c r="AB863" s="34"/>
      <c r="AC863" s="34"/>
      <c r="AD863" s="34"/>
      <c r="AE863" s="34"/>
      <c r="AF863" s="34"/>
      <c r="AG863" s="34"/>
      <c r="AH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I863" s="34"/>
      <c r="BJ863" s="34"/>
      <c r="BK863" s="34"/>
      <c r="BL863" s="34"/>
      <c r="BM863" s="34"/>
      <c r="BN863" s="34"/>
      <c r="BO863" s="34"/>
      <c r="BP863" s="34"/>
      <c r="BY863" s="34"/>
      <c r="BZ863" s="34"/>
      <c r="CA863" s="34"/>
      <c r="CB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</row>
    <row r="864" ht="15.75" customHeight="1">
      <c r="B864" s="34"/>
      <c r="E864" s="34"/>
      <c r="F864" s="34"/>
      <c r="G864" s="34"/>
      <c r="H864" s="34"/>
      <c r="I864" s="34"/>
      <c r="J864" s="34"/>
      <c r="K864" s="34"/>
      <c r="L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AA864" s="34"/>
      <c r="AB864" s="34"/>
      <c r="AC864" s="34"/>
      <c r="AD864" s="34"/>
      <c r="AE864" s="34"/>
      <c r="AF864" s="34"/>
      <c r="AG864" s="34"/>
      <c r="AH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I864" s="34"/>
      <c r="BJ864" s="34"/>
      <c r="BK864" s="34"/>
      <c r="BL864" s="34"/>
      <c r="BM864" s="34"/>
      <c r="BN864" s="34"/>
      <c r="BO864" s="34"/>
      <c r="BP864" s="34"/>
      <c r="BY864" s="34"/>
      <c r="BZ864" s="34"/>
      <c r="CA864" s="34"/>
      <c r="CB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</row>
    <row r="865" ht="15.75" customHeight="1">
      <c r="B865" s="34"/>
      <c r="E865" s="34"/>
      <c r="F865" s="34"/>
      <c r="G865" s="34"/>
      <c r="H865" s="34"/>
      <c r="I865" s="34"/>
      <c r="J865" s="34"/>
      <c r="K865" s="34"/>
      <c r="L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AA865" s="34"/>
      <c r="AB865" s="34"/>
      <c r="AC865" s="34"/>
      <c r="AD865" s="34"/>
      <c r="AE865" s="34"/>
      <c r="AF865" s="34"/>
      <c r="AG865" s="34"/>
      <c r="AH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I865" s="34"/>
      <c r="BJ865" s="34"/>
      <c r="BK865" s="34"/>
      <c r="BL865" s="34"/>
      <c r="BM865" s="34"/>
      <c r="BN865" s="34"/>
      <c r="BO865" s="34"/>
      <c r="BP865" s="34"/>
      <c r="BY865" s="34"/>
      <c r="BZ865" s="34"/>
      <c r="CA865" s="34"/>
      <c r="CB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</row>
    <row r="866" ht="15.75" customHeight="1">
      <c r="B866" s="34"/>
      <c r="E866" s="34"/>
      <c r="F866" s="34"/>
      <c r="G866" s="34"/>
      <c r="H866" s="34"/>
      <c r="I866" s="34"/>
      <c r="J866" s="34"/>
      <c r="K866" s="34"/>
      <c r="L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AA866" s="34"/>
      <c r="AB866" s="34"/>
      <c r="AC866" s="34"/>
      <c r="AD866" s="34"/>
      <c r="AE866" s="34"/>
      <c r="AF866" s="34"/>
      <c r="AG866" s="34"/>
      <c r="AH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I866" s="34"/>
      <c r="BJ866" s="34"/>
      <c r="BK866" s="34"/>
      <c r="BL866" s="34"/>
      <c r="BM866" s="34"/>
      <c r="BN866" s="34"/>
      <c r="BO866" s="34"/>
      <c r="BP866" s="34"/>
      <c r="BY866" s="34"/>
      <c r="BZ866" s="34"/>
      <c r="CA866" s="34"/>
      <c r="CB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</row>
    <row r="867" ht="15.75" customHeight="1">
      <c r="B867" s="34"/>
      <c r="E867" s="34"/>
      <c r="F867" s="34"/>
      <c r="G867" s="34"/>
      <c r="H867" s="34"/>
      <c r="I867" s="34"/>
      <c r="J867" s="34"/>
      <c r="K867" s="34"/>
      <c r="L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AA867" s="34"/>
      <c r="AB867" s="34"/>
      <c r="AC867" s="34"/>
      <c r="AD867" s="34"/>
      <c r="AE867" s="34"/>
      <c r="AF867" s="34"/>
      <c r="AG867" s="34"/>
      <c r="AH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I867" s="34"/>
      <c r="BJ867" s="34"/>
      <c r="BK867" s="34"/>
      <c r="BL867" s="34"/>
      <c r="BM867" s="34"/>
      <c r="BN867" s="34"/>
      <c r="BO867" s="34"/>
      <c r="BP867" s="34"/>
      <c r="BY867" s="34"/>
      <c r="BZ867" s="34"/>
      <c r="CA867" s="34"/>
      <c r="CB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</row>
    <row r="868" ht="15.75" customHeight="1">
      <c r="B868" s="34"/>
      <c r="E868" s="34"/>
      <c r="F868" s="34"/>
      <c r="G868" s="34"/>
      <c r="H868" s="34"/>
      <c r="I868" s="34"/>
      <c r="J868" s="34"/>
      <c r="K868" s="34"/>
      <c r="L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AA868" s="34"/>
      <c r="AB868" s="34"/>
      <c r="AC868" s="34"/>
      <c r="AD868" s="34"/>
      <c r="AE868" s="34"/>
      <c r="AF868" s="34"/>
      <c r="AG868" s="34"/>
      <c r="AH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I868" s="34"/>
      <c r="BJ868" s="34"/>
      <c r="BK868" s="34"/>
      <c r="BL868" s="34"/>
      <c r="BM868" s="34"/>
      <c r="BN868" s="34"/>
      <c r="BO868" s="34"/>
      <c r="BP868" s="34"/>
      <c r="BY868" s="34"/>
      <c r="BZ868" s="34"/>
      <c r="CA868" s="34"/>
      <c r="CB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</row>
    <row r="869" ht="15.75" customHeight="1">
      <c r="B869" s="34"/>
      <c r="E869" s="34"/>
      <c r="F869" s="34"/>
      <c r="G869" s="34"/>
      <c r="H869" s="34"/>
      <c r="I869" s="34"/>
      <c r="J869" s="34"/>
      <c r="K869" s="34"/>
      <c r="L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AA869" s="34"/>
      <c r="AB869" s="34"/>
      <c r="AC869" s="34"/>
      <c r="AD869" s="34"/>
      <c r="AE869" s="34"/>
      <c r="AF869" s="34"/>
      <c r="AG869" s="34"/>
      <c r="AH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I869" s="34"/>
      <c r="BJ869" s="34"/>
      <c r="BK869" s="34"/>
      <c r="BL869" s="34"/>
      <c r="BM869" s="34"/>
      <c r="BN869" s="34"/>
      <c r="BO869" s="34"/>
      <c r="BP869" s="34"/>
      <c r="BY869" s="34"/>
      <c r="BZ869" s="34"/>
      <c r="CA869" s="34"/>
      <c r="CB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</row>
    <row r="870" ht="15.75" customHeight="1">
      <c r="B870" s="34"/>
      <c r="E870" s="34"/>
      <c r="F870" s="34"/>
      <c r="G870" s="34"/>
      <c r="H870" s="34"/>
      <c r="I870" s="34"/>
      <c r="J870" s="34"/>
      <c r="K870" s="34"/>
      <c r="L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AA870" s="34"/>
      <c r="AB870" s="34"/>
      <c r="AC870" s="34"/>
      <c r="AD870" s="34"/>
      <c r="AE870" s="34"/>
      <c r="AF870" s="34"/>
      <c r="AG870" s="34"/>
      <c r="AH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I870" s="34"/>
      <c r="BJ870" s="34"/>
      <c r="BK870" s="34"/>
      <c r="BL870" s="34"/>
      <c r="BM870" s="34"/>
      <c r="BN870" s="34"/>
      <c r="BO870" s="34"/>
      <c r="BP870" s="34"/>
      <c r="BY870" s="34"/>
      <c r="BZ870" s="34"/>
      <c r="CA870" s="34"/>
      <c r="CB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</row>
    <row r="871" ht="15.75" customHeight="1">
      <c r="B871" s="34"/>
      <c r="E871" s="34"/>
      <c r="F871" s="34"/>
      <c r="G871" s="34"/>
      <c r="H871" s="34"/>
      <c r="I871" s="34"/>
      <c r="J871" s="34"/>
      <c r="K871" s="34"/>
      <c r="L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AA871" s="34"/>
      <c r="AB871" s="34"/>
      <c r="AC871" s="34"/>
      <c r="AD871" s="34"/>
      <c r="AE871" s="34"/>
      <c r="AF871" s="34"/>
      <c r="AG871" s="34"/>
      <c r="AH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I871" s="34"/>
      <c r="BJ871" s="34"/>
      <c r="BK871" s="34"/>
      <c r="BL871" s="34"/>
      <c r="BM871" s="34"/>
      <c r="BN871" s="34"/>
      <c r="BO871" s="34"/>
      <c r="BP871" s="34"/>
      <c r="BY871" s="34"/>
      <c r="BZ871" s="34"/>
      <c r="CA871" s="34"/>
      <c r="CB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</row>
    <row r="872" ht="15.75" customHeight="1">
      <c r="B872" s="34"/>
      <c r="E872" s="34"/>
      <c r="F872" s="34"/>
      <c r="G872" s="34"/>
      <c r="H872" s="34"/>
      <c r="I872" s="34"/>
      <c r="J872" s="34"/>
      <c r="K872" s="34"/>
      <c r="L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AA872" s="34"/>
      <c r="AB872" s="34"/>
      <c r="AC872" s="34"/>
      <c r="AD872" s="34"/>
      <c r="AE872" s="34"/>
      <c r="AF872" s="34"/>
      <c r="AG872" s="34"/>
      <c r="AH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I872" s="34"/>
      <c r="BJ872" s="34"/>
      <c r="BK872" s="34"/>
      <c r="BL872" s="34"/>
      <c r="BM872" s="34"/>
      <c r="BN872" s="34"/>
      <c r="BO872" s="34"/>
      <c r="BP872" s="34"/>
      <c r="BY872" s="34"/>
      <c r="BZ872" s="34"/>
      <c r="CA872" s="34"/>
      <c r="CB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</row>
    <row r="873" ht="15.75" customHeight="1">
      <c r="B873" s="34"/>
      <c r="E873" s="34"/>
      <c r="F873" s="34"/>
      <c r="G873" s="34"/>
      <c r="H873" s="34"/>
      <c r="I873" s="34"/>
      <c r="J873" s="34"/>
      <c r="K873" s="34"/>
      <c r="L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AA873" s="34"/>
      <c r="AB873" s="34"/>
      <c r="AC873" s="34"/>
      <c r="AD873" s="34"/>
      <c r="AE873" s="34"/>
      <c r="AF873" s="34"/>
      <c r="AG873" s="34"/>
      <c r="AH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I873" s="34"/>
      <c r="BJ873" s="34"/>
      <c r="BK873" s="34"/>
      <c r="BL873" s="34"/>
      <c r="BM873" s="34"/>
      <c r="BN873" s="34"/>
      <c r="BO873" s="34"/>
      <c r="BP873" s="34"/>
      <c r="BY873" s="34"/>
      <c r="BZ873" s="34"/>
      <c r="CA873" s="34"/>
      <c r="CB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</row>
    <row r="874" ht="15.75" customHeight="1">
      <c r="B874" s="34"/>
      <c r="E874" s="34"/>
      <c r="F874" s="34"/>
      <c r="G874" s="34"/>
      <c r="H874" s="34"/>
      <c r="I874" s="34"/>
      <c r="J874" s="34"/>
      <c r="K874" s="34"/>
      <c r="L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AA874" s="34"/>
      <c r="AB874" s="34"/>
      <c r="AC874" s="34"/>
      <c r="AD874" s="34"/>
      <c r="AE874" s="34"/>
      <c r="AF874" s="34"/>
      <c r="AG874" s="34"/>
      <c r="AH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I874" s="34"/>
      <c r="BJ874" s="34"/>
      <c r="BK874" s="34"/>
      <c r="BL874" s="34"/>
      <c r="BM874" s="34"/>
      <c r="BN874" s="34"/>
      <c r="BO874" s="34"/>
      <c r="BP874" s="34"/>
      <c r="BY874" s="34"/>
      <c r="BZ874" s="34"/>
      <c r="CA874" s="34"/>
      <c r="CB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</row>
    <row r="875" ht="15.75" customHeight="1">
      <c r="B875" s="34"/>
      <c r="E875" s="34"/>
      <c r="F875" s="34"/>
      <c r="G875" s="34"/>
      <c r="H875" s="34"/>
      <c r="I875" s="34"/>
      <c r="J875" s="34"/>
      <c r="K875" s="34"/>
      <c r="L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AA875" s="34"/>
      <c r="AB875" s="34"/>
      <c r="AC875" s="34"/>
      <c r="AD875" s="34"/>
      <c r="AE875" s="34"/>
      <c r="AF875" s="34"/>
      <c r="AG875" s="34"/>
      <c r="AH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I875" s="34"/>
      <c r="BJ875" s="34"/>
      <c r="BK875" s="34"/>
      <c r="BL875" s="34"/>
      <c r="BM875" s="34"/>
      <c r="BN875" s="34"/>
      <c r="BO875" s="34"/>
      <c r="BP875" s="34"/>
      <c r="BY875" s="34"/>
      <c r="BZ875" s="34"/>
      <c r="CA875" s="34"/>
      <c r="CB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</row>
    <row r="876" ht="15.75" customHeight="1">
      <c r="B876" s="34"/>
      <c r="E876" s="34"/>
      <c r="F876" s="34"/>
      <c r="G876" s="34"/>
      <c r="H876" s="34"/>
      <c r="I876" s="34"/>
      <c r="J876" s="34"/>
      <c r="K876" s="34"/>
      <c r="L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AA876" s="34"/>
      <c r="AB876" s="34"/>
      <c r="AC876" s="34"/>
      <c r="AD876" s="34"/>
      <c r="AE876" s="34"/>
      <c r="AF876" s="34"/>
      <c r="AG876" s="34"/>
      <c r="AH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I876" s="34"/>
      <c r="BJ876" s="34"/>
      <c r="BK876" s="34"/>
      <c r="BL876" s="34"/>
      <c r="BM876" s="34"/>
      <c r="BN876" s="34"/>
      <c r="BO876" s="34"/>
      <c r="BP876" s="34"/>
      <c r="BY876" s="34"/>
      <c r="BZ876" s="34"/>
      <c r="CA876" s="34"/>
      <c r="CB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</row>
    <row r="877" ht="15.75" customHeight="1">
      <c r="B877" s="34"/>
      <c r="E877" s="34"/>
      <c r="F877" s="34"/>
      <c r="G877" s="34"/>
      <c r="H877" s="34"/>
      <c r="I877" s="34"/>
      <c r="J877" s="34"/>
      <c r="K877" s="34"/>
      <c r="L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AA877" s="34"/>
      <c r="AB877" s="34"/>
      <c r="AC877" s="34"/>
      <c r="AD877" s="34"/>
      <c r="AE877" s="34"/>
      <c r="AF877" s="34"/>
      <c r="AG877" s="34"/>
      <c r="AH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I877" s="34"/>
      <c r="BJ877" s="34"/>
      <c r="BK877" s="34"/>
      <c r="BL877" s="34"/>
      <c r="BM877" s="34"/>
      <c r="BN877" s="34"/>
      <c r="BO877" s="34"/>
      <c r="BP877" s="34"/>
      <c r="BY877" s="34"/>
      <c r="BZ877" s="34"/>
      <c r="CA877" s="34"/>
      <c r="CB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</row>
    <row r="878" ht="15.75" customHeight="1">
      <c r="B878" s="34"/>
      <c r="E878" s="34"/>
      <c r="F878" s="34"/>
      <c r="G878" s="34"/>
      <c r="H878" s="34"/>
      <c r="I878" s="34"/>
      <c r="J878" s="34"/>
      <c r="K878" s="34"/>
      <c r="L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AA878" s="34"/>
      <c r="AB878" s="34"/>
      <c r="AC878" s="34"/>
      <c r="AD878" s="34"/>
      <c r="AE878" s="34"/>
      <c r="AF878" s="34"/>
      <c r="AG878" s="34"/>
      <c r="AH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I878" s="34"/>
      <c r="BJ878" s="34"/>
      <c r="BK878" s="34"/>
      <c r="BL878" s="34"/>
      <c r="BM878" s="34"/>
      <c r="BN878" s="34"/>
      <c r="BO878" s="34"/>
      <c r="BP878" s="34"/>
      <c r="BY878" s="34"/>
      <c r="BZ878" s="34"/>
      <c r="CA878" s="34"/>
      <c r="CB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</row>
    <row r="879" ht="15.75" customHeight="1">
      <c r="B879" s="34"/>
      <c r="E879" s="34"/>
      <c r="F879" s="34"/>
      <c r="G879" s="34"/>
      <c r="H879" s="34"/>
      <c r="I879" s="34"/>
      <c r="J879" s="34"/>
      <c r="K879" s="34"/>
      <c r="L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AA879" s="34"/>
      <c r="AB879" s="34"/>
      <c r="AC879" s="34"/>
      <c r="AD879" s="34"/>
      <c r="AE879" s="34"/>
      <c r="AF879" s="34"/>
      <c r="AG879" s="34"/>
      <c r="AH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I879" s="34"/>
      <c r="BJ879" s="34"/>
      <c r="BK879" s="34"/>
      <c r="BL879" s="34"/>
      <c r="BM879" s="34"/>
      <c r="BN879" s="34"/>
      <c r="BO879" s="34"/>
      <c r="BP879" s="34"/>
      <c r="BY879" s="34"/>
      <c r="BZ879" s="34"/>
      <c r="CA879" s="34"/>
      <c r="CB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</row>
    <row r="880" ht="15.75" customHeight="1">
      <c r="B880" s="34"/>
      <c r="E880" s="34"/>
      <c r="F880" s="34"/>
      <c r="G880" s="34"/>
      <c r="H880" s="34"/>
      <c r="I880" s="34"/>
      <c r="J880" s="34"/>
      <c r="K880" s="34"/>
      <c r="L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AA880" s="34"/>
      <c r="AB880" s="34"/>
      <c r="AC880" s="34"/>
      <c r="AD880" s="34"/>
      <c r="AE880" s="34"/>
      <c r="AF880" s="34"/>
      <c r="AG880" s="34"/>
      <c r="AH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I880" s="34"/>
      <c r="BJ880" s="34"/>
      <c r="BK880" s="34"/>
      <c r="BL880" s="34"/>
      <c r="BM880" s="34"/>
      <c r="BN880" s="34"/>
      <c r="BO880" s="34"/>
      <c r="BP880" s="34"/>
      <c r="BY880" s="34"/>
      <c r="BZ880" s="34"/>
      <c r="CA880" s="34"/>
      <c r="CB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</row>
    <row r="881" ht="15.75" customHeight="1">
      <c r="B881" s="34"/>
      <c r="E881" s="34"/>
      <c r="F881" s="34"/>
      <c r="G881" s="34"/>
      <c r="H881" s="34"/>
      <c r="I881" s="34"/>
      <c r="J881" s="34"/>
      <c r="K881" s="34"/>
      <c r="L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AA881" s="34"/>
      <c r="AB881" s="34"/>
      <c r="AC881" s="34"/>
      <c r="AD881" s="34"/>
      <c r="AE881" s="34"/>
      <c r="AF881" s="34"/>
      <c r="AG881" s="34"/>
      <c r="AH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I881" s="34"/>
      <c r="BJ881" s="34"/>
      <c r="BK881" s="34"/>
      <c r="BL881" s="34"/>
      <c r="BM881" s="34"/>
      <c r="BN881" s="34"/>
      <c r="BO881" s="34"/>
      <c r="BP881" s="34"/>
      <c r="BY881" s="34"/>
      <c r="BZ881" s="34"/>
      <c r="CA881" s="34"/>
      <c r="CB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</row>
    <row r="882" ht="15.75" customHeight="1">
      <c r="B882" s="34"/>
      <c r="E882" s="34"/>
      <c r="F882" s="34"/>
      <c r="G882" s="34"/>
      <c r="H882" s="34"/>
      <c r="I882" s="34"/>
      <c r="J882" s="34"/>
      <c r="K882" s="34"/>
      <c r="L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AA882" s="34"/>
      <c r="AB882" s="34"/>
      <c r="AC882" s="34"/>
      <c r="AD882" s="34"/>
      <c r="AE882" s="34"/>
      <c r="AF882" s="34"/>
      <c r="AG882" s="34"/>
      <c r="AH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I882" s="34"/>
      <c r="BJ882" s="34"/>
      <c r="BK882" s="34"/>
      <c r="BL882" s="34"/>
      <c r="BM882" s="34"/>
      <c r="BN882" s="34"/>
      <c r="BO882" s="34"/>
      <c r="BP882" s="34"/>
      <c r="BY882" s="34"/>
      <c r="BZ882" s="34"/>
      <c r="CA882" s="34"/>
      <c r="CB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</row>
    <row r="883" ht="15.75" customHeight="1">
      <c r="B883" s="34"/>
      <c r="E883" s="34"/>
      <c r="F883" s="34"/>
      <c r="G883" s="34"/>
      <c r="H883" s="34"/>
      <c r="I883" s="34"/>
      <c r="J883" s="34"/>
      <c r="K883" s="34"/>
      <c r="L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AA883" s="34"/>
      <c r="AB883" s="34"/>
      <c r="AC883" s="34"/>
      <c r="AD883" s="34"/>
      <c r="AE883" s="34"/>
      <c r="AF883" s="34"/>
      <c r="AG883" s="34"/>
      <c r="AH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I883" s="34"/>
      <c r="BJ883" s="34"/>
      <c r="BK883" s="34"/>
      <c r="BL883" s="34"/>
      <c r="BM883" s="34"/>
      <c r="BN883" s="34"/>
      <c r="BO883" s="34"/>
      <c r="BP883" s="34"/>
      <c r="BY883" s="34"/>
      <c r="BZ883" s="34"/>
      <c r="CA883" s="34"/>
      <c r="CB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</row>
    <row r="884" ht="15.75" customHeight="1">
      <c r="B884" s="34"/>
      <c r="E884" s="34"/>
      <c r="F884" s="34"/>
      <c r="G884" s="34"/>
      <c r="H884" s="34"/>
      <c r="I884" s="34"/>
      <c r="J884" s="34"/>
      <c r="K884" s="34"/>
      <c r="L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AA884" s="34"/>
      <c r="AB884" s="34"/>
      <c r="AC884" s="34"/>
      <c r="AD884" s="34"/>
      <c r="AE884" s="34"/>
      <c r="AF884" s="34"/>
      <c r="AG884" s="34"/>
      <c r="AH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I884" s="34"/>
      <c r="BJ884" s="34"/>
      <c r="BK884" s="34"/>
      <c r="BL884" s="34"/>
      <c r="BM884" s="34"/>
      <c r="BN884" s="34"/>
      <c r="BO884" s="34"/>
      <c r="BP884" s="34"/>
      <c r="BY884" s="34"/>
      <c r="BZ884" s="34"/>
      <c r="CA884" s="34"/>
      <c r="CB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</row>
    <row r="885" ht="15.75" customHeight="1">
      <c r="B885" s="34"/>
      <c r="E885" s="34"/>
      <c r="F885" s="34"/>
      <c r="G885" s="34"/>
      <c r="H885" s="34"/>
      <c r="I885" s="34"/>
      <c r="J885" s="34"/>
      <c r="K885" s="34"/>
      <c r="L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AA885" s="34"/>
      <c r="AB885" s="34"/>
      <c r="AC885" s="34"/>
      <c r="AD885" s="34"/>
      <c r="AE885" s="34"/>
      <c r="AF885" s="34"/>
      <c r="AG885" s="34"/>
      <c r="AH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I885" s="34"/>
      <c r="BJ885" s="34"/>
      <c r="BK885" s="34"/>
      <c r="BL885" s="34"/>
      <c r="BM885" s="34"/>
      <c r="BN885" s="34"/>
      <c r="BO885" s="34"/>
      <c r="BP885" s="34"/>
      <c r="BY885" s="34"/>
      <c r="BZ885" s="34"/>
      <c r="CA885" s="34"/>
      <c r="CB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</row>
    <row r="886" ht="15.75" customHeight="1">
      <c r="B886" s="34"/>
      <c r="E886" s="34"/>
      <c r="F886" s="34"/>
      <c r="G886" s="34"/>
      <c r="H886" s="34"/>
      <c r="I886" s="34"/>
      <c r="J886" s="34"/>
      <c r="K886" s="34"/>
      <c r="L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AA886" s="34"/>
      <c r="AB886" s="34"/>
      <c r="AC886" s="34"/>
      <c r="AD886" s="34"/>
      <c r="AE886" s="34"/>
      <c r="AF886" s="34"/>
      <c r="AG886" s="34"/>
      <c r="AH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I886" s="34"/>
      <c r="BJ886" s="34"/>
      <c r="BK886" s="34"/>
      <c r="BL886" s="34"/>
      <c r="BM886" s="34"/>
      <c r="BN886" s="34"/>
      <c r="BO886" s="34"/>
      <c r="BP886" s="34"/>
      <c r="BY886" s="34"/>
      <c r="BZ886" s="34"/>
      <c r="CA886" s="34"/>
      <c r="CB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</row>
    <row r="887" ht="15.75" customHeight="1">
      <c r="B887" s="34"/>
      <c r="E887" s="34"/>
      <c r="F887" s="34"/>
      <c r="G887" s="34"/>
      <c r="H887" s="34"/>
      <c r="I887" s="34"/>
      <c r="J887" s="34"/>
      <c r="K887" s="34"/>
      <c r="L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AA887" s="34"/>
      <c r="AB887" s="34"/>
      <c r="AC887" s="34"/>
      <c r="AD887" s="34"/>
      <c r="AE887" s="34"/>
      <c r="AF887" s="34"/>
      <c r="AG887" s="34"/>
      <c r="AH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I887" s="34"/>
      <c r="BJ887" s="34"/>
      <c r="BK887" s="34"/>
      <c r="BL887" s="34"/>
      <c r="BM887" s="34"/>
      <c r="BN887" s="34"/>
      <c r="BO887" s="34"/>
      <c r="BP887" s="34"/>
      <c r="BY887" s="34"/>
      <c r="BZ887" s="34"/>
      <c r="CA887" s="34"/>
      <c r="CB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</row>
    <row r="888" ht="15.75" customHeight="1">
      <c r="B888" s="34"/>
      <c r="E888" s="34"/>
      <c r="F888" s="34"/>
      <c r="G888" s="34"/>
      <c r="H888" s="34"/>
      <c r="I888" s="34"/>
      <c r="J888" s="34"/>
      <c r="K888" s="34"/>
      <c r="L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AA888" s="34"/>
      <c r="AB888" s="34"/>
      <c r="AC888" s="34"/>
      <c r="AD888" s="34"/>
      <c r="AE888" s="34"/>
      <c r="AF888" s="34"/>
      <c r="AG888" s="34"/>
      <c r="AH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I888" s="34"/>
      <c r="BJ888" s="34"/>
      <c r="BK888" s="34"/>
      <c r="BL888" s="34"/>
      <c r="BM888" s="34"/>
      <c r="BN888" s="34"/>
      <c r="BO888" s="34"/>
      <c r="BP888" s="34"/>
      <c r="BY888" s="34"/>
      <c r="BZ888" s="34"/>
      <c r="CA888" s="34"/>
      <c r="CB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</row>
    <row r="889" ht="15.75" customHeight="1">
      <c r="B889" s="34"/>
      <c r="E889" s="34"/>
      <c r="F889" s="34"/>
      <c r="G889" s="34"/>
      <c r="H889" s="34"/>
      <c r="I889" s="34"/>
      <c r="J889" s="34"/>
      <c r="K889" s="34"/>
      <c r="L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AA889" s="34"/>
      <c r="AB889" s="34"/>
      <c r="AC889" s="34"/>
      <c r="AD889" s="34"/>
      <c r="AE889" s="34"/>
      <c r="AF889" s="34"/>
      <c r="AG889" s="34"/>
      <c r="AH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I889" s="34"/>
      <c r="BJ889" s="34"/>
      <c r="BK889" s="34"/>
      <c r="BL889" s="34"/>
      <c r="BM889" s="34"/>
      <c r="BN889" s="34"/>
      <c r="BO889" s="34"/>
      <c r="BP889" s="34"/>
      <c r="BY889" s="34"/>
      <c r="BZ889" s="34"/>
      <c r="CA889" s="34"/>
      <c r="CB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</row>
    <row r="890" ht="15.75" customHeight="1">
      <c r="B890" s="34"/>
      <c r="E890" s="34"/>
      <c r="F890" s="34"/>
      <c r="G890" s="34"/>
      <c r="H890" s="34"/>
      <c r="I890" s="34"/>
      <c r="J890" s="34"/>
      <c r="K890" s="34"/>
      <c r="L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AA890" s="34"/>
      <c r="AB890" s="34"/>
      <c r="AC890" s="34"/>
      <c r="AD890" s="34"/>
      <c r="AE890" s="34"/>
      <c r="AF890" s="34"/>
      <c r="AG890" s="34"/>
      <c r="AH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I890" s="34"/>
      <c r="BJ890" s="34"/>
      <c r="BK890" s="34"/>
      <c r="BL890" s="34"/>
      <c r="BM890" s="34"/>
      <c r="BN890" s="34"/>
      <c r="BO890" s="34"/>
      <c r="BP890" s="34"/>
      <c r="BY890" s="34"/>
      <c r="BZ890" s="34"/>
      <c r="CA890" s="34"/>
      <c r="CB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</row>
    <row r="891" ht="15.75" customHeight="1">
      <c r="B891" s="34"/>
      <c r="E891" s="34"/>
      <c r="F891" s="34"/>
      <c r="G891" s="34"/>
      <c r="H891" s="34"/>
      <c r="I891" s="34"/>
      <c r="J891" s="34"/>
      <c r="K891" s="34"/>
      <c r="L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AA891" s="34"/>
      <c r="AB891" s="34"/>
      <c r="AC891" s="34"/>
      <c r="AD891" s="34"/>
      <c r="AE891" s="34"/>
      <c r="AF891" s="34"/>
      <c r="AG891" s="34"/>
      <c r="AH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I891" s="34"/>
      <c r="BJ891" s="34"/>
      <c r="BK891" s="34"/>
      <c r="BL891" s="34"/>
      <c r="BM891" s="34"/>
      <c r="BN891" s="34"/>
      <c r="BO891" s="34"/>
      <c r="BP891" s="34"/>
      <c r="BY891" s="34"/>
      <c r="BZ891" s="34"/>
      <c r="CA891" s="34"/>
      <c r="CB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</row>
    <row r="892" ht="15.75" customHeight="1">
      <c r="B892" s="34"/>
      <c r="E892" s="34"/>
      <c r="F892" s="34"/>
      <c r="G892" s="34"/>
      <c r="H892" s="34"/>
      <c r="I892" s="34"/>
      <c r="J892" s="34"/>
      <c r="K892" s="34"/>
      <c r="L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AA892" s="34"/>
      <c r="AB892" s="34"/>
      <c r="AC892" s="34"/>
      <c r="AD892" s="34"/>
      <c r="AE892" s="34"/>
      <c r="AF892" s="34"/>
      <c r="AG892" s="34"/>
      <c r="AH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I892" s="34"/>
      <c r="BJ892" s="34"/>
      <c r="BK892" s="34"/>
      <c r="BL892" s="34"/>
      <c r="BM892" s="34"/>
      <c r="BN892" s="34"/>
      <c r="BO892" s="34"/>
      <c r="BP892" s="34"/>
      <c r="BY892" s="34"/>
      <c r="BZ892" s="34"/>
      <c r="CA892" s="34"/>
      <c r="CB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</row>
    <row r="893" ht="15.75" customHeight="1">
      <c r="B893" s="34"/>
      <c r="E893" s="34"/>
      <c r="F893" s="34"/>
      <c r="G893" s="34"/>
      <c r="H893" s="34"/>
      <c r="I893" s="34"/>
      <c r="J893" s="34"/>
      <c r="K893" s="34"/>
      <c r="L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AA893" s="34"/>
      <c r="AB893" s="34"/>
      <c r="AC893" s="34"/>
      <c r="AD893" s="34"/>
      <c r="AE893" s="34"/>
      <c r="AF893" s="34"/>
      <c r="AG893" s="34"/>
      <c r="AH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I893" s="34"/>
      <c r="BJ893" s="34"/>
      <c r="BK893" s="34"/>
      <c r="BL893" s="34"/>
      <c r="BM893" s="34"/>
      <c r="BN893" s="34"/>
      <c r="BO893" s="34"/>
      <c r="BP893" s="34"/>
      <c r="BY893" s="34"/>
      <c r="BZ893" s="34"/>
      <c r="CA893" s="34"/>
      <c r="CB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</row>
    <row r="894" ht="15.75" customHeight="1">
      <c r="B894" s="34"/>
      <c r="E894" s="34"/>
      <c r="F894" s="34"/>
      <c r="G894" s="34"/>
      <c r="H894" s="34"/>
      <c r="I894" s="34"/>
      <c r="J894" s="34"/>
      <c r="K894" s="34"/>
      <c r="L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AA894" s="34"/>
      <c r="AB894" s="34"/>
      <c r="AC894" s="34"/>
      <c r="AD894" s="34"/>
      <c r="AE894" s="34"/>
      <c r="AF894" s="34"/>
      <c r="AG894" s="34"/>
      <c r="AH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I894" s="34"/>
      <c r="BJ894" s="34"/>
      <c r="BK894" s="34"/>
      <c r="BL894" s="34"/>
      <c r="BM894" s="34"/>
      <c r="BN894" s="34"/>
      <c r="BO894" s="34"/>
      <c r="BP894" s="34"/>
      <c r="BY894" s="34"/>
      <c r="BZ894" s="34"/>
      <c r="CA894" s="34"/>
      <c r="CB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</row>
    <row r="895" ht="15.75" customHeight="1">
      <c r="B895" s="34"/>
      <c r="E895" s="34"/>
      <c r="F895" s="34"/>
      <c r="G895" s="34"/>
      <c r="H895" s="34"/>
      <c r="I895" s="34"/>
      <c r="J895" s="34"/>
      <c r="K895" s="34"/>
      <c r="L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AA895" s="34"/>
      <c r="AB895" s="34"/>
      <c r="AC895" s="34"/>
      <c r="AD895" s="34"/>
      <c r="AE895" s="34"/>
      <c r="AF895" s="34"/>
      <c r="AG895" s="34"/>
      <c r="AH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I895" s="34"/>
      <c r="BJ895" s="34"/>
      <c r="BK895" s="34"/>
      <c r="BL895" s="34"/>
      <c r="BM895" s="34"/>
      <c r="BN895" s="34"/>
      <c r="BO895" s="34"/>
      <c r="BP895" s="34"/>
      <c r="BY895" s="34"/>
      <c r="BZ895" s="34"/>
      <c r="CA895" s="34"/>
      <c r="CB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</row>
    <row r="896" ht="15.75" customHeight="1">
      <c r="B896" s="34"/>
      <c r="E896" s="34"/>
      <c r="F896" s="34"/>
      <c r="G896" s="34"/>
      <c r="H896" s="34"/>
      <c r="I896" s="34"/>
      <c r="J896" s="34"/>
      <c r="K896" s="34"/>
      <c r="L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AA896" s="34"/>
      <c r="AB896" s="34"/>
      <c r="AC896" s="34"/>
      <c r="AD896" s="34"/>
      <c r="AE896" s="34"/>
      <c r="AF896" s="34"/>
      <c r="AG896" s="34"/>
      <c r="AH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I896" s="34"/>
      <c r="BJ896" s="34"/>
      <c r="BK896" s="34"/>
      <c r="BL896" s="34"/>
      <c r="BM896" s="34"/>
      <c r="BN896" s="34"/>
      <c r="BO896" s="34"/>
      <c r="BP896" s="34"/>
      <c r="BY896" s="34"/>
      <c r="BZ896" s="34"/>
      <c r="CA896" s="34"/>
      <c r="CB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</row>
    <row r="897" ht="15.75" customHeight="1">
      <c r="B897" s="34"/>
      <c r="E897" s="34"/>
      <c r="F897" s="34"/>
      <c r="G897" s="34"/>
      <c r="H897" s="34"/>
      <c r="I897" s="34"/>
      <c r="J897" s="34"/>
      <c r="K897" s="34"/>
      <c r="L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AA897" s="34"/>
      <c r="AB897" s="34"/>
      <c r="AC897" s="34"/>
      <c r="AD897" s="34"/>
      <c r="AE897" s="34"/>
      <c r="AF897" s="34"/>
      <c r="AG897" s="34"/>
      <c r="AH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I897" s="34"/>
      <c r="BJ897" s="34"/>
      <c r="BK897" s="34"/>
      <c r="BL897" s="34"/>
      <c r="BM897" s="34"/>
      <c r="BN897" s="34"/>
      <c r="BO897" s="34"/>
      <c r="BP897" s="34"/>
      <c r="BY897" s="34"/>
      <c r="BZ897" s="34"/>
      <c r="CA897" s="34"/>
      <c r="CB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</row>
    <row r="898" ht="15.75" customHeight="1">
      <c r="B898" s="34"/>
      <c r="E898" s="34"/>
      <c r="F898" s="34"/>
      <c r="G898" s="34"/>
      <c r="H898" s="34"/>
      <c r="I898" s="34"/>
      <c r="J898" s="34"/>
      <c r="K898" s="34"/>
      <c r="L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AA898" s="34"/>
      <c r="AB898" s="34"/>
      <c r="AC898" s="34"/>
      <c r="AD898" s="34"/>
      <c r="AE898" s="34"/>
      <c r="AF898" s="34"/>
      <c r="AG898" s="34"/>
      <c r="AH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I898" s="34"/>
      <c r="BJ898" s="34"/>
      <c r="BK898" s="34"/>
      <c r="BL898" s="34"/>
      <c r="BM898" s="34"/>
      <c r="BN898" s="34"/>
      <c r="BO898" s="34"/>
      <c r="BP898" s="34"/>
      <c r="BY898" s="34"/>
      <c r="BZ898" s="34"/>
      <c r="CA898" s="34"/>
      <c r="CB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</row>
    <row r="899" ht="15.75" customHeight="1">
      <c r="B899" s="34"/>
      <c r="E899" s="34"/>
      <c r="F899" s="34"/>
      <c r="G899" s="34"/>
      <c r="H899" s="34"/>
      <c r="I899" s="34"/>
      <c r="J899" s="34"/>
      <c r="K899" s="34"/>
      <c r="L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AA899" s="34"/>
      <c r="AB899" s="34"/>
      <c r="AC899" s="34"/>
      <c r="AD899" s="34"/>
      <c r="AE899" s="34"/>
      <c r="AF899" s="34"/>
      <c r="AG899" s="34"/>
      <c r="AH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I899" s="34"/>
      <c r="BJ899" s="34"/>
      <c r="BK899" s="34"/>
      <c r="BL899" s="34"/>
      <c r="BM899" s="34"/>
      <c r="BN899" s="34"/>
      <c r="BO899" s="34"/>
      <c r="BP899" s="34"/>
      <c r="BY899" s="34"/>
      <c r="BZ899" s="34"/>
      <c r="CA899" s="34"/>
      <c r="CB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</row>
    <row r="900" ht="15.75" customHeight="1">
      <c r="B900" s="34"/>
      <c r="E900" s="34"/>
      <c r="F900" s="34"/>
      <c r="G900" s="34"/>
      <c r="H900" s="34"/>
      <c r="I900" s="34"/>
      <c r="J900" s="34"/>
      <c r="K900" s="34"/>
      <c r="L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AA900" s="34"/>
      <c r="AB900" s="34"/>
      <c r="AC900" s="34"/>
      <c r="AD900" s="34"/>
      <c r="AE900" s="34"/>
      <c r="AF900" s="34"/>
      <c r="AG900" s="34"/>
      <c r="AH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I900" s="34"/>
      <c r="BJ900" s="34"/>
      <c r="BK900" s="34"/>
      <c r="BL900" s="34"/>
      <c r="BM900" s="34"/>
      <c r="BN900" s="34"/>
      <c r="BO900" s="34"/>
      <c r="BP900" s="34"/>
      <c r="BY900" s="34"/>
      <c r="BZ900" s="34"/>
      <c r="CA900" s="34"/>
      <c r="CB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</row>
    <row r="901" ht="15.75" customHeight="1">
      <c r="B901" s="34"/>
      <c r="E901" s="34"/>
      <c r="F901" s="34"/>
      <c r="G901" s="34"/>
      <c r="H901" s="34"/>
      <c r="I901" s="34"/>
      <c r="J901" s="34"/>
      <c r="K901" s="34"/>
      <c r="L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AA901" s="34"/>
      <c r="AB901" s="34"/>
      <c r="AC901" s="34"/>
      <c r="AD901" s="34"/>
      <c r="AE901" s="34"/>
      <c r="AF901" s="34"/>
      <c r="AG901" s="34"/>
      <c r="AH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I901" s="34"/>
      <c r="BJ901" s="34"/>
      <c r="BK901" s="34"/>
      <c r="BL901" s="34"/>
      <c r="BM901" s="34"/>
      <c r="BN901" s="34"/>
      <c r="BO901" s="34"/>
      <c r="BP901" s="34"/>
      <c r="BY901" s="34"/>
      <c r="BZ901" s="34"/>
      <c r="CA901" s="34"/>
      <c r="CB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</row>
    <row r="902" ht="15.75" customHeight="1">
      <c r="B902" s="34"/>
      <c r="E902" s="34"/>
      <c r="F902" s="34"/>
      <c r="G902" s="34"/>
      <c r="H902" s="34"/>
      <c r="I902" s="34"/>
      <c r="J902" s="34"/>
      <c r="K902" s="34"/>
      <c r="L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AA902" s="34"/>
      <c r="AB902" s="34"/>
      <c r="AC902" s="34"/>
      <c r="AD902" s="34"/>
      <c r="AE902" s="34"/>
      <c r="AF902" s="34"/>
      <c r="AG902" s="34"/>
      <c r="AH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I902" s="34"/>
      <c r="BJ902" s="34"/>
      <c r="BK902" s="34"/>
      <c r="BL902" s="34"/>
      <c r="BM902" s="34"/>
      <c r="BN902" s="34"/>
      <c r="BO902" s="34"/>
      <c r="BP902" s="34"/>
      <c r="BY902" s="34"/>
      <c r="BZ902" s="34"/>
      <c r="CA902" s="34"/>
      <c r="CB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</row>
    <row r="903" ht="15.75" customHeight="1">
      <c r="B903" s="34"/>
      <c r="E903" s="34"/>
      <c r="F903" s="34"/>
      <c r="G903" s="34"/>
      <c r="H903" s="34"/>
      <c r="I903" s="34"/>
      <c r="J903" s="34"/>
      <c r="K903" s="34"/>
      <c r="L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AA903" s="34"/>
      <c r="AB903" s="34"/>
      <c r="AC903" s="34"/>
      <c r="AD903" s="34"/>
      <c r="AE903" s="34"/>
      <c r="AF903" s="34"/>
      <c r="AG903" s="34"/>
      <c r="AH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I903" s="34"/>
      <c r="BJ903" s="34"/>
      <c r="BK903" s="34"/>
      <c r="BL903" s="34"/>
      <c r="BM903" s="34"/>
      <c r="BN903" s="34"/>
      <c r="BO903" s="34"/>
      <c r="BP903" s="34"/>
      <c r="BY903" s="34"/>
      <c r="BZ903" s="34"/>
      <c r="CA903" s="34"/>
      <c r="CB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</row>
    <row r="904" ht="15.75" customHeight="1">
      <c r="B904" s="34"/>
      <c r="E904" s="34"/>
      <c r="F904" s="34"/>
      <c r="G904" s="34"/>
      <c r="H904" s="34"/>
      <c r="I904" s="34"/>
      <c r="J904" s="34"/>
      <c r="K904" s="34"/>
      <c r="L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AA904" s="34"/>
      <c r="AB904" s="34"/>
      <c r="AC904" s="34"/>
      <c r="AD904" s="34"/>
      <c r="AE904" s="34"/>
      <c r="AF904" s="34"/>
      <c r="AG904" s="34"/>
      <c r="AH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I904" s="34"/>
      <c r="BJ904" s="34"/>
      <c r="BK904" s="34"/>
      <c r="BL904" s="34"/>
      <c r="BM904" s="34"/>
      <c r="BN904" s="34"/>
      <c r="BO904" s="34"/>
      <c r="BP904" s="34"/>
      <c r="BY904" s="34"/>
      <c r="BZ904" s="34"/>
      <c r="CA904" s="34"/>
      <c r="CB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</row>
    <row r="905" ht="15.75" customHeight="1">
      <c r="B905" s="34"/>
      <c r="E905" s="34"/>
      <c r="F905" s="34"/>
      <c r="G905" s="34"/>
      <c r="H905" s="34"/>
      <c r="I905" s="34"/>
      <c r="J905" s="34"/>
      <c r="K905" s="34"/>
      <c r="L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AA905" s="34"/>
      <c r="AB905" s="34"/>
      <c r="AC905" s="34"/>
      <c r="AD905" s="34"/>
      <c r="AE905" s="34"/>
      <c r="AF905" s="34"/>
      <c r="AG905" s="34"/>
      <c r="AH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I905" s="34"/>
      <c r="BJ905" s="34"/>
      <c r="BK905" s="34"/>
      <c r="BL905" s="34"/>
      <c r="BM905" s="34"/>
      <c r="BN905" s="34"/>
      <c r="BO905" s="34"/>
      <c r="BP905" s="34"/>
      <c r="BY905" s="34"/>
      <c r="BZ905" s="34"/>
      <c r="CA905" s="34"/>
      <c r="CB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</row>
    <row r="906" ht="15.75" customHeight="1">
      <c r="B906" s="34"/>
      <c r="E906" s="34"/>
      <c r="F906" s="34"/>
      <c r="G906" s="34"/>
      <c r="H906" s="34"/>
      <c r="I906" s="34"/>
      <c r="J906" s="34"/>
      <c r="K906" s="34"/>
      <c r="L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AA906" s="34"/>
      <c r="AB906" s="34"/>
      <c r="AC906" s="34"/>
      <c r="AD906" s="34"/>
      <c r="AE906" s="34"/>
      <c r="AF906" s="34"/>
      <c r="AG906" s="34"/>
      <c r="AH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I906" s="34"/>
      <c r="BJ906" s="34"/>
      <c r="BK906" s="34"/>
      <c r="BL906" s="34"/>
      <c r="BM906" s="34"/>
      <c r="BN906" s="34"/>
      <c r="BO906" s="34"/>
      <c r="BP906" s="34"/>
      <c r="BY906" s="34"/>
      <c r="BZ906" s="34"/>
      <c r="CA906" s="34"/>
      <c r="CB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</row>
    <row r="907" ht="15.75" customHeight="1">
      <c r="B907" s="34"/>
      <c r="E907" s="34"/>
      <c r="F907" s="34"/>
      <c r="G907" s="34"/>
      <c r="H907" s="34"/>
      <c r="I907" s="34"/>
      <c r="J907" s="34"/>
      <c r="K907" s="34"/>
      <c r="L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AA907" s="34"/>
      <c r="AB907" s="34"/>
      <c r="AC907" s="34"/>
      <c r="AD907" s="34"/>
      <c r="AE907" s="34"/>
      <c r="AF907" s="34"/>
      <c r="AG907" s="34"/>
      <c r="AH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I907" s="34"/>
      <c r="BJ907" s="34"/>
      <c r="BK907" s="34"/>
      <c r="BL907" s="34"/>
      <c r="BM907" s="34"/>
      <c r="BN907" s="34"/>
      <c r="BO907" s="34"/>
      <c r="BP907" s="34"/>
      <c r="BY907" s="34"/>
      <c r="BZ907" s="34"/>
      <c r="CA907" s="34"/>
      <c r="CB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</row>
    <row r="908" ht="15.75" customHeight="1">
      <c r="B908" s="34"/>
      <c r="E908" s="34"/>
      <c r="F908" s="34"/>
      <c r="G908" s="34"/>
      <c r="H908" s="34"/>
      <c r="I908" s="34"/>
      <c r="J908" s="34"/>
      <c r="K908" s="34"/>
      <c r="L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AA908" s="34"/>
      <c r="AB908" s="34"/>
      <c r="AC908" s="34"/>
      <c r="AD908" s="34"/>
      <c r="AE908" s="34"/>
      <c r="AF908" s="34"/>
      <c r="AG908" s="34"/>
      <c r="AH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I908" s="34"/>
      <c r="BJ908" s="34"/>
      <c r="BK908" s="34"/>
      <c r="BL908" s="34"/>
      <c r="BM908" s="34"/>
      <c r="BN908" s="34"/>
      <c r="BO908" s="34"/>
      <c r="BP908" s="34"/>
      <c r="BY908" s="34"/>
      <c r="BZ908" s="34"/>
      <c r="CA908" s="34"/>
      <c r="CB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</row>
    <row r="909" ht="15.75" customHeight="1">
      <c r="B909" s="34"/>
      <c r="E909" s="34"/>
      <c r="F909" s="34"/>
      <c r="G909" s="34"/>
      <c r="H909" s="34"/>
      <c r="I909" s="34"/>
      <c r="J909" s="34"/>
      <c r="K909" s="34"/>
      <c r="L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AA909" s="34"/>
      <c r="AB909" s="34"/>
      <c r="AC909" s="34"/>
      <c r="AD909" s="34"/>
      <c r="AE909" s="34"/>
      <c r="AF909" s="34"/>
      <c r="AG909" s="34"/>
      <c r="AH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I909" s="34"/>
      <c r="BJ909" s="34"/>
      <c r="BK909" s="34"/>
      <c r="BL909" s="34"/>
      <c r="BM909" s="34"/>
      <c r="BN909" s="34"/>
      <c r="BO909" s="34"/>
      <c r="BP909" s="34"/>
      <c r="BY909" s="34"/>
      <c r="BZ909" s="34"/>
      <c r="CA909" s="34"/>
      <c r="CB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</row>
    <row r="910" ht="15.75" customHeight="1">
      <c r="B910" s="34"/>
      <c r="E910" s="34"/>
      <c r="F910" s="34"/>
      <c r="G910" s="34"/>
      <c r="H910" s="34"/>
      <c r="I910" s="34"/>
      <c r="J910" s="34"/>
      <c r="K910" s="34"/>
      <c r="L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AA910" s="34"/>
      <c r="AB910" s="34"/>
      <c r="AC910" s="34"/>
      <c r="AD910" s="34"/>
      <c r="AE910" s="34"/>
      <c r="AF910" s="34"/>
      <c r="AG910" s="34"/>
      <c r="AH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I910" s="34"/>
      <c r="BJ910" s="34"/>
      <c r="BK910" s="34"/>
      <c r="BL910" s="34"/>
      <c r="BM910" s="34"/>
      <c r="BN910" s="34"/>
      <c r="BO910" s="34"/>
      <c r="BP910" s="34"/>
      <c r="BY910" s="34"/>
      <c r="BZ910" s="34"/>
      <c r="CA910" s="34"/>
      <c r="CB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</row>
    <row r="911" ht="15.75" customHeight="1">
      <c r="B911" s="34"/>
      <c r="E911" s="34"/>
      <c r="F911" s="34"/>
      <c r="G911" s="34"/>
      <c r="H911" s="34"/>
      <c r="I911" s="34"/>
      <c r="J911" s="34"/>
      <c r="K911" s="34"/>
      <c r="L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AA911" s="34"/>
      <c r="AB911" s="34"/>
      <c r="AC911" s="34"/>
      <c r="AD911" s="34"/>
      <c r="AE911" s="34"/>
      <c r="AF911" s="34"/>
      <c r="AG911" s="34"/>
      <c r="AH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I911" s="34"/>
      <c r="BJ911" s="34"/>
      <c r="BK911" s="34"/>
      <c r="BL911" s="34"/>
      <c r="BM911" s="34"/>
      <c r="BN911" s="34"/>
      <c r="BO911" s="34"/>
      <c r="BP911" s="34"/>
      <c r="BY911" s="34"/>
      <c r="BZ911" s="34"/>
      <c r="CA911" s="34"/>
      <c r="CB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</row>
    <row r="912" ht="15.75" customHeight="1">
      <c r="B912" s="34"/>
      <c r="E912" s="34"/>
      <c r="F912" s="34"/>
      <c r="G912" s="34"/>
      <c r="H912" s="34"/>
      <c r="I912" s="34"/>
      <c r="J912" s="34"/>
      <c r="K912" s="34"/>
      <c r="L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AA912" s="34"/>
      <c r="AB912" s="34"/>
      <c r="AC912" s="34"/>
      <c r="AD912" s="34"/>
      <c r="AE912" s="34"/>
      <c r="AF912" s="34"/>
      <c r="AG912" s="34"/>
      <c r="AH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I912" s="34"/>
      <c r="BJ912" s="34"/>
      <c r="BK912" s="34"/>
      <c r="BL912" s="34"/>
      <c r="BM912" s="34"/>
      <c r="BN912" s="34"/>
      <c r="BO912" s="34"/>
      <c r="BP912" s="34"/>
      <c r="BY912" s="34"/>
      <c r="BZ912" s="34"/>
      <c r="CA912" s="34"/>
      <c r="CB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</row>
    <row r="913" ht="15.75" customHeight="1">
      <c r="B913" s="34"/>
      <c r="E913" s="34"/>
      <c r="F913" s="34"/>
      <c r="G913" s="34"/>
      <c r="H913" s="34"/>
      <c r="I913" s="34"/>
      <c r="J913" s="34"/>
      <c r="K913" s="34"/>
      <c r="L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AA913" s="34"/>
      <c r="AB913" s="34"/>
      <c r="AC913" s="34"/>
      <c r="AD913" s="34"/>
      <c r="AE913" s="34"/>
      <c r="AF913" s="34"/>
      <c r="AG913" s="34"/>
      <c r="AH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I913" s="34"/>
      <c r="BJ913" s="34"/>
      <c r="BK913" s="34"/>
      <c r="BL913" s="34"/>
      <c r="BM913" s="34"/>
      <c r="BN913" s="34"/>
      <c r="BO913" s="34"/>
      <c r="BP913" s="34"/>
      <c r="BY913" s="34"/>
      <c r="BZ913" s="34"/>
      <c r="CA913" s="34"/>
      <c r="CB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</row>
    <row r="914" ht="15.75" customHeight="1">
      <c r="B914" s="34"/>
      <c r="E914" s="34"/>
      <c r="F914" s="34"/>
      <c r="G914" s="34"/>
      <c r="H914" s="34"/>
      <c r="I914" s="34"/>
      <c r="J914" s="34"/>
      <c r="K914" s="34"/>
      <c r="L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AA914" s="34"/>
      <c r="AB914" s="34"/>
      <c r="AC914" s="34"/>
      <c r="AD914" s="34"/>
      <c r="AE914" s="34"/>
      <c r="AF914" s="34"/>
      <c r="AG914" s="34"/>
      <c r="AH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I914" s="34"/>
      <c r="BJ914" s="34"/>
      <c r="BK914" s="34"/>
      <c r="BL914" s="34"/>
      <c r="BM914" s="34"/>
      <c r="BN914" s="34"/>
      <c r="BO914" s="34"/>
      <c r="BP914" s="34"/>
      <c r="BY914" s="34"/>
      <c r="BZ914" s="34"/>
      <c r="CA914" s="34"/>
      <c r="CB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</row>
    <row r="915" ht="15.75" customHeight="1">
      <c r="B915" s="34"/>
      <c r="E915" s="34"/>
      <c r="F915" s="34"/>
      <c r="G915" s="34"/>
      <c r="H915" s="34"/>
      <c r="I915" s="34"/>
      <c r="J915" s="34"/>
      <c r="K915" s="34"/>
      <c r="L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AA915" s="34"/>
      <c r="AB915" s="34"/>
      <c r="AC915" s="34"/>
      <c r="AD915" s="34"/>
      <c r="AE915" s="34"/>
      <c r="AF915" s="34"/>
      <c r="AG915" s="34"/>
      <c r="AH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I915" s="34"/>
      <c r="BJ915" s="34"/>
      <c r="BK915" s="34"/>
      <c r="BL915" s="34"/>
      <c r="BM915" s="34"/>
      <c r="BN915" s="34"/>
      <c r="BO915" s="34"/>
      <c r="BP915" s="34"/>
      <c r="BY915" s="34"/>
      <c r="BZ915" s="34"/>
      <c r="CA915" s="34"/>
      <c r="CB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</row>
    <row r="916" ht="15.75" customHeight="1">
      <c r="B916" s="34"/>
      <c r="E916" s="34"/>
      <c r="F916" s="34"/>
      <c r="G916" s="34"/>
      <c r="H916" s="34"/>
      <c r="I916" s="34"/>
      <c r="J916" s="34"/>
      <c r="K916" s="34"/>
      <c r="L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AA916" s="34"/>
      <c r="AB916" s="34"/>
      <c r="AC916" s="34"/>
      <c r="AD916" s="34"/>
      <c r="AE916" s="34"/>
      <c r="AF916" s="34"/>
      <c r="AG916" s="34"/>
      <c r="AH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I916" s="34"/>
      <c r="BJ916" s="34"/>
      <c r="BK916" s="34"/>
      <c r="BL916" s="34"/>
      <c r="BM916" s="34"/>
      <c r="BN916" s="34"/>
      <c r="BO916" s="34"/>
      <c r="BP916" s="34"/>
      <c r="BY916" s="34"/>
      <c r="BZ916" s="34"/>
      <c r="CA916" s="34"/>
      <c r="CB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</row>
    <row r="917" ht="15.75" customHeight="1">
      <c r="B917" s="34"/>
      <c r="E917" s="34"/>
      <c r="F917" s="34"/>
      <c r="G917" s="34"/>
      <c r="H917" s="34"/>
      <c r="I917" s="34"/>
      <c r="J917" s="34"/>
      <c r="K917" s="34"/>
      <c r="L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AA917" s="34"/>
      <c r="AB917" s="34"/>
      <c r="AC917" s="34"/>
      <c r="AD917" s="34"/>
      <c r="AE917" s="34"/>
      <c r="AF917" s="34"/>
      <c r="AG917" s="34"/>
      <c r="AH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I917" s="34"/>
      <c r="BJ917" s="34"/>
      <c r="BK917" s="34"/>
      <c r="BL917" s="34"/>
      <c r="BM917" s="34"/>
      <c r="BN917" s="34"/>
      <c r="BO917" s="34"/>
      <c r="BP917" s="34"/>
      <c r="BY917" s="34"/>
      <c r="BZ917" s="34"/>
      <c r="CA917" s="34"/>
      <c r="CB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</row>
    <row r="918" ht="15.75" customHeight="1">
      <c r="B918" s="34"/>
      <c r="E918" s="34"/>
      <c r="F918" s="34"/>
      <c r="G918" s="34"/>
      <c r="H918" s="34"/>
      <c r="I918" s="34"/>
      <c r="J918" s="34"/>
      <c r="K918" s="34"/>
      <c r="L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AA918" s="34"/>
      <c r="AB918" s="34"/>
      <c r="AC918" s="34"/>
      <c r="AD918" s="34"/>
      <c r="AE918" s="34"/>
      <c r="AF918" s="34"/>
      <c r="AG918" s="34"/>
      <c r="AH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I918" s="34"/>
      <c r="BJ918" s="34"/>
      <c r="BK918" s="34"/>
      <c r="BL918" s="34"/>
      <c r="BM918" s="34"/>
      <c r="BN918" s="34"/>
      <c r="BO918" s="34"/>
      <c r="BP918" s="34"/>
      <c r="BY918" s="34"/>
      <c r="BZ918" s="34"/>
      <c r="CA918" s="34"/>
      <c r="CB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</row>
    <row r="919" ht="15.75" customHeight="1">
      <c r="B919" s="34"/>
      <c r="E919" s="34"/>
      <c r="F919" s="34"/>
      <c r="G919" s="34"/>
      <c r="H919" s="34"/>
      <c r="I919" s="34"/>
      <c r="J919" s="34"/>
      <c r="K919" s="34"/>
      <c r="L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AA919" s="34"/>
      <c r="AB919" s="34"/>
      <c r="AC919" s="34"/>
      <c r="AD919" s="34"/>
      <c r="AE919" s="34"/>
      <c r="AF919" s="34"/>
      <c r="AG919" s="34"/>
      <c r="AH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I919" s="34"/>
      <c r="BJ919" s="34"/>
      <c r="BK919" s="34"/>
      <c r="BL919" s="34"/>
      <c r="BM919" s="34"/>
      <c r="BN919" s="34"/>
      <c r="BO919" s="34"/>
      <c r="BP919" s="34"/>
      <c r="BY919" s="34"/>
      <c r="BZ919" s="34"/>
      <c r="CA919" s="34"/>
      <c r="CB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</row>
    <row r="920" ht="15.75" customHeight="1">
      <c r="B920" s="34"/>
      <c r="E920" s="34"/>
      <c r="F920" s="34"/>
      <c r="G920" s="34"/>
      <c r="H920" s="34"/>
      <c r="I920" s="34"/>
      <c r="J920" s="34"/>
      <c r="K920" s="34"/>
      <c r="L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AA920" s="34"/>
      <c r="AB920" s="34"/>
      <c r="AC920" s="34"/>
      <c r="AD920" s="34"/>
      <c r="AE920" s="34"/>
      <c r="AF920" s="34"/>
      <c r="AG920" s="34"/>
      <c r="AH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I920" s="34"/>
      <c r="BJ920" s="34"/>
      <c r="BK920" s="34"/>
      <c r="BL920" s="34"/>
      <c r="BM920" s="34"/>
      <c r="BN920" s="34"/>
      <c r="BO920" s="34"/>
      <c r="BP920" s="34"/>
      <c r="BY920" s="34"/>
      <c r="BZ920" s="34"/>
      <c r="CA920" s="34"/>
      <c r="CB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</row>
    <row r="921" ht="15.75" customHeight="1">
      <c r="B921" s="34"/>
      <c r="E921" s="34"/>
      <c r="F921" s="34"/>
      <c r="G921" s="34"/>
      <c r="H921" s="34"/>
      <c r="I921" s="34"/>
      <c r="J921" s="34"/>
      <c r="K921" s="34"/>
      <c r="L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AA921" s="34"/>
      <c r="AB921" s="34"/>
      <c r="AC921" s="34"/>
      <c r="AD921" s="34"/>
      <c r="AE921" s="34"/>
      <c r="AF921" s="34"/>
      <c r="AG921" s="34"/>
      <c r="AH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I921" s="34"/>
      <c r="BJ921" s="34"/>
      <c r="BK921" s="34"/>
      <c r="BL921" s="34"/>
      <c r="BM921" s="34"/>
      <c r="BN921" s="34"/>
      <c r="BO921" s="34"/>
      <c r="BP921" s="34"/>
      <c r="BY921" s="34"/>
      <c r="BZ921" s="34"/>
      <c r="CA921" s="34"/>
      <c r="CB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</row>
    <row r="922" ht="15.75" customHeight="1">
      <c r="B922" s="34"/>
      <c r="E922" s="34"/>
      <c r="F922" s="34"/>
      <c r="G922" s="34"/>
      <c r="H922" s="34"/>
      <c r="I922" s="34"/>
      <c r="J922" s="34"/>
      <c r="K922" s="34"/>
      <c r="L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AA922" s="34"/>
      <c r="AB922" s="34"/>
      <c r="AC922" s="34"/>
      <c r="AD922" s="34"/>
      <c r="AE922" s="34"/>
      <c r="AF922" s="34"/>
      <c r="AG922" s="34"/>
      <c r="AH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I922" s="34"/>
      <c r="BJ922" s="34"/>
      <c r="BK922" s="34"/>
      <c r="BL922" s="34"/>
      <c r="BM922" s="34"/>
      <c r="BN922" s="34"/>
      <c r="BO922" s="34"/>
      <c r="BP922" s="34"/>
      <c r="BY922" s="34"/>
      <c r="BZ922" s="34"/>
      <c r="CA922" s="34"/>
      <c r="CB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</row>
    <row r="923" ht="15.75" customHeight="1">
      <c r="B923" s="34"/>
      <c r="E923" s="34"/>
      <c r="F923" s="34"/>
      <c r="G923" s="34"/>
      <c r="H923" s="34"/>
      <c r="I923" s="34"/>
      <c r="J923" s="34"/>
      <c r="K923" s="34"/>
      <c r="L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AA923" s="34"/>
      <c r="AB923" s="34"/>
      <c r="AC923" s="34"/>
      <c r="AD923" s="34"/>
      <c r="AE923" s="34"/>
      <c r="AF923" s="34"/>
      <c r="AG923" s="34"/>
      <c r="AH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I923" s="34"/>
      <c r="BJ923" s="34"/>
      <c r="BK923" s="34"/>
      <c r="BL923" s="34"/>
      <c r="BM923" s="34"/>
      <c r="BN923" s="34"/>
      <c r="BO923" s="34"/>
      <c r="BP923" s="34"/>
      <c r="BY923" s="34"/>
      <c r="BZ923" s="34"/>
      <c r="CA923" s="34"/>
      <c r="CB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</row>
    <row r="924" ht="15.75" customHeight="1">
      <c r="B924" s="34"/>
      <c r="E924" s="34"/>
      <c r="F924" s="34"/>
      <c r="G924" s="34"/>
      <c r="H924" s="34"/>
      <c r="I924" s="34"/>
      <c r="J924" s="34"/>
      <c r="K924" s="34"/>
      <c r="L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AA924" s="34"/>
      <c r="AB924" s="34"/>
      <c r="AC924" s="34"/>
      <c r="AD924" s="34"/>
      <c r="AE924" s="34"/>
      <c r="AF924" s="34"/>
      <c r="AG924" s="34"/>
      <c r="AH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I924" s="34"/>
      <c r="BJ924" s="34"/>
      <c r="BK924" s="34"/>
      <c r="BL924" s="34"/>
      <c r="BM924" s="34"/>
      <c r="BN924" s="34"/>
      <c r="BO924" s="34"/>
      <c r="BP924" s="34"/>
      <c r="BY924" s="34"/>
      <c r="BZ924" s="34"/>
      <c r="CA924" s="34"/>
      <c r="CB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</row>
    <row r="925" ht="15.75" customHeight="1">
      <c r="B925" s="34"/>
      <c r="E925" s="34"/>
      <c r="F925" s="34"/>
      <c r="G925" s="34"/>
      <c r="H925" s="34"/>
      <c r="I925" s="34"/>
      <c r="J925" s="34"/>
      <c r="K925" s="34"/>
      <c r="L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AA925" s="34"/>
      <c r="AB925" s="34"/>
      <c r="AC925" s="34"/>
      <c r="AD925" s="34"/>
      <c r="AE925" s="34"/>
      <c r="AF925" s="34"/>
      <c r="AG925" s="34"/>
      <c r="AH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I925" s="34"/>
      <c r="BJ925" s="34"/>
      <c r="BK925" s="34"/>
      <c r="BL925" s="34"/>
      <c r="BM925" s="34"/>
      <c r="BN925" s="34"/>
      <c r="BO925" s="34"/>
      <c r="BP925" s="34"/>
      <c r="BY925" s="34"/>
      <c r="BZ925" s="34"/>
      <c r="CA925" s="34"/>
      <c r="CB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</row>
    <row r="926" ht="15.75" customHeight="1">
      <c r="B926" s="34"/>
      <c r="E926" s="34"/>
      <c r="F926" s="34"/>
      <c r="G926" s="34"/>
      <c r="H926" s="34"/>
      <c r="I926" s="34"/>
      <c r="J926" s="34"/>
      <c r="K926" s="34"/>
      <c r="L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AA926" s="34"/>
      <c r="AB926" s="34"/>
      <c r="AC926" s="34"/>
      <c r="AD926" s="34"/>
      <c r="AE926" s="34"/>
      <c r="AF926" s="34"/>
      <c r="AG926" s="34"/>
      <c r="AH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I926" s="34"/>
      <c r="BJ926" s="34"/>
      <c r="BK926" s="34"/>
      <c r="BL926" s="34"/>
      <c r="BM926" s="34"/>
      <c r="BN926" s="34"/>
      <c r="BO926" s="34"/>
      <c r="BP926" s="34"/>
      <c r="BY926" s="34"/>
      <c r="BZ926" s="34"/>
      <c r="CA926" s="34"/>
      <c r="CB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</row>
    <row r="927" ht="15.75" customHeight="1">
      <c r="B927" s="34"/>
      <c r="E927" s="34"/>
      <c r="F927" s="34"/>
      <c r="G927" s="34"/>
      <c r="H927" s="34"/>
      <c r="I927" s="34"/>
      <c r="J927" s="34"/>
      <c r="K927" s="34"/>
      <c r="L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AA927" s="34"/>
      <c r="AB927" s="34"/>
      <c r="AC927" s="34"/>
      <c r="AD927" s="34"/>
      <c r="AE927" s="34"/>
      <c r="AF927" s="34"/>
      <c r="AG927" s="34"/>
      <c r="AH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I927" s="34"/>
      <c r="BJ927" s="34"/>
      <c r="BK927" s="34"/>
      <c r="BL927" s="34"/>
      <c r="BM927" s="34"/>
      <c r="BN927" s="34"/>
      <c r="BO927" s="34"/>
      <c r="BP927" s="34"/>
      <c r="BY927" s="34"/>
      <c r="BZ927" s="34"/>
      <c r="CA927" s="34"/>
      <c r="CB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</row>
    <row r="928" ht="15.75" customHeight="1">
      <c r="B928" s="34"/>
      <c r="E928" s="34"/>
      <c r="F928" s="34"/>
      <c r="G928" s="34"/>
      <c r="H928" s="34"/>
      <c r="I928" s="34"/>
      <c r="J928" s="34"/>
      <c r="K928" s="34"/>
      <c r="L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AA928" s="34"/>
      <c r="AB928" s="34"/>
      <c r="AC928" s="34"/>
      <c r="AD928" s="34"/>
      <c r="AE928" s="34"/>
      <c r="AF928" s="34"/>
      <c r="AG928" s="34"/>
      <c r="AH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I928" s="34"/>
      <c r="BJ928" s="34"/>
      <c r="BK928" s="34"/>
      <c r="BL928" s="34"/>
      <c r="BM928" s="34"/>
      <c r="BN928" s="34"/>
      <c r="BO928" s="34"/>
      <c r="BP928" s="34"/>
      <c r="BY928" s="34"/>
      <c r="BZ928" s="34"/>
      <c r="CA928" s="34"/>
      <c r="CB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</row>
    <row r="929" ht="15.75" customHeight="1">
      <c r="B929" s="34"/>
      <c r="E929" s="34"/>
      <c r="F929" s="34"/>
      <c r="G929" s="34"/>
      <c r="H929" s="34"/>
      <c r="I929" s="34"/>
      <c r="J929" s="34"/>
      <c r="K929" s="34"/>
      <c r="L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AA929" s="34"/>
      <c r="AB929" s="34"/>
      <c r="AC929" s="34"/>
      <c r="AD929" s="34"/>
      <c r="AE929" s="34"/>
      <c r="AF929" s="34"/>
      <c r="AG929" s="34"/>
      <c r="AH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I929" s="34"/>
      <c r="BJ929" s="34"/>
      <c r="BK929" s="34"/>
      <c r="BL929" s="34"/>
      <c r="BM929" s="34"/>
      <c r="BN929" s="34"/>
      <c r="BO929" s="34"/>
      <c r="BP929" s="34"/>
      <c r="BY929" s="34"/>
      <c r="BZ929" s="34"/>
      <c r="CA929" s="34"/>
      <c r="CB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</row>
    <row r="930" ht="15.75" customHeight="1">
      <c r="B930" s="34"/>
      <c r="E930" s="34"/>
      <c r="F930" s="34"/>
      <c r="G930" s="34"/>
      <c r="H930" s="34"/>
      <c r="I930" s="34"/>
      <c r="J930" s="34"/>
      <c r="K930" s="34"/>
      <c r="L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AA930" s="34"/>
      <c r="AB930" s="34"/>
      <c r="AC930" s="34"/>
      <c r="AD930" s="34"/>
      <c r="AE930" s="34"/>
      <c r="AF930" s="34"/>
      <c r="AG930" s="34"/>
      <c r="AH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I930" s="34"/>
      <c r="BJ930" s="34"/>
      <c r="BK930" s="34"/>
      <c r="BL930" s="34"/>
      <c r="BM930" s="34"/>
      <c r="BN930" s="34"/>
      <c r="BO930" s="34"/>
      <c r="BP930" s="34"/>
      <c r="BY930" s="34"/>
      <c r="BZ930" s="34"/>
      <c r="CA930" s="34"/>
      <c r="CB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</row>
    <row r="931" ht="15.75" customHeight="1">
      <c r="B931" s="34"/>
      <c r="E931" s="34"/>
      <c r="F931" s="34"/>
      <c r="G931" s="34"/>
      <c r="H931" s="34"/>
      <c r="I931" s="34"/>
      <c r="J931" s="34"/>
      <c r="K931" s="34"/>
      <c r="L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AA931" s="34"/>
      <c r="AB931" s="34"/>
      <c r="AC931" s="34"/>
      <c r="AD931" s="34"/>
      <c r="AE931" s="34"/>
      <c r="AF931" s="34"/>
      <c r="AG931" s="34"/>
      <c r="AH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I931" s="34"/>
      <c r="BJ931" s="34"/>
      <c r="BK931" s="34"/>
      <c r="BL931" s="34"/>
      <c r="BM931" s="34"/>
      <c r="BN931" s="34"/>
      <c r="BO931" s="34"/>
      <c r="BP931" s="34"/>
      <c r="BY931" s="34"/>
      <c r="BZ931" s="34"/>
      <c r="CA931" s="34"/>
      <c r="CB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</row>
    <row r="932" ht="15.75" customHeight="1">
      <c r="B932" s="34"/>
      <c r="E932" s="34"/>
      <c r="F932" s="34"/>
      <c r="G932" s="34"/>
      <c r="H932" s="34"/>
      <c r="I932" s="34"/>
      <c r="J932" s="34"/>
      <c r="K932" s="34"/>
      <c r="L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AA932" s="34"/>
      <c r="AB932" s="34"/>
      <c r="AC932" s="34"/>
      <c r="AD932" s="34"/>
      <c r="AE932" s="34"/>
      <c r="AF932" s="34"/>
      <c r="AG932" s="34"/>
      <c r="AH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I932" s="34"/>
      <c r="BJ932" s="34"/>
      <c r="BK932" s="34"/>
      <c r="BL932" s="34"/>
      <c r="BM932" s="34"/>
      <c r="BN932" s="34"/>
      <c r="BO932" s="34"/>
      <c r="BP932" s="34"/>
      <c r="BY932" s="34"/>
      <c r="BZ932" s="34"/>
      <c r="CA932" s="34"/>
      <c r="CB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</row>
    <row r="933" ht="15.75" customHeight="1">
      <c r="B933" s="34"/>
      <c r="E933" s="34"/>
      <c r="F933" s="34"/>
      <c r="G933" s="34"/>
      <c r="H933" s="34"/>
      <c r="I933" s="34"/>
      <c r="J933" s="34"/>
      <c r="K933" s="34"/>
      <c r="L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AA933" s="34"/>
      <c r="AB933" s="34"/>
      <c r="AC933" s="34"/>
      <c r="AD933" s="34"/>
      <c r="AE933" s="34"/>
      <c r="AF933" s="34"/>
      <c r="AG933" s="34"/>
      <c r="AH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I933" s="34"/>
      <c r="BJ933" s="34"/>
      <c r="BK933" s="34"/>
      <c r="BL933" s="34"/>
      <c r="BM933" s="34"/>
      <c r="BN933" s="34"/>
      <c r="BO933" s="34"/>
      <c r="BP933" s="34"/>
      <c r="BY933" s="34"/>
      <c r="BZ933" s="34"/>
      <c r="CA933" s="34"/>
      <c r="CB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</row>
    <row r="934" ht="15.75" customHeight="1">
      <c r="B934" s="34"/>
      <c r="E934" s="34"/>
      <c r="F934" s="34"/>
      <c r="G934" s="34"/>
      <c r="H934" s="34"/>
      <c r="I934" s="34"/>
      <c r="J934" s="34"/>
      <c r="K934" s="34"/>
      <c r="L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AA934" s="34"/>
      <c r="AB934" s="34"/>
      <c r="AC934" s="34"/>
      <c r="AD934" s="34"/>
      <c r="AE934" s="34"/>
      <c r="AF934" s="34"/>
      <c r="AG934" s="34"/>
      <c r="AH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I934" s="34"/>
      <c r="BJ934" s="34"/>
      <c r="BK934" s="34"/>
      <c r="BL934" s="34"/>
      <c r="BM934" s="34"/>
      <c r="BN934" s="34"/>
      <c r="BO934" s="34"/>
      <c r="BP934" s="34"/>
      <c r="BY934" s="34"/>
      <c r="BZ934" s="34"/>
      <c r="CA934" s="34"/>
      <c r="CB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</row>
    <row r="935" ht="15.75" customHeight="1">
      <c r="B935" s="34"/>
      <c r="E935" s="34"/>
      <c r="F935" s="34"/>
      <c r="G935" s="34"/>
      <c r="H935" s="34"/>
      <c r="I935" s="34"/>
      <c r="J935" s="34"/>
      <c r="K935" s="34"/>
      <c r="L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AA935" s="34"/>
      <c r="AB935" s="34"/>
      <c r="AC935" s="34"/>
      <c r="AD935" s="34"/>
      <c r="AE935" s="34"/>
      <c r="AF935" s="34"/>
      <c r="AG935" s="34"/>
      <c r="AH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I935" s="34"/>
      <c r="BJ935" s="34"/>
      <c r="BK935" s="34"/>
      <c r="BL935" s="34"/>
      <c r="BM935" s="34"/>
      <c r="BN935" s="34"/>
      <c r="BO935" s="34"/>
      <c r="BP935" s="34"/>
      <c r="BY935" s="34"/>
      <c r="BZ935" s="34"/>
      <c r="CA935" s="34"/>
      <c r="CB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</row>
    <row r="936" ht="15.75" customHeight="1">
      <c r="B936" s="34"/>
      <c r="E936" s="34"/>
      <c r="F936" s="34"/>
      <c r="G936" s="34"/>
      <c r="H936" s="34"/>
      <c r="I936" s="34"/>
      <c r="J936" s="34"/>
      <c r="K936" s="34"/>
      <c r="L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AA936" s="34"/>
      <c r="AB936" s="34"/>
      <c r="AC936" s="34"/>
      <c r="AD936" s="34"/>
      <c r="AE936" s="34"/>
      <c r="AF936" s="34"/>
      <c r="AG936" s="34"/>
      <c r="AH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I936" s="34"/>
      <c r="BJ936" s="34"/>
      <c r="BK936" s="34"/>
      <c r="BL936" s="34"/>
      <c r="BM936" s="34"/>
      <c r="BN936" s="34"/>
      <c r="BO936" s="34"/>
      <c r="BP936" s="34"/>
      <c r="BY936" s="34"/>
      <c r="BZ936" s="34"/>
      <c r="CA936" s="34"/>
      <c r="CB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</row>
    <row r="937" ht="15.75" customHeight="1">
      <c r="B937" s="34"/>
      <c r="E937" s="34"/>
      <c r="F937" s="34"/>
      <c r="G937" s="34"/>
      <c r="H937" s="34"/>
      <c r="I937" s="34"/>
      <c r="J937" s="34"/>
      <c r="K937" s="34"/>
      <c r="L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AA937" s="34"/>
      <c r="AB937" s="34"/>
      <c r="AC937" s="34"/>
      <c r="AD937" s="34"/>
      <c r="AE937" s="34"/>
      <c r="AF937" s="34"/>
      <c r="AG937" s="34"/>
      <c r="AH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I937" s="34"/>
      <c r="BJ937" s="34"/>
      <c r="BK937" s="34"/>
      <c r="BL937" s="34"/>
      <c r="BM937" s="34"/>
      <c r="BN937" s="34"/>
      <c r="BO937" s="34"/>
      <c r="BP937" s="34"/>
      <c r="BY937" s="34"/>
      <c r="BZ937" s="34"/>
      <c r="CA937" s="34"/>
      <c r="CB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</row>
    <row r="938" ht="15.75" customHeight="1">
      <c r="B938" s="34"/>
      <c r="E938" s="34"/>
      <c r="F938" s="34"/>
      <c r="G938" s="34"/>
      <c r="H938" s="34"/>
      <c r="I938" s="34"/>
      <c r="J938" s="34"/>
      <c r="K938" s="34"/>
      <c r="L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AA938" s="34"/>
      <c r="AB938" s="34"/>
      <c r="AC938" s="34"/>
      <c r="AD938" s="34"/>
      <c r="AE938" s="34"/>
      <c r="AF938" s="34"/>
      <c r="AG938" s="34"/>
      <c r="AH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I938" s="34"/>
      <c r="BJ938" s="34"/>
      <c r="BK938" s="34"/>
      <c r="BL938" s="34"/>
      <c r="BM938" s="34"/>
      <c r="BN938" s="34"/>
      <c r="BO938" s="34"/>
      <c r="BP938" s="34"/>
      <c r="BY938" s="34"/>
      <c r="BZ938" s="34"/>
      <c r="CA938" s="34"/>
      <c r="CB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</row>
    <row r="939" ht="15.75" customHeight="1">
      <c r="B939" s="34"/>
      <c r="E939" s="34"/>
      <c r="F939" s="34"/>
      <c r="G939" s="34"/>
      <c r="H939" s="34"/>
      <c r="I939" s="34"/>
      <c r="J939" s="34"/>
      <c r="K939" s="34"/>
      <c r="L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AA939" s="34"/>
      <c r="AB939" s="34"/>
      <c r="AC939" s="34"/>
      <c r="AD939" s="34"/>
      <c r="AE939" s="34"/>
      <c r="AF939" s="34"/>
      <c r="AG939" s="34"/>
      <c r="AH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I939" s="34"/>
      <c r="BJ939" s="34"/>
      <c r="BK939" s="34"/>
      <c r="BL939" s="34"/>
      <c r="BM939" s="34"/>
      <c r="BN939" s="34"/>
      <c r="BO939" s="34"/>
      <c r="BP939" s="34"/>
      <c r="BY939" s="34"/>
      <c r="BZ939" s="34"/>
      <c r="CA939" s="34"/>
      <c r="CB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</row>
    <row r="940" ht="15.75" customHeight="1">
      <c r="B940" s="34"/>
      <c r="E940" s="34"/>
      <c r="F940" s="34"/>
      <c r="G940" s="34"/>
      <c r="H940" s="34"/>
      <c r="I940" s="34"/>
      <c r="J940" s="34"/>
      <c r="K940" s="34"/>
      <c r="L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AA940" s="34"/>
      <c r="AB940" s="34"/>
      <c r="AC940" s="34"/>
      <c r="AD940" s="34"/>
      <c r="AE940" s="34"/>
      <c r="AF940" s="34"/>
      <c r="AG940" s="34"/>
      <c r="AH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I940" s="34"/>
      <c r="BJ940" s="34"/>
      <c r="BK940" s="34"/>
      <c r="BL940" s="34"/>
      <c r="BM940" s="34"/>
      <c r="BN940" s="34"/>
      <c r="BO940" s="34"/>
      <c r="BP940" s="34"/>
      <c r="BY940" s="34"/>
      <c r="BZ940" s="34"/>
      <c r="CA940" s="34"/>
      <c r="CB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</row>
    <row r="941" ht="15.75" customHeight="1">
      <c r="B941" s="34"/>
      <c r="E941" s="34"/>
      <c r="F941" s="34"/>
      <c r="G941" s="34"/>
      <c r="H941" s="34"/>
      <c r="I941" s="34"/>
      <c r="J941" s="34"/>
      <c r="K941" s="34"/>
      <c r="L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AA941" s="34"/>
      <c r="AB941" s="34"/>
      <c r="AC941" s="34"/>
      <c r="AD941" s="34"/>
      <c r="AE941" s="34"/>
      <c r="AF941" s="34"/>
      <c r="AG941" s="34"/>
      <c r="AH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I941" s="34"/>
      <c r="BJ941" s="34"/>
      <c r="BK941" s="34"/>
      <c r="BL941" s="34"/>
      <c r="BM941" s="34"/>
      <c r="BN941" s="34"/>
      <c r="BO941" s="34"/>
      <c r="BP941" s="34"/>
      <c r="BY941" s="34"/>
      <c r="BZ941" s="34"/>
      <c r="CA941" s="34"/>
      <c r="CB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</row>
    <row r="942" ht="15.75" customHeight="1">
      <c r="B942" s="34"/>
      <c r="E942" s="34"/>
      <c r="F942" s="34"/>
      <c r="G942" s="34"/>
      <c r="H942" s="34"/>
      <c r="I942" s="34"/>
      <c r="J942" s="34"/>
      <c r="K942" s="34"/>
      <c r="L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AA942" s="34"/>
      <c r="AB942" s="34"/>
      <c r="AC942" s="34"/>
      <c r="AD942" s="34"/>
      <c r="AE942" s="34"/>
      <c r="AF942" s="34"/>
      <c r="AG942" s="34"/>
      <c r="AH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I942" s="34"/>
      <c r="BJ942" s="34"/>
      <c r="BK942" s="34"/>
      <c r="BL942" s="34"/>
      <c r="BM942" s="34"/>
      <c r="BN942" s="34"/>
      <c r="BO942" s="34"/>
      <c r="BP942" s="34"/>
      <c r="BY942" s="34"/>
      <c r="BZ942" s="34"/>
      <c r="CA942" s="34"/>
      <c r="CB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</row>
    <row r="943" ht="15.75" customHeight="1">
      <c r="B943" s="34"/>
      <c r="E943" s="34"/>
      <c r="F943" s="34"/>
      <c r="G943" s="34"/>
      <c r="H943" s="34"/>
      <c r="I943" s="34"/>
      <c r="J943" s="34"/>
      <c r="K943" s="34"/>
      <c r="L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AA943" s="34"/>
      <c r="AB943" s="34"/>
      <c r="AC943" s="34"/>
      <c r="AD943" s="34"/>
      <c r="AE943" s="34"/>
      <c r="AF943" s="34"/>
      <c r="AG943" s="34"/>
      <c r="AH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I943" s="34"/>
      <c r="BJ943" s="34"/>
      <c r="BK943" s="34"/>
      <c r="BL943" s="34"/>
      <c r="BM943" s="34"/>
      <c r="BN943" s="34"/>
      <c r="BO943" s="34"/>
      <c r="BP943" s="34"/>
      <c r="BY943" s="34"/>
      <c r="BZ943" s="34"/>
      <c r="CA943" s="34"/>
      <c r="CB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</row>
    <row r="944" ht="15.75" customHeight="1">
      <c r="B944" s="34"/>
      <c r="E944" s="34"/>
      <c r="F944" s="34"/>
      <c r="G944" s="34"/>
      <c r="H944" s="34"/>
      <c r="I944" s="34"/>
      <c r="J944" s="34"/>
      <c r="K944" s="34"/>
      <c r="L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AA944" s="34"/>
      <c r="AB944" s="34"/>
      <c r="AC944" s="34"/>
      <c r="AD944" s="34"/>
      <c r="AE944" s="34"/>
      <c r="AF944" s="34"/>
      <c r="AG944" s="34"/>
      <c r="AH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I944" s="34"/>
      <c r="BJ944" s="34"/>
      <c r="BK944" s="34"/>
      <c r="BL944" s="34"/>
      <c r="BM944" s="34"/>
      <c r="BN944" s="34"/>
      <c r="BO944" s="34"/>
      <c r="BP944" s="34"/>
      <c r="BY944" s="34"/>
      <c r="BZ944" s="34"/>
      <c r="CA944" s="34"/>
      <c r="CB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</row>
    <row r="945" ht="15.75" customHeight="1">
      <c r="B945" s="34"/>
      <c r="E945" s="34"/>
      <c r="F945" s="34"/>
      <c r="G945" s="34"/>
      <c r="H945" s="34"/>
      <c r="I945" s="34"/>
      <c r="J945" s="34"/>
      <c r="K945" s="34"/>
      <c r="L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AA945" s="34"/>
      <c r="AB945" s="34"/>
      <c r="AC945" s="34"/>
      <c r="AD945" s="34"/>
      <c r="AE945" s="34"/>
      <c r="AF945" s="34"/>
      <c r="AG945" s="34"/>
      <c r="AH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I945" s="34"/>
      <c r="BJ945" s="34"/>
      <c r="BK945" s="34"/>
      <c r="BL945" s="34"/>
      <c r="BM945" s="34"/>
      <c r="BN945" s="34"/>
      <c r="BO945" s="34"/>
      <c r="BP945" s="34"/>
      <c r="BY945" s="34"/>
      <c r="BZ945" s="34"/>
      <c r="CA945" s="34"/>
      <c r="CB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</row>
    <row r="946" ht="15.75" customHeight="1">
      <c r="B946" s="34"/>
      <c r="E946" s="34"/>
      <c r="F946" s="34"/>
      <c r="G946" s="34"/>
      <c r="H946" s="34"/>
      <c r="I946" s="34"/>
      <c r="J946" s="34"/>
      <c r="K946" s="34"/>
      <c r="L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AA946" s="34"/>
      <c r="AB946" s="34"/>
      <c r="AC946" s="34"/>
      <c r="AD946" s="34"/>
      <c r="AE946" s="34"/>
      <c r="AF946" s="34"/>
      <c r="AG946" s="34"/>
      <c r="AH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I946" s="34"/>
      <c r="BJ946" s="34"/>
      <c r="BK946" s="34"/>
      <c r="BL946" s="34"/>
      <c r="BM946" s="34"/>
      <c r="BN946" s="34"/>
      <c r="BO946" s="34"/>
      <c r="BP946" s="34"/>
      <c r="BY946" s="34"/>
      <c r="BZ946" s="34"/>
      <c r="CA946" s="34"/>
      <c r="CB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</row>
    <row r="947" ht="15.75" customHeight="1">
      <c r="B947" s="34"/>
      <c r="E947" s="34"/>
      <c r="F947" s="34"/>
      <c r="G947" s="34"/>
      <c r="H947" s="34"/>
      <c r="I947" s="34"/>
      <c r="J947" s="34"/>
      <c r="K947" s="34"/>
      <c r="L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AA947" s="34"/>
      <c r="AB947" s="34"/>
      <c r="AC947" s="34"/>
      <c r="AD947" s="34"/>
      <c r="AE947" s="34"/>
      <c r="AF947" s="34"/>
      <c r="AG947" s="34"/>
      <c r="AH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I947" s="34"/>
      <c r="BJ947" s="34"/>
      <c r="BK947" s="34"/>
      <c r="BL947" s="34"/>
      <c r="BM947" s="34"/>
      <c r="BN947" s="34"/>
      <c r="BO947" s="34"/>
      <c r="BP947" s="34"/>
      <c r="BY947" s="34"/>
      <c r="BZ947" s="34"/>
      <c r="CA947" s="34"/>
      <c r="CB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</row>
    <row r="948" ht="15.75" customHeight="1">
      <c r="B948" s="34"/>
      <c r="E948" s="34"/>
      <c r="F948" s="34"/>
      <c r="G948" s="34"/>
      <c r="H948" s="34"/>
      <c r="I948" s="34"/>
      <c r="J948" s="34"/>
      <c r="K948" s="34"/>
      <c r="L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AA948" s="34"/>
      <c r="AB948" s="34"/>
      <c r="AC948" s="34"/>
      <c r="AD948" s="34"/>
      <c r="AE948" s="34"/>
      <c r="AF948" s="34"/>
      <c r="AG948" s="34"/>
      <c r="AH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I948" s="34"/>
      <c r="BJ948" s="34"/>
      <c r="BK948" s="34"/>
      <c r="BL948" s="34"/>
      <c r="BM948" s="34"/>
      <c r="BN948" s="34"/>
      <c r="BO948" s="34"/>
      <c r="BP948" s="34"/>
      <c r="BY948" s="34"/>
      <c r="BZ948" s="34"/>
      <c r="CA948" s="34"/>
      <c r="CB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</row>
    <row r="949" ht="15.75" customHeight="1">
      <c r="B949" s="34"/>
      <c r="E949" s="34"/>
      <c r="F949" s="34"/>
      <c r="G949" s="34"/>
      <c r="H949" s="34"/>
      <c r="I949" s="34"/>
      <c r="J949" s="34"/>
      <c r="K949" s="34"/>
      <c r="L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AA949" s="34"/>
      <c r="AB949" s="34"/>
      <c r="AC949" s="34"/>
      <c r="AD949" s="34"/>
      <c r="AE949" s="34"/>
      <c r="AF949" s="34"/>
      <c r="AG949" s="34"/>
      <c r="AH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I949" s="34"/>
      <c r="BJ949" s="34"/>
      <c r="BK949" s="34"/>
      <c r="BL949" s="34"/>
      <c r="BM949" s="34"/>
      <c r="BN949" s="34"/>
      <c r="BO949" s="34"/>
      <c r="BP949" s="34"/>
      <c r="BY949" s="34"/>
      <c r="BZ949" s="34"/>
      <c r="CA949" s="34"/>
      <c r="CB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</row>
    <row r="950" ht="15.75" customHeight="1">
      <c r="B950" s="34"/>
      <c r="E950" s="34"/>
      <c r="F950" s="34"/>
      <c r="G950" s="34"/>
      <c r="H950" s="34"/>
      <c r="I950" s="34"/>
      <c r="J950" s="34"/>
      <c r="K950" s="34"/>
      <c r="L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AA950" s="34"/>
      <c r="AB950" s="34"/>
      <c r="AC950" s="34"/>
      <c r="AD950" s="34"/>
      <c r="AE950" s="34"/>
      <c r="AF950" s="34"/>
      <c r="AG950" s="34"/>
      <c r="AH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I950" s="34"/>
      <c r="BJ950" s="34"/>
      <c r="BK950" s="34"/>
      <c r="BL950" s="34"/>
      <c r="BM950" s="34"/>
      <c r="BN950" s="34"/>
      <c r="BO950" s="34"/>
      <c r="BP950" s="34"/>
      <c r="BY950" s="34"/>
      <c r="BZ950" s="34"/>
      <c r="CA950" s="34"/>
      <c r="CB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</row>
    <row r="951" ht="15.75" customHeight="1">
      <c r="B951" s="34"/>
      <c r="E951" s="34"/>
      <c r="F951" s="34"/>
      <c r="G951" s="34"/>
      <c r="H951" s="34"/>
      <c r="I951" s="34"/>
      <c r="J951" s="34"/>
      <c r="K951" s="34"/>
      <c r="L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AA951" s="34"/>
      <c r="AB951" s="34"/>
      <c r="AC951" s="34"/>
      <c r="AD951" s="34"/>
      <c r="AE951" s="34"/>
      <c r="AF951" s="34"/>
      <c r="AG951" s="34"/>
      <c r="AH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I951" s="34"/>
      <c r="BJ951" s="34"/>
      <c r="BK951" s="34"/>
      <c r="BL951" s="34"/>
      <c r="BM951" s="34"/>
      <c r="BN951" s="34"/>
      <c r="BO951" s="34"/>
      <c r="BP951" s="34"/>
      <c r="BY951" s="34"/>
      <c r="BZ951" s="34"/>
      <c r="CA951" s="34"/>
      <c r="CB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</row>
    <row r="952" ht="15.75" customHeight="1">
      <c r="B952" s="34"/>
      <c r="E952" s="34"/>
      <c r="F952" s="34"/>
      <c r="G952" s="34"/>
      <c r="H952" s="34"/>
      <c r="I952" s="34"/>
      <c r="J952" s="34"/>
      <c r="K952" s="34"/>
      <c r="L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AA952" s="34"/>
      <c r="AB952" s="34"/>
      <c r="AC952" s="34"/>
      <c r="AD952" s="34"/>
      <c r="AE952" s="34"/>
      <c r="AF952" s="34"/>
      <c r="AG952" s="34"/>
      <c r="AH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I952" s="34"/>
      <c r="BJ952" s="34"/>
      <c r="BK952" s="34"/>
      <c r="BL952" s="34"/>
      <c r="BM952" s="34"/>
      <c r="BN952" s="34"/>
      <c r="BO952" s="34"/>
      <c r="BP952" s="34"/>
      <c r="BY952" s="34"/>
      <c r="BZ952" s="34"/>
      <c r="CA952" s="34"/>
      <c r="CB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</row>
    <row r="953" ht="15.75" customHeight="1">
      <c r="B953" s="34"/>
      <c r="E953" s="34"/>
      <c r="F953" s="34"/>
      <c r="G953" s="34"/>
      <c r="H953" s="34"/>
      <c r="I953" s="34"/>
      <c r="J953" s="34"/>
      <c r="K953" s="34"/>
      <c r="L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AA953" s="34"/>
      <c r="AB953" s="34"/>
      <c r="AC953" s="34"/>
      <c r="AD953" s="34"/>
      <c r="AE953" s="34"/>
      <c r="AF953" s="34"/>
      <c r="AG953" s="34"/>
      <c r="AH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I953" s="34"/>
      <c r="BJ953" s="34"/>
      <c r="BK953" s="34"/>
      <c r="BL953" s="34"/>
      <c r="BM953" s="34"/>
      <c r="BN953" s="34"/>
      <c r="BO953" s="34"/>
      <c r="BP953" s="34"/>
      <c r="BY953" s="34"/>
      <c r="BZ953" s="34"/>
      <c r="CA953" s="34"/>
      <c r="CB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</row>
    <row r="954" ht="15.75" customHeight="1">
      <c r="B954" s="34"/>
      <c r="E954" s="34"/>
      <c r="F954" s="34"/>
      <c r="G954" s="34"/>
      <c r="H954" s="34"/>
      <c r="I954" s="34"/>
      <c r="J954" s="34"/>
      <c r="K954" s="34"/>
      <c r="L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AA954" s="34"/>
      <c r="AB954" s="34"/>
      <c r="AC954" s="34"/>
      <c r="AD954" s="34"/>
      <c r="AE954" s="34"/>
      <c r="AF954" s="34"/>
      <c r="AG954" s="34"/>
      <c r="AH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I954" s="34"/>
      <c r="BJ954" s="34"/>
      <c r="BK954" s="34"/>
      <c r="BL954" s="34"/>
      <c r="BM954" s="34"/>
      <c r="BN954" s="34"/>
      <c r="BO954" s="34"/>
      <c r="BP954" s="34"/>
      <c r="BY954" s="34"/>
      <c r="BZ954" s="34"/>
      <c r="CA954" s="34"/>
      <c r="CB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</row>
    <row r="955" ht="15.75" customHeight="1">
      <c r="B955" s="34"/>
      <c r="E955" s="34"/>
      <c r="F955" s="34"/>
      <c r="G955" s="34"/>
      <c r="H955" s="34"/>
      <c r="I955" s="34"/>
      <c r="J955" s="34"/>
      <c r="K955" s="34"/>
      <c r="L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AA955" s="34"/>
      <c r="AB955" s="34"/>
      <c r="AC955" s="34"/>
      <c r="AD955" s="34"/>
      <c r="AE955" s="34"/>
      <c r="AF955" s="34"/>
      <c r="AG955" s="34"/>
      <c r="AH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I955" s="34"/>
      <c r="BJ955" s="34"/>
      <c r="BK955" s="34"/>
      <c r="BL955" s="34"/>
      <c r="BM955" s="34"/>
      <c r="BN955" s="34"/>
      <c r="BO955" s="34"/>
      <c r="BP955" s="34"/>
      <c r="BY955" s="34"/>
      <c r="BZ955" s="34"/>
      <c r="CA955" s="34"/>
      <c r="CB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</row>
    <row r="956" ht="15.75" customHeight="1">
      <c r="B956" s="34"/>
      <c r="E956" s="34"/>
      <c r="F956" s="34"/>
      <c r="G956" s="34"/>
      <c r="H956" s="34"/>
      <c r="I956" s="34"/>
      <c r="J956" s="34"/>
      <c r="K956" s="34"/>
      <c r="L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AA956" s="34"/>
      <c r="AB956" s="34"/>
      <c r="AC956" s="34"/>
      <c r="AD956" s="34"/>
      <c r="AE956" s="34"/>
      <c r="AF956" s="34"/>
      <c r="AG956" s="34"/>
      <c r="AH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I956" s="34"/>
      <c r="BJ956" s="34"/>
      <c r="BK956" s="34"/>
      <c r="BL956" s="34"/>
      <c r="BM956" s="34"/>
      <c r="BN956" s="34"/>
      <c r="BO956" s="34"/>
      <c r="BP956" s="34"/>
      <c r="BY956" s="34"/>
      <c r="BZ956" s="34"/>
      <c r="CA956" s="34"/>
      <c r="CB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</row>
    <row r="957" ht="15.75" customHeight="1">
      <c r="B957" s="34"/>
      <c r="E957" s="34"/>
      <c r="F957" s="34"/>
      <c r="G957" s="34"/>
      <c r="H957" s="34"/>
      <c r="I957" s="34"/>
      <c r="J957" s="34"/>
      <c r="K957" s="34"/>
      <c r="L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AA957" s="34"/>
      <c r="AB957" s="34"/>
      <c r="AC957" s="34"/>
      <c r="AD957" s="34"/>
      <c r="AE957" s="34"/>
      <c r="AF957" s="34"/>
      <c r="AG957" s="34"/>
      <c r="AH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I957" s="34"/>
      <c r="BJ957" s="34"/>
      <c r="BK957" s="34"/>
      <c r="BL957" s="34"/>
      <c r="BM957" s="34"/>
      <c r="BN957" s="34"/>
      <c r="BO957" s="34"/>
      <c r="BP957" s="34"/>
      <c r="BY957" s="34"/>
      <c r="BZ957" s="34"/>
      <c r="CA957" s="34"/>
      <c r="CB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</row>
    <row r="958" ht="15.75" customHeight="1">
      <c r="B958" s="34"/>
      <c r="E958" s="34"/>
      <c r="F958" s="34"/>
      <c r="G958" s="34"/>
      <c r="H958" s="34"/>
      <c r="I958" s="34"/>
      <c r="J958" s="34"/>
      <c r="K958" s="34"/>
      <c r="L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AA958" s="34"/>
      <c r="AB958" s="34"/>
      <c r="AC958" s="34"/>
      <c r="AD958" s="34"/>
      <c r="AE958" s="34"/>
      <c r="AF958" s="34"/>
      <c r="AG958" s="34"/>
      <c r="AH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I958" s="34"/>
      <c r="BJ958" s="34"/>
      <c r="BK958" s="34"/>
      <c r="BL958" s="34"/>
      <c r="BM958" s="34"/>
      <c r="BN958" s="34"/>
      <c r="BO958" s="34"/>
      <c r="BP958" s="34"/>
      <c r="BY958" s="34"/>
      <c r="BZ958" s="34"/>
      <c r="CA958" s="34"/>
      <c r="CB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</row>
    <row r="959" ht="15.75" customHeight="1">
      <c r="B959" s="34"/>
      <c r="E959" s="34"/>
      <c r="F959" s="34"/>
      <c r="G959" s="34"/>
      <c r="H959" s="34"/>
      <c r="I959" s="34"/>
      <c r="J959" s="34"/>
      <c r="K959" s="34"/>
      <c r="L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AA959" s="34"/>
      <c r="AB959" s="34"/>
      <c r="AC959" s="34"/>
      <c r="AD959" s="34"/>
      <c r="AE959" s="34"/>
      <c r="AF959" s="34"/>
      <c r="AG959" s="34"/>
      <c r="AH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I959" s="34"/>
      <c r="BJ959" s="34"/>
      <c r="BK959" s="34"/>
      <c r="BL959" s="34"/>
      <c r="BM959" s="34"/>
      <c r="BN959" s="34"/>
      <c r="BO959" s="34"/>
      <c r="BP959" s="34"/>
      <c r="BY959" s="34"/>
      <c r="BZ959" s="34"/>
      <c r="CA959" s="34"/>
      <c r="CB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</row>
    <row r="960" ht="15.75" customHeight="1">
      <c r="B960" s="34"/>
      <c r="E960" s="34"/>
      <c r="F960" s="34"/>
      <c r="G960" s="34"/>
      <c r="H960" s="34"/>
      <c r="I960" s="34"/>
      <c r="J960" s="34"/>
      <c r="K960" s="34"/>
      <c r="L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AA960" s="34"/>
      <c r="AB960" s="34"/>
      <c r="AC960" s="34"/>
      <c r="AD960" s="34"/>
      <c r="AE960" s="34"/>
      <c r="AF960" s="34"/>
      <c r="AG960" s="34"/>
      <c r="AH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I960" s="34"/>
      <c r="BJ960" s="34"/>
      <c r="BK960" s="34"/>
      <c r="BL960" s="34"/>
      <c r="BM960" s="34"/>
      <c r="BN960" s="34"/>
      <c r="BO960" s="34"/>
      <c r="BP960" s="34"/>
      <c r="BY960" s="34"/>
      <c r="BZ960" s="34"/>
      <c r="CA960" s="34"/>
      <c r="CB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</row>
    <row r="961" ht="15.75" customHeight="1">
      <c r="B961" s="34"/>
      <c r="E961" s="34"/>
      <c r="F961" s="34"/>
      <c r="G961" s="34"/>
      <c r="H961" s="34"/>
      <c r="I961" s="34"/>
      <c r="J961" s="34"/>
      <c r="K961" s="34"/>
      <c r="L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AA961" s="34"/>
      <c r="AB961" s="34"/>
      <c r="AC961" s="34"/>
      <c r="AD961" s="34"/>
      <c r="AE961" s="34"/>
      <c r="AF961" s="34"/>
      <c r="AG961" s="34"/>
      <c r="AH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I961" s="34"/>
      <c r="BJ961" s="34"/>
      <c r="BK961" s="34"/>
      <c r="BL961" s="34"/>
      <c r="BM961" s="34"/>
      <c r="BN961" s="34"/>
      <c r="BO961" s="34"/>
      <c r="BP961" s="34"/>
      <c r="BY961" s="34"/>
      <c r="BZ961" s="34"/>
      <c r="CA961" s="34"/>
      <c r="CB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</row>
    <row r="962" ht="15.75" customHeight="1">
      <c r="B962" s="34"/>
      <c r="E962" s="34"/>
      <c r="F962" s="34"/>
      <c r="G962" s="34"/>
      <c r="H962" s="34"/>
      <c r="I962" s="34"/>
      <c r="J962" s="34"/>
      <c r="K962" s="34"/>
      <c r="L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AA962" s="34"/>
      <c r="AB962" s="34"/>
      <c r="AC962" s="34"/>
      <c r="AD962" s="34"/>
      <c r="AE962" s="34"/>
      <c r="AF962" s="34"/>
      <c r="AG962" s="34"/>
      <c r="AH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I962" s="34"/>
      <c r="BJ962" s="34"/>
      <c r="BK962" s="34"/>
      <c r="BL962" s="34"/>
      <c r="BM962" s="34"/>
      <c r="BN962" s="34"/>
      <c r="BO962" s="34"/>
      <c r="BP962" s="34"/>
      <c r="BY962" s="34"/>
      <c r="BZ962" s="34"/>
      <c r="CA962" s="34"/>
      <c r="CB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</row>
    <row r="963" ht="15.75" customHeight="1">
      <c r="B963" s="34"/>
      <c r="E963" s="34"/>
      <c r="F963" s="34"/>
      <c r="G963" s="34"/>
      <c r="H963" s="34"/>
      <c r="I963" s="34"/>
      <c r="J963" s="34"/>
      <c r="K963" s="34"/>
      <c r="L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AA963" s="34"/>
      <c r="AB963" s="34"/>
      <c r="AC963" s="34"/>
      <c r="AD963" s="34"/>
      <c r="AE963" s="34"/>
      <c r="AF963" s="34"/>
      <c r="AG963" s="34"/>
      <c r="AH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I963" s="34"/>
      <c r="BJ963" s="34"/>
      <c r="BK963" s="34"/>
      <c r="BL963" s="34"/>
      <c r="BM963" s="34"/>
      <c r="BN963" s="34"/>
      <c r="BO963" s="34"/>
      <c r="BP963" s="34"/>
      <c r="BY963" s="34"/>
      <c r="BZ963" s="34"/>
      <c r="CA963" s="34"/>
      <c r="CB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</row>
    <row r="964" ht="15.75" customHeight="1">
      <c r="B964" s="34"/>
      <c r="E964" s="34"/>
      <c r="F964" s="34"/>
      <c r="G964" s="34"/>
      <c r="H964" s="34"/>
      <c r="I964" s="34"/>
      <c r="J964" s="34"/>
      <c r="K964" s="34"/>
      <c r="L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AA964" s="34"/>
      <c r="AB964" s="34"/>
      <c r="AC964" s="34"/>
      <c r="AD964" s="34"/>
      <c r="AE964" s="34"/>
      <c r="AF964" s="34"/>
      <c r="AG964" s="34"/>
      <c r="AH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I964" s="34"/>
      <c r="BJ964" s="34"/>
      <c r="BK964" s="34"/>
      <c r="BL964" s="34"/>
      <c r="BM964" s="34"/>
      <c r="BN964" s="34"/>
      <c r="BO964" s="34"/>
      <c r="BP964" s="34"/>
      <c r="BY964" s="34"/>
      <c r="BZ964" s="34"/>
      <c r="CA964" s="34"/>
      <c r="CB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</row>
    <row r="965" ht="15.75" customHeight="1">
      <c r="B965" s="34"/>
      <c r="E965" s="34"/>
      <c r="F965" s="34"/>
      <c r="G965" s="34"/>
      <c r="H965" s="34"/>
      <c r="I965" s="34"/>
      <c r="J965" s="34"/>
      <c r="K965" s="34"/>
      <c r="L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AA965" s="34"/>
      <c r="AB965" s="34"/>
      <c r="AC965" s="34"/>
      <c r="AD965" s="34"/>
      <c r="AE965" s="34"/>
      <c r="AF965" s="34"/>
      <c r="AG965" s="34"/>
      <c r="AH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I965" s="34"/>
      <c r="BJ965" s="34"/>
      <c r="BK965" s="34"/>
      <c r="BL965" s="34"/>
      <c r="BM965" s="34"/>
      <c r="BN965" s="34"/>
      <c r="BO965" s="34"/>
      <c r="BP965" s="34"/>
      <c r="BY965" s="34"/>
      <c r="BZ965" s="34"/>
      <c r="CA965" s="34"/>
      <c r="CB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</row>
    <row r="966" ht="15.75" customHeight="1">
      <c r="B966" s="34"/>
      <c r="E966" s="34"/>
      <c r="F966" s="34"/>
      <c r="G966" s="34"/>
      <c r="H966" s="34"/>
      <c r="I966" s="34"/>
      <c r="J966" s="34"/>
      <c r="K966" s="34"/>
      <c r="L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AA966" s="34"/>
      <c r="AB966" s="34"/>
      <c r="AC966" s="34"/>
      <c r="AD966" s="34"/>
      <c r="AE966" s="34"/>
      <c r="AF966" s="34"/>
      <c r="AG966" s="34"/>
      <c r="AH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I966" s="34"/>
      <c r="BJ966" s="34"/>
      <c r="BK966" s="34"/>
      <c r="BL966" s="34"/>
      <c r="BM966" s="34"/>
      <c r="BN966" s="34"/>
      <c r="BO966" s="34"/>
      <c r="BP966" s="34"/>
      <c r="BY966" s="34"/>
      <c r="BZ966" s="34"/>
      <c r="CA966" s="34"/>
      <c r="CB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</row>
    <row r="967" ht="15.75" customHeight="1">
      <c r="B967" s="34"/>
      <c r="E967" s="34"/>
      <c r="F967" s="34"/>
      <c r="G967" s="34"/>
      <c r="H967" s="34"/>
      <c r="I967" s="34"/>
      <c r="J967" s="34"/>
      <c r="K967" s="34"/>
      <c r="L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AA967" s="34"/>
      <c r="AB967" s="34"/>
      <c r="AC967" s="34"/>
      <c r="AD967" s="34"/>
      <c r="AE967" s="34"/>
      <c r="AF967" s="34"/>
      <c r="AG967" s="34"/>
      <c r="AH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I967" s="34"/>
      <c r="BJ967" s="34"/>
      <c r="BK967" s="34"/>
      <c r="BL967" s="34"/>
      <c r="BM967" s="34"/>
      <c r="BN967" s="34"/>
      <c r="BO967" s="34"/>
      <c r="BP967" s="34"/>
      <c r="BY967" s="34"/>
      <c r="BZ967" s="34"/>
      <c r="CA967" s="34"/>
      <c r="CB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</row>
    <row r="968" ht="15.75" customHeight="1">
      <c r="B968" s="34"/>
      <c r="E968" s="34"/>
      <c r="F968" s="34"/>
      <c r="G968" s="34"/>
      <c r="H968" s="34"/>
      <c r="I968" s="34"/>
      <c r="J968" s="34"/>
      <c r="K968" s="34"/>
      <c r="L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AA968" s="34"/>
      <c r="AB968" s="34"/>
      <c r="AC968" s="34"/>
      <c r="AD968" s="34"/>
      <c r="AE968" s="34"/>
      <c r="AF968" s="34"/>
      <c r="AG968" s="34"/>
      <c r="AH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I968" s="34"/>
      <c r="BJ968" s="34"/>
      <c r="BK968" s="34"/>
      <c r="BL968" s="34"/>
      <c r="BM968" s="34"/>
      <c r="BN968" s="34"/>
      <c r="BO968" s="34"/>
      <c r="BP968" s="34"/>
      <c r="BY968" s="34"/>
      <c r="BZ968" s="34"/>
      <c r="CA968" s="34"/>
      <c r="CB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</row>
    <row r="969" ht="15.75" customHeight="1">
      <c r="B969" s="34"/>
      <c r="E969" s="34"/>
      <c r="F969" s="34"/>
      <c r="G969" s="34"/>
      <c r="H969" s="34"/>
      <c r="I969" s="34"/>
      <c r="J969" s="34"/>
      <c r="K969" s="34"/>
      <c r="L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AA969" s="34"/>
      <c r="AB969" s="34"/>
      <c r="AC969" s="34"/>
      <c r="AD969" s="34"/>
      <c r="AE969" s="34"/>
      <c r="AF969" s="34"/>
      <c r="AG969" s="34"/>
      <c r="AH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I969" s="34"/>
      <c r="BJ969" s="34"/>
      <c r="BK969" s="34"/>
      <c r="BL969" s="34"/>
      <c r="BM969" s="34"/>
      <c r="BN969" s="34"/>
      <c r="BO969" s="34"/>
      <c r="BP969" s="34"/>
      <c r="BY969" s="34"/>
      <c r="BZ969" s="34"/>
      <c r="CA969" s="34"/>
      <c r="CB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</row>
    <row r="970" ht="15.75" customHeight="1">
      <c r="B970" s="34"/>
      <c r="E970" s="34"/>
      <c r="F970" s="34"/>
      <c r="G970" s="34"/>
      <c r="H970" s="34"/>
      <c r="I970" s="34"/>
      <c r="J970" s="34"/>
      <c r="K970" s="34"/>
      <c r="L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AA970" s="34"/>
      <c r="AB970" s="34"/>
      <c r="AC970" s="34"/>
      <c r="AD970" s="34"/>
      <c r="AE970" s="34"/>
      <c r="AF970" s="34"/>
      <c r="AG970" s="34"/>
      <c r="AH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I970" s="34"/>
      <c r="BJ970" s="34"/>
      <c r="BK970" s="34"/>
      <c r="BL970" s="34"/>
      <c r="BM970" s="34"/>
      <c r="BN970" s="34"/>
      <c r="BO970" s="34"/>
      <c r="BP970" s="34"/>
      <c r="BY970" s="34"/>
      <c r="BZ970" s="34"/>
      <c r="CA970" s="34"/>
      <c r="CB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</row>
    <row r="971" ht="15.75" customHeight="1">
      <c r="B971" s="34"/>
      <c r="E971" s="34"/>
      <c r="F971" s="34"/>
      <c r="G971" s="34"/>
      <c r="H971" s="34"/>
      <c r="I971" s="34"/>
      <c r="J971" s="34"/>
      <c r="K971" s="34"/>
      <c r="L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AA971" s="34"/>
      <c r="AB971" s="34"/>
      <c r="AC971" s="34"/>
      <c r="AD971" s="34"/>
      <c r="AE971" s="34"/>
      <c r="AF971" s="34"/>
      <c r="AG971" s="34"/>
      <c r="AH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I971" s="34"/>
      <c r="BJ971" s="34"/>
      <c r="BK971" s="34"/>
      <c r="BL971" s="34"/>
      <c r="BM971" s="34"/>
      <c r="BN971" s="34"/>
      <c r="BO971" s="34"/>
      <c r="BP971" s="34"/>
      <c r="BY971" s="34"/>
      <c r="BZ971" s="34"/>
      <c r="CA971" s="34"/>
      <c r="CB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</row>
    <row r="972" ht="15.75" customHeight="1">
      <c r="B972" s="34"/>
      <c r="E972" s="34"/>
      <c r="F972" s="34"/>
      <c r="G972" s="34"/>
      <c r="H972" s="34"/>
      <c r="I972" s="34"/>
      <c r="J972" s="34"/>
      <c r="K972" s="34"/>
      <c r="L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AA972" s="34"/>
      <c r="AB972" s="34"/>
      <c r="AC972" s="34"/>
      <c r="AD972" s="34"/>
      <c r="AE972" s="34"/>
      <c r="AF972" s="34"/>
      <c r="AG972" s="34"/>
      <c r="AH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I972" s="34"/>
      <c r="BJ972" s="34"/>
      <c r="BK972" s="34"/>
      <c r="BL972" s="34"/>
      <c r="BM972" s="34"/>
      <c r="BN972" s="34"/>
      <c r="BO972" s="34"/>
      <c r="BP972" s="34"/>
      <c r="BY972" s="34"/>
      <c r="BZ972" s="34"/>
      <c r="CA972" s="34"/>
      <c r="CB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</row>
    <row r="973" ht="15.75" customHeight="1">
      <c r="B973" s="34"/>
      <c r="E973" s="34"/>
      <c r="F973" s="34"/>
      <c r="G973" s="34"/>
      <c r="H973" s="34"/>
      <c r="I973" s="34"/>
      <c r="J973" s="34"/>
      <c r="K973" s="34"/>
      <c r="L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AA973" s="34"/>
      <c r="AB973" s="34"/>
      <c r="AC973" s="34"/>
      <c r="AD973" s="34"/>
      <c r="AE973" s="34"/>
      <c r="AF973" s="34"/>
      <c r="AG973" s="34"/>
      <c r="AH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I973" s="34"/>
      <c r="BJ973" s="34"/>
      <c r="BK973" s="34"/>
      <c r="BL973" s="34"/>
      <c r="BM973" s="34"/>
      <c r="BN973" s="34"/>
      <c r="BO973" s="34"/>
      <c r="BP973" s="34"/>
      <c r="BY973" s="34"/>
      <c r="BZ973" s="34"/>
      <c r="CA973" s="34"/>
      <c r="CB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</row>
    <row r="974" ht="15.75" customHeight="1">
      <c r="B974" s="34"/>
      <c r="E974" s="34"/>
      <c r="F974" s="34"/>
      <c r="G974" s="34"/>
      <c r="H974" s="34"/>
      <c r="I974" s="34"/>
      <c r="J974" s="34"/>
      <c r="K974" s="34"/>
      <c r="L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AA974" s="34"/>
      <c r="AB974" s="34"/>
      <c r="AC974" s="34"/>
      <c r="AD974" s="34"/>
      <c r="AE974" s="34"/>
      <c r="AF974" s="34"/>
      <c r="AG974" s="34"/>
      <c r="AH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I974" s="34"/>
      <c r="BJ974" s="34"/>
      <c r="BK974" s="34"/>
      <c r="BL974" s="34"/>
      <c r="BM974" s="34"/>
      <c r="BN974" s="34"/>
      <c r="BO974" s="34"/>
      <c r="BP974" s="34"/>
      <c r="BY974" s="34"/>
      <c r="BZ974" s="34"/>
      <c r="CA974" s="34"/>
      <c r="CB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</row>
    <row r="975" ht="15.75" customHeight="1">
      <c r="B975" s="34"/>
      <c r="E975" s="34"/>
      <c r="F975" s="34"/>
      <c r="G975" s="34"/>
      <c r="H975" s="34"/>
      <c r="I975" s="34"/>
      <c r="J975" s="34"/>
      <c r="K975" s="34"/>
      <c r="L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AA975" s="34"/>
      <c r="AB975" s="34"/>
      <c r="AC975" s="34"/>
      <c r="AD975" s="34"/>
      <c r="AE975" s="34"/>
      <c r="AF975" s="34"/>
      <c r="AG975" s="34"/>
      <c r="AH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I975" s="34"/>
      <c r="BJ975" s="34"/>
      <c r="BK975" s="34"/>
      <c r="BL975" s="34"/>
      <c r="BM975" s="34"/>
      <c r="BN975" s="34"/>
      <c r="BO975" s="34"/>
      <c r="BP975" s="34"/>
      <c r="BY975" s="34"/>
      <c r="BZ975" s="34"/>
      <c r="CA975" s="34"/>
      <c r="CB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</row>
    <row r="976" ht="15.75" customHeight="1">
      <c r="B976" s="34"/>
      <c r="E976" s="34"/>
      <c r="F976" s="34"/>
      <c r="G976" s="34"/>
      <c r="H976" s="34"/>
      <c r="I976" s="34"/>
      <c r="J976" s="34"/>
      <c r="K976" s="34"/>
      <c r="L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AA976" s="34"/>
      <c r="AB976" s="34"/>
      <c r="AC976" s="34"/>
      <c r="AD976" s="34"/>
      <c r="AE976" s="34"/>
      <c r="AF976" s="34"/>
      <c r="AG976" s="34"/>
      <c r="AH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I976" s="34"/>
      <c r="BJ976" s="34"/>
      <c r="BK976" s="34"/>
      <c r="BL976" s="34"/>
      <c r="BM976" s="34"/>
      <c r="BN976" s="34"/>
      <c r="BO976" s="34"/>
      <c r="BP976" s="34"/>
      <c r="BY976" s="34"/>
      <c r="BZ976" s="34"/>
      <c r="CA976" s="34"/>
      <c r="CB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</row>
    <row r="977" ht="15.75" customHeight="1">
      <c r="B977" s="34"/>
      <c r="E977" s="34"/>
      <c r="F977" s="34"/>
      <c r="G977" s="34"/>
      <c r="H977" s="34"/>
      <c r="I977" s="34"/>
      <c r="J977" s="34"/>
      <c r="K977" s="34"/>
      <c r="L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AA977" s="34"/>
      <c r="AB977" s="34"/>
      <c r="AC977" s="34"/>
      <c r="AD977" s="34"/>
      <c r="AE977" s="34"/>
      <c r="AF977" s="34"/>
      <c r="AG977" s="34"/>
      <c r="AH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I977" s="34"/>
      <c r="BJ977" s="34"/>
      <c r="BK977" s="34"/>
      <c r="BL977" s="34"/>
      <c r="BM977" s="34"/>
      <c r="BN977" s="34"/>
      <c r="BO977" s="34"/>
      <c r="BP977" s="34"/>
      <c r="BY977" s="34"/>
      <c r="BZ977" s="34"/>
      <c r="CA977" s="34"/>
      <c r="CB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</row>
    <row r="978" ht="15.75" customHeight="1">
      <c r="B978" s="34"/>
      <c r="E978" s="34"/>
      <c r="F978" s="34"/>
      <c r="G978" s="34"/>
      <c r="H978" s="34"/>
      <c r="I978" s="34"/>
      <c r="J978" s="34"/>
      <c r="K978" s="34"/>
      <c r="L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AA978" s="34"/>
      <c r="AB978" s="34"/>
      <c r="AC978" s="34"/>
      <c r="AD978" s="34"/>
      <c r="AE978" s="34"/>
      <c r="AF978" s="34"/>
      <c r="AG978" s="34"/>
      <c r="AH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I978" s="34"/>
      <c r="BJ978" s="34"/>
      <c r="BK978" s="34"/>
      <c r="BL978" s="34"/>
      <c r="BM978" s="34"/>
      <c r="BN978" s="34"/>
      <c r="BO978" s="34"/>
      <c r="BP978" s="34"/>
      <c r="BY978" s="34"/>
      <c r="BZ978" s="34"/>
      <c r="CA978" s="34"/>
      <c r="CB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</row>
    <row r="979" ht="15.75" customHeight="1">
      <c r="B979" s="34"/>
      <c r="E979" s="34"/>
      <c r="F979" s="34"/>
      <c r="G979" s="34"/>
      <c r="H979" s="34"/>
      <c r="I979" s="34"/>
      <c r="J979" s="34"/>
      <c r="K979" s="34"/>
      <c r="L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AA979" s="34"/>
      <c r="AB979" s="34"/>
      <c r="AC979" s="34"/>
      <c r="AD979" s="34"/>
      <c r="AE979" s="34"/>
      <c r="AF979" s="34"/>
      <c r="AG979" s="34"/>
      <c r="AH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I979" s="34"/>
      <c r="BJ979" s="34"/>
      <c r="BK979" s="34"/>
      <c r="BL979" s="34"/>
      <c r="BM979" s="34"/>
      <c r="BN979" s="34"/>
      <c r="BO979" s="34"/>
      <c r="BP979" s="34"/>
      <c r="BY979" s="34"/>
      <c r="BZ979" s="34"/>
      <c r="CA979" s="34"/>
      <c r="CB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</row>
    <row r="980" ht="15.75" customHeight="1">
      <c r="B980" s="34"/>
      <c r="E980" s="34"/>
      <c r="F980" s="34"/>
      <c r="G980" s="34"/>
      <c r="H980" s="34"/>
      <c r="I980" s="34"/>
      <c r="J980" s="34"/>
      <c r="K980" s="34"/>
      <c r="L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AA980" s="34"/>
      <c r="AB980" s="34"/>
      <c r="AC980" s="34"/>
      <c r="AD980" s="34"/>
      <c r="AE980" s="34"/>
      <c r="AF980" s="34"/>
      <c r="AG980" s="34"/>
      <c r="AH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I980" s="34"/>
      <c r="BJ980" s="34"/>
      <c r="BK980" s="34"/>
      <c r="BL980" s="34"/>
      <c r="BM980" s="34"/>
      <c r="BN980" s="34"/>
      <c r="BO980" s="34"/>
      <c r="BP980" s="34"/>
      <c r="BY980" s="34"/>
      <c r="BZ980" s="34"/>
      <c r="CA980" s="34"/>
      <c r="CB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</row>
    <row r="981" ht="15.75" customHeight="1">
      <c r="B981" s="34"/>
      <c r="E981" s="34"/>
      <c r="F981" s="34"/>
      <c r="G981" s="34"/>
      <c r="H981" s="34"/>
      <c r="I981" s="34"/>
      <c r="J981" s="34"/>
      <c r="K981" s="34"/>
      <c r="L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AA981" s="34"/>
      <c r="AB981" s="34"/>
      <c r="AC981" s="34"/>
      <c r="AD981" s="34"/>
      <c r="AE981" s="34"/>
      <c r="AF981" s="34"/>
      <c r="AG981" s="34"/>
      <c r="AH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I981" s="34"/>
      <c r="BJ981" s="34"/>
      <c r="BK981" s="34"/>
      <c r="BL981" s="34"/>
      <c r="BM981" s="34"/>
      <c r="BN981" s="34"/>
      <c r="BO981" s="34"/>
      <c r="BP981" s="34"/>
      <c r="BY981" s="34"/>
      <c r="BZ981" s="34"/>
      <c r="CA981" s="34"/>
      <c r="CB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</row>
    <row r="982" ht="15.75" customHeight="1">
      <c r="B982" s="34"/>
      <c r="E982" s="34"/>
      <c r="F982" s="34"/>
      <c r="G982" s="34"/>
      <c r="H982" s="34"/>
      <c r="I982" s="34"/>
      <c r="J982" s="34"/>
      <c r="K982" s="34"/>
      <c r="L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AA982" s="34"/>
      <c r="AB982" s="34"/>
      <c r="AC982" s="34"/>
      <c r="AD982" s="34"/>
      <c r="AE982" s="34"/>
      <c r="AF982" s="34"/>
      <c r="AG982" s="34"/>
      <c r="AH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I982" s="34"/>
      <c r="BJ982" s="34"/>
      <c r="BK982" s="34"/>
      <c r="BL982" s="34"/>
      <c r="BM982" s="34"/>
      <c r="BN982" s="34"/>
      <c r="BO982" s="34"/>
      <c r="BP982" s="34"/>
      <c r="BY982" s="34"/>
      <c r="BZ982" s="34"/>
      <c r="CA982" s="34"/>
      <c r="CB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</row>
    <row r="983" ht="15.75" customHeight="1">
      <c r="B983" s="34"/>
      <c r="E983" s="34"/>
      <c r="F983" s="34"/>
      <c r="G983" s="34"/>
      <c r="H983" s="34"/>
      <c r="I983" s="34"/>
      <c r="J983" s="34"/>
      <c r="K983" s="34"/>
      <c r="L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AA983" s="34"/>
      <c r="AB983" s="34"/>
      <c r="AC983" s="34"/>
      <c r="AD983" s="34"/>
      <c r="AE983" s="34"/>
      <c r="AF983" s="34"/>
      <c r="AG983" s="34"/>
      <c r="AH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I983" s="34"/>
      <c r="BJ983" s="34"/>
      <c r="BK983" s="34"/>
      <c r="BL983" s="34"/>
      <c r="BM983" s="34"/>
      <c r="BN983" s="34"/>
      <c r="BO983" s="34"/>
      <c r="BP983" s="34"/>
      <c r="BY983" s="34"/>
      <c r="BZ983" s="34"/>
      <c r="CA983" s="34"/>
      <c r="CB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</row>
    <row r="984" ht="15.75" customHeight="1">
      <c r="B984" s="34"/>
      <c r="E984" s="34"/>
      <c r="F984" s="34"/>
      <c r="G984" s="34"/>
      <c r="H984" s="34"/>
      <c r="I984" s="34"/>
      <c r="J984" s="34"/>
      <c r="K984" s="34"/>
      <c r="L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AA984" s="34"/>
      <c r="AB984" s="34"/>
      <c r="AC984" s="34"/>
      <c r="AD984" s="34"/>
      <c r="AE984" s="34"/>
      <c r="AF984" s="34"/>
      <c r="AG984" s="34"/>
      <c r="AH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I984" s="34"/>
      <c r="BJ984" s="34"/>
      <c r="BK984" s="34"/>
      <c r="BL984" s="34"/>
      <c r="BM984" s="34"/>
      <c r="BN984" s="34"/>
      <c r="BO984" s="34"/>
      <c r="BP984" s="34"/>
      <c r="BY984" s="34"/>
      <c r="BZ984" s="34"/>
      <c r="CA984" s="34"/>
      <c r="CB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</row>
    <row r="985" ht="15.75" customHeight="1">
      <c r="B985" s="34"/>
      <c r="E985" s="34"/>
      <c r="F985" s="34"/>
      <c r="G985" s="34"/>
      <c r="H985" s="34"/>
      <c r="I985" s="34"/>
      <c r="J985" s="34"/>
      <c r="K985" s="34"/>
      <c r="L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AA985" s="34"/>
      <c r="AB985" s="34"/>
      <c r="AC985" s="34"/>
      <c r="AD985" s="34"/>
      <c r="AE985" s="34"/>
      <c r="AF985" s="34"/>
      <c r="AG985" s="34"/>
      <c r="AH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I985" s="34"/>
      <c r="BJ985" s="34"/>
      <c r="BK985" s="34"/>
      <c r="BL985" s="34"/>
      <c r="BM985" s="34"/>
      <c r="BN985" s="34"/>
      <c r="BO985" s="34"/>
      <c r="BP985" s="34"/>
      <c r="BY985" s="34"/>
      <c r="BZ985" s="34"/>
      <c r="CA985" s="34"/>
      <c r="CB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</row>
    <row r="986" ht="15.75" customHeight="1">
      <c r="B986" s="34"/>
      <c r="E986" s="34"/>
      <c r="F986" s="34"/>
      <c r="G986" s="34"/>
      <c r="H986" s="34"/>
      <c r="I986" s="34"/>
      <c r="J986" s="34"/>
      <c r="K986" s="34"/>
      <c r="L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AA986" s="34"/>
      <c r="AB986" s="34"/>
      <c r="AC986" s="34"/>
      <c r="AD986" s="34"/>
      <c r="AE986" s="34"/>
      <c r="AF986" s="34"/>
      <c r="AG986" s="34"/>
      <c r="AH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I986" s="34"/>
      <c r="BJ986" s="34"/>
      <c r="BK986" s="34"/>
      <c r="BL986" s="34"/>
      <c r="BM986" s="34"/>
      <c r="BN986" s="34"/>
      <c r="BO986" s="34"/>
      <c r="BP986" s="34"/>
      <c r="BY986" s="34"/>
      <c r="BZ986" s="34"/>
      <c r="CA986" s="34"/>
      <c r="CB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</row>
    <row r="987" ht="15.75" customHeight="1">
      <c r="B987" s="34"/>
      <c r="E987" s="34"/>
      <c r="F987" s="34"/>
      <c r="G987" s="34"/>
      <c r="H987" s="34"/>
      <c r="I987" s="34"/>
      <c r="J987" s="34"/>
      <c r="K987" s="34"/>
      <c r="L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AA987" s="34"/>
      <c r="AB987" s="34"/>
      <c r="AC987" s="34"/>
      <c r="AD987" s="34"/>
      <c r="AE987" s="34"/>
      <c r="AF987" s="34"/>
      <c r="AG987" s="34"/>
      <c r="AH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I987" s="34"/>
      <c r="BJ987" s="34"/>
      <c r="BK987" s="34"/>
      <c r="BL987" s="34"/>
      <c r="BM987" s="34"/>
      <c r="BN987" s="34"/>
      <c r="BO987" s="34"/>
      <c r="BP987" s="34"/>
      <c r="BY987" s="34"/>
      <c r="BZ987" s="34"/>
      <c r="CA987" s="34"/>
      <c r="CB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</row>
    <row r="988" ht="15.75" customHeight="1">
      <c r="B988" s="34"/>
      <c r="E988" s="34"/>
      <c r="F988" s="34"/>
      <c r="G988" s="34"/>
      <c r="H988" s="34"/>
      <c r="I988" s="34"/>
      <c r="J988" s="34"/>
      <c r="K988" s="34"/>
      <c r="L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AA988" s="34"/>
      <c r="AB988" s="34"/>
      <c r="AC988" s="34"/>
      <c r="AD988" s="34"/>
      <c r="AE988" s="34"/>
      <c r="AF988" s="34"/>
      <c r="AG988" s="34"/>
      <c r="AH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I988" s="34"/>
      <c r="BJ988" s="34"/>
      <c r="BK988" s="34"/>
      <c r="BL988" s="34"/>
      <c r="BM988" s="34"/>
      <c r="BN988" s="34"/>
      <c r="BO988" s="34"/>
      <c r="BP988" s="34"/>
      <c r="BY988" s="34"/>
      <c r="BZ988" s="34"/>
      <c r="CA988" s="34"/>
      <c r="CB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</row>
    <row r="989" ht="15.75" customHeight="1">
      <c r="B989" s="34"/>
      <c r="E989" s="34"/>
      <c r="F989" s="34"/>
      <c r="G989" s="34"/>
      <c r="H989" s="34"/>
      <c r="I989" s="34"/>
      <c r="J989" s="34"/>
      <c r="K989" s="34"/>
      <c r="L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AA989" s="34"/>
      <c r="AB989" s="34"/>
      <c r="AC989" s="34"/>
      <c r="AD989" s="34"/>
      <c r="AE989" s="34"/>
      <c r="AF989" s="34"/>
      <c r="AG989" s="34"/>
      <c r="AH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I989" s="34"/>
      <c r="BJ989" s="34"/>
      <c r="BK989" s="34"/>
      <c r="BL989" s="34"/>
      <c r="BM989" s="34"/>
      <c r="BN989" s="34"/>
      <c r="BO989" s="34"/>
      <c r="BP989" s="34"/>
      <c r="BY989" s="34"/>
      <c r="BZ989" s="34"/>
      <c r="CA989" s="34"/>
      <c r="CB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</row>
    <row r="990" ht="15.75" customHeight="1">
      <c r="B990" s="34"/>
      <c r="E990" s="34"/>
      <c r="F990" s="34"/>
      <c r="G990" s="34"/>
      <c r="H990" s="34"/>
      <c r="I990" s="34"/>
      <c r="J990" s="34"/>
      <c r="K990" s="34"/>
      <c r="L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AA990" s="34"/>
      <c r="AB990" s="34"/>
      <c r="AC990" s="34"/>
      <c r="AD990" s="34"/>
      <c r="AE990" s="34"/>
      <c r="AF990" s="34"/>
      <c r="AG990" s="34"/>
      <c r="AH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I990" s="34"/>
      <c r="BJ990" s="34"/>
      <c r="BK990" s="34"/>
      <c r="BL990" s="34"/>
      <c r="BM990" s="34"/>
      <c r="BN990" s="34"/>
      <c r="BO990" s="34"/>
      <c r="BP990" s="34"/>
      <c r="BY990" s="34"/>
      <c r="BZ990" s="34"/>
      <c r="CA990" s="34"/>
      <c r="CB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</row>
    <row r="991" ht="15.75" customHeight="1">
      <c r="B991" s="34"/>
      <c r="E991" s="34"/>
      <c r="F991" s="34"/>
      <c r="G991" s="34"/>
      <c r="H991" s="34"/>
      <c r="I991" s="34"/>
      <c r="J991" s="34"/>
      <c r="K991" s="34"/>
      <c r="L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AA991" s="34"/>
      <c r="AB991" s="34"/>
      <c r="AC991" s="34"/>
      <c r="AD991" s="34"/>
      <c r="AE991" s="34"/>
      <c r="AF991" s="34"/>
      <c r="AG991" s="34"/>
      <c r="AH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I991" s="34"/>
      <c r="BJ991" s="34"/>
      <c r="BK991" s="34"/>
      <c r="BL991" s="34"/>
      <c r="BM991" s="34"/>
      <c r="BN991" s="34"/>
      <c r="BO991" s="34"/>
      <c r="BP991" s="34"/>
      <c r="BY991" s="34"/>
      <c r="BZ991" s="34"/>
      <c r="CA991" s="34"/>
      <c r="CB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</row>
    <row r="992" ht="15.75" customHeight="1">
      <c r="B992" s="34"/>
      <c r="E992" s="34"/>
      <c r="F992" s="34"/>
      <c r="G992" s="34"/>
      <c r="H992" s="34"/>
      <c r="I992" s="34"/>
      <c r="J992" s="34"/>
      <c r="K992" s="34"/>
      <c r="L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AA992" s="34"/>
      <c r="AB992" s="34"/>
      <c r="AC992" s="34"/>
      <c r="AD992" s="34"/>
      <c r="AE992" s="34"/>
      <c r="AF992" s="34"/>
      <c r="AG992" s="34"/>
      <c r="AH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I992" s="34"/>
      <c r="BJ992" s="34"/>
      <c r="BK992" s="34"/>
      <c r="BL992" s="34"/>
      <c r="BM992" s="34"/>
      <c r="BN992" s="34"/>
      <c r="BO992" s="34"/>
      <c r="BP992" s="34"/>
      <c r="BY992" s="34"/>
      <c r="BZ992" s="34"/>
      <c r="CA992" s="34"/>
      <c r="CB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</row>
    <row r="993" ht="15.75" customHeight="1">
      <c r="B993" s="34"/>
      <c r="E993" s="34"/>
      <c r="F993" s="34"/>
      <c r="G993" s="34"/>
      <c r="H993" s="34"/>
      <c r="I993" s="34"/>
      <c r="J993" s="34"/>
      <c r="K993" s="34"/>
      <c r="L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AA993" s="34"/>
      <c r="AB993" s="34"/>
      <c r="AC993" s="34"/>
      <c r="AD993" s="34"/>
      <c r="AE993" s="34"/>
      <c r="AF993" s="34"/>
      <c r="AG993" s="34"/>
      <c r="AH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I993" s="34"/>
      <c r="BJ993" s="34"/>
      <c r="BK993" s="34"/>
      <c r="BL993" s="34"/>
      <c r="BM993" s="34"/>
      <c r="BN993" s="34"/>
      <c r="BO993" s="34"/>
      <c r="BP993" s="34"/>
      <c r="BY993" s="34"/>
      <c r="BZ993" s="34"/>
      <c r="CA993" s="34"/>
      <c r="CB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</row>
    <row r="994" ht="15.75" customHeight="1">
      <c r="B994" s="34"/>
      <c r="E994" s="34"/>
      <c r="F994" s="34"/>
      <c r="G994" s="34"/>
      <c r="H994" s="34"/>
      <c r="I994" s="34"/>
      <c r="J994" s="34"/>
      <c r="K994" s="34"/>
      <c r="L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AA994" s="34"/>
      <c r="AB994" s="34"/>
      <c r="AC994" s="34"/>
      <c r="AD994" s="34"/>
      <c r="AE994" s="34"/>
      <c r="AF994" s="34"/>
      <c r="AG994" s="34"/>
      <c r="AH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I994" s="34"/>
      <c r="BJ994" s="34"/>
      <c r="BK994" s="34"/>
      <c r="BL994" s="34"/>
      <c r="BM994" s="34"/>
      <c r="BN994" s="34"/>
      <c r="BO994" s="34"/>
      <c r="BP994" s="34"/>
      <c r="BY994" s="34"/>
      <c r="BZ994" s="34"/>
      <c r="CA994" s="34"/>
      <c r="CB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</row>
    <row r="995" ht="15.75" customHeight="1">
      <c r="B995" s="34"/>
      <c r="E995" s="34"/>
      <c r="F995" s="34"/>
      <c r="G995" s="34"/>
      <c r="H995" s="34"/>
      <c r="I995" s="34"/>
      <c r="J995" s="34"/>
      <c r="K995" s="34"/>
      <c r="L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AA995" s="34"/>
      <c r="AB995" s="34"/>
      <c r="AC995" s="34"/>
      <c r="AD995" s="34"/>
      <c r="AE995" s="34"/>
      <c r="AF995" s="34"/>
      <c r="AG995" s="34"/>
      <c r="AH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I995" s="34"/>
      <c r="BJ995" s="34"/>
      <c r="BK995" s="34"/>
      <c r="BL995" s="34"/>
      <c r="BM995" s="34"/>
      <c r="BN995" s="34"/>
      <c r="BO995" s="34"/>
      <c r="BP995" s="34"/>
      <c r="BY995" s="34"/>
      <c r="BZ995" s="34"/>
      <c r="CA995" s="34"/>
      <c r="CB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</row>
    <row r="996" ht="15.75" customHeight="1">
      <c r="B996" s="34"/>
      <c r="E996" s="34"/>
      <c r="F996" s="34"/>
      <c r="G996" s="34"/>
      <c r="H996" s="34"/>
      <c r="I996" s="34"/>
      <c r="J996" s="34"/>
      <c r="K996" s="34"/>
      <c r="L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AA996" s="34"/>
      <c r="AB996" s="34"/>
      <c r="AC996" s="34"/>
      <c r="AD996" s="34"/>
      <c r="AE996" s="34"/>
      <c r="AF996" s="34"/>
      <c r="AG996" s="34"/>
      <c r="AH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I996" s="34"/>
      <c r="BJ996" s="34"/>
      <c r="BK996" s="34"/>
      <c r="BL996" s="34"/>
      <c r="BM996" s="34"/>
      <c r="BN996" s="34"/>
      <c r="BO996" s="34"/>
      <c r="BP996" s="34"/>
      <c r="BY996" s="34"/>
      <c r="BZ996" s="34"/>
      <c r="CA996" s="34"/>
      <c r="CB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</row>
    <row r="997" ht="15.75" customHeight="1">
      <c r="B997" s="34"/>
      <c r="E997" s="34"/>
      <c r="F997" s="34"/>
      <c r="G997" s="34"/>
      <c r="H997" s="34"/>
      <c r="I997" s="34"/>
      <c r="J997" s="34"/>
      <c r="K997" s="34"/>
      <c r="L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AA997" s="34"/>
      <c r="AB997" s="34"/>
      <c r="AC997" s="34"/>
      <c r="AD997" s="34"/>
      <c r="AE997" s="34"/>
      <c r="AF997" s="34"/>
      <c r="AG997" s="34"/>
      <c r="AH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I997" s="34"/>
      <c r="BJ997" s="34"/>
      <c r="BK997" s="34"/>
      <c r="BL997" s="34"/>
      <c r="BM997" s="34"/>
      <c r="BN997" s="34"/>
      <c r="BO997" s="34"/>
      <c r="BP997" s="34"/>
      <c r="BY997" s="34"/>
      <c r="BZ997" s="34"/>
      <c r="CA997" s="34"/>
      <c r="CB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</row>
    <row r="998" ht="15.75" customHeight="1">
      <c r="B998" s="34"/>
      <c r="E998" s="34"/>
      <c r="F998" s="34"/>
      <c r="G998" s="34"/>
      <c r="H998" s="34"/>
      <c r="I998" s="34"/>
      <c r="J998" s="34"/>
      <c r="K998" s="34"/>
      <c r="L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AA998" s="34"/>
      <c r="AB998" s="34"/>
      <c r="AC998" s="34"/>
      <c r="AD998" s="34"/>
      <c r="AE998" s="34"/>
      <c r="AF998" s="34"/>
      <c r="AG998" s="34"/>
      <c r="AH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I998" s="34"/>
      <c r="BJ998" s="34"/>
      <c r="BK998" s="34"/>
      <c r="BL998" s="34"/>
      <c r="BM998" s="34"/>
      <c r="BN998" s="34"/>
      <c r="BO998" s="34"/>
      <c r="BP998" s="34"/>
      <c r="BY998" s="34"/>
      <c r="BZ998" s="34"/>
      <c r="CA998" s="34"/>
      <c r="CB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</row>
    <row r="999" ht="15.75" customHeight="1">
      <c r="B999" s="34"/>
      <c r="E999" s="34"/>
      <c r="F999" s="34"/>
      <c r="G999" s="34"/>
      <c r="H999" s="34"/>
      <c r="I999" s="34"/>
      <c r="J999" s="34"/>
      <c r="K999" s="34"/>
      <c r="L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AA999" s="34"/>
      <c r="AB999" s="34"/>
      <c r="AC999" s="34"/>
      <c r="AD999" s="34"/>
      <c r="AE999" s="34"/>
      <c r="AF999" s="34"/>
      <c r="AG999" s="34"/>
      <c r="AH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I999" s="34"/>
      <c r="BJ999" s="34"/>
      <c r="BK999" s="34"/>
      <c r="BL999" s="34"/>
      <c r="BM999" s="34"/>
      <c r="BN999" s="34"/>
      <c r="BO999" s="34"/>
      <c r="BP999" s="34"/>
      <c r="BY999" s="34"/>
      <c r="BZ999" s="34"/>
      <c r="CA999" s="34"/>
      <c r="CB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</row>
    <row r="1000" ht="15.75" customHeight="1">
      <c r="B1000" s="34"/>
      <c r="E1000" s="34"/>
      <c r="F1000" s="34"/>
      <c r="G1000" s="34"/>
      <c r="H1000" s="34"/>
      <c r="I1000" s="34"/>
      <c r="J1000" s="34"/>
      <c r="K1000" s="34"/>
      <c r="L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AA1000" s="34"/>
      <c r="AB1000" s="34"/>
      <c r="AC1000" s="34"/>
      <c r="AD1000" s="34"/>
      <c r="AE1000" s="34"/>
      <c r="AF1000" s="34"/>
      <c r="AG1000" s="34"/>
      <c r="AH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I1000" s="34"/>
      <c r="BJ1000" s="34"/>
      <c r="BK1000" s="34"/>
      <c r="BL1000" s="34"/>
      <c r="BM1000" s="34"/>
      <c r="BN1000" s="34"/>
      <c r="BO1000" s="34"/>
      <c r="BP1000" s="34"/>
      <c r="BY1000" s="34"/>
      <c r="BZ1000" s="34"/>
      <c r="CA1000" s="34"/>
      <c r="CB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</row>
  </sheetData>
  <mergeCells count="22">
    <mergeCell ref="M2:N2"/>
    <mergeCell ref="B3:B4"/>
    <mergeCell ref="C3:D3"/>
    <mergeCell ref="M3:N3"/>
    <mergeCell ref="Y3:Z3"/>
    <mergeCell ref="B22:B23"/>
    <mergeCell ref="C22:D22"/>
    <mergeCell ref="BU22:BV22"/>
    <mergeCell ref="BW22:BX22"/>
    <mergeCell ref="CC22:CD22"/>
    <mergeCell ref="CO22:CP22"/>
    <mergeCell ref="DA22:DB22"/>
    <mergeCell ref="DM22:DN22"/>
    <mergeCell ref="DO22:DP22"/>
    <mergeCell ref="Z36:DP36"/>
    <mergeCell ref="M22:N22"/>
    <mergeCell ref="Y22:Z22"/>
    <mergeCell ref="AI22:AJ22"/>
    <mergeCell ref="AU22:AV22"/>
    <mergeCell ref="BG22:BH22"/>
    <mergeCell ref="BQ22:BR22"/>
    <mergeCell ref="BS22:BT22"/>
  </mergeCells>
  <conditionalFormatting sqref="DO22:DP23">
    <cfRule type="containsText" dxfId="0" priority="1" operator="containsText" text="Meta">
      <formula>NOT(ISERROR(SEARCH(("Meta"),(DO22))))</formula>
    </cfRule>
  </conditionalFormatting>
  <conditionalFormatting sqref="DO22:DP23">
    <cfRule type="containsText" dxfId="1" priority="2" operator="containsText" text="Atingido">
      <formula>NOT(ISERROR(SEARCH(("Atingido"),(DO22))))</formula>
    </cfRule>
  </conditionalFormatting>
  <conditionalFormatting sqref="DO22:DP23">
    <cfRule type="containsText" dxfId="2" priority="3" operator="containsText" text="/">
      <formula>NOT(ISERROR(SEARCH(("/"),(DO22))))</formula>
    </cfRule>
  </conditionalFormatting>
  <conditionalFormatting sqref="C1:C23 C25 C27 C29 C36:F37 D1:F29 G1:L37 M1:M23 M25 M27 M29 M36:N37 N1:N29 O1:BP37 BQ2:BR17 BQ21:BR23 BR35 BS1:DL37 DM2:DQ17 DM21:DN23">
    <cfRule type="containsText" dxfId="3" priority="4" operator="containsText" text="Meta">
      <formula>NOT(ISERROR(SEARCH(("Meta"),(C1))))</formula>
    </cfRule>
  </conditionalFormatting>
  <conditionalFormatting sqref="C1:C23 C25 C27 C29 C36:F37 D1:F29 G1:L37 M1:M23 M25 M27 M29 M36:N37 N1:N29 O1:BP37 BQ2:BR17 BQ21:BR23 BR35 BS1:DL37 DM2:DQ17 DM21:DN23">
    <cfRule type="containsText" dxfId="4" priority="5" operator="containsText" text="Atingido">
      <formula>NOT(ISERROR(SEARCH(("Atingido"),(C1))))</formula>
    </cfRule>
  </conditionalFormatting>
  <conditionalFormatting sqref="A1:B37 C1:C23 C25 C27 C29 C36:F37 D1:F29 G1:L37 M1:M23 M25 M27 M29 M36:N37 N1:N29 O1:DR37">
    <cfRule type="containsText" dxfId="5" priority="6" operator="containsText" text="/">
      <formula>NOT(ISERROR(SEARCH(("/"),(A1))))</formula>
    </cfRule>
  </conditionalFormatting>
  <conditionalFormatting sqref="C23">
    <cfRule type="expression" dxfId="6" priority="7">
      <formula>LEN(TRIM(C23))&gt;0</formula>
    </cfRule>
  </conditionalFormatting>
  <printOptions/>
  <pageMargins bottom="1.0" footer="0.0" header="0.0" left="0.75" right="0.75" top="1.0"/>
  <pageSetup paperSize="9" orientation="portrait"/>
  <drawing r:id="rId1"/>
</worksheet>
</file>